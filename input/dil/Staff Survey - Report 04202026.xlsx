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ables/table1.xml" ContentType="application/vnd.openxmlformats-officedocument.spreadsheetml.table+xml"/>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Answer Details" sheetId="2" r:id="rId3"/>
  </sheets>
  <definedNames/>
  <calcPr fullCalcOnLoad="1"/>
</workbook>
</file>

<file path=xl/calcChain.xml><?xml version="1.0" encoding="utf-8"?>
<calcChain xmlns="http://schemas.openxmlformats.org/spreadsheetml/2006/main">
  <c r="BO2" i="2" l="1"/>
</calcChain>
</file>

<file path=xl/sharedStrings.xml><?xml version="1.0" encoding="utf-8"?>
<sst xmlns="http://schemas.openxmlformats.org/spreadsheetml/2006/main" count="3348" uniqueCount="283">
  <si>
    <t>8GLL00GNE</t>
  </si>
  <si>
    <t>Tanzania</t>
  </si>
  <si>
    <t>Mission chief</t>
  </si>
  <si>
    <t>Agree</t>
  </si>
  <si>
    <t>Neutral</t>
  </si>
  <si>
    <t>Important</t>
  </si>
  <si>
    <t>I don't know</t>
  </si>
  <si>
    <t>Complex</t>
  </si>
  <si>
    <t>Somewhat complex</t>
  </si>
  <si>
    <t>Solvency issues and the need for debt restructuring, Liquidity issues and the need for temporary financial support, Domestic debt and other portfolio diversification issues, such as new creditors, Non-concessional financing and access to international capital markets</t>
  </si>
  <si>
    <t>Risk Assessment Matrix warranting caution, Realism Tools issues, The Debt Carrying Capacity is close to margin</t>
  </si>
  <si>
    <t>Disagree</t>
  </si>
  <si>
    <t>Strongly agree</t>
  </si>
  <si>
    <t>Effective</t>
  </si>
  <si>
    <t>Not effective</t>
  </si>
  <si>
    <t>Highly effective</t>
  </si>
  <si>
    <t>No</t>
  </si>
  <si>
    <t>ON6YGRO5W</t>
  </si>
  <si>
    <t>Zambia</t>
  </si>
  <si>
    <t>Desk economist working on debt-related issues</t>
  </si>
  <si>
    <t>Very Important</t>
  </si>
  <si>
    <t>Very complex</t>
  </si>
  <si>
    <t>Solvency issues and the need for debt restructuring</t>
  </si>
  <si>
    <t>Breaches are marginal, short-lived and/or negligible, The Debt Carrying Capacity is close to margin, The country is facing pressures in domestic and/or international financial markets</t>
  </si>
  <si>
    <t>Yes</t>
  </si>
  <si>
    <t>0W5DJOMKQ</t>
  </si>
  <si>
    <t>Central African Republic</t>
  </si>
  <si>
    <t>Desk economist working on non-debt related issues</t>
  </si>
  <si>
    <t>Not complex at all</t>
  </si>
  <si>
    <t>Liquidity issues and the need for temporary financial support, Fiscal Indicators, such as primary balances, and macro-projections, Domestic debt and other portfolio diversification issues, such as new creditors</t>
  </si>
  <si>
    <t>Realism Tools issues, Special institutional frameworks and constraints (reserve pooling arrangements, currency unions, flexible foreign exchange arrangements, etc.)</t>
  </si>
  <si>
    <t>K6QJW8LZU</t>
  </si>
  <si>
    <t>Guinea</t>
  </si>
  <si>
    <t>Solvency issues and the need for debt restructuring, Liquidity issues and the need for temporary financial support, Fiscal Indicators, such as primary balances, and macro-projections, Domestic debt and other portfolio diversification issues, such as new creditors, Non-concessional financing and access to international capital markets</t>
  </si>
  <si>
    <t>Breaches are marginal, short-lived and/or negligible, Risk Assessment Matrix warranting caution</t>
  </si>
  <si>
    <t>91EN7KOJP</t>
  </si>
  <si>
    <t>Papua New Guinea</t>
  </si>
  <si>
    <t>Not important</t>
  </si>
  <si>
    <t>Liquidity issues and the need for temporary financial support, Fiscal Indicators, such as primary balances, and macro-projections, Non-concessional financing and access to international capital markets</t>
  </si>
  <si>
    <t>Breaches are marginal, short-lived and/or negligible, Realism Tools issues, The Debt Carrying Capacity is close to margin, Special institutional frameworks and constraints (reserve pooling arrangements, currency unions, flexible foreign exchange arrangements, etc.), The country is facing pressures in domestic and/or international financial markets</t>
  </si>
  <si>
    <t>YEJW7MNMR</t>
  </si>
  <si>
    <t>Liberia</t>
  </si>
  <si>
    <t>Breaches are marginal, short-lived and/or negligible, The Debt Carrying Capacity is close to margin, Special institutional frameworks and constraints (reserve pooling arrangements, currency unions, flexible foreign exchange arrangements, etc.), Climate-related risks, shocks, and vulnerabilities</t>
  </si>
  <si>
    <t>JQ8G054GZ</t>
  </si>
  <si>
    <t>Maldives</t>
  </si>
  <si>
    <t>Solvency issues and the need for debt restructuring, Liquidity issues and the need for temporary financial support, CPIA (World Bank Country Policy and Institutional Assessment), Domestic debt and other portfolio diversification issues, such as new creditors, Non-concessional financing and access to international capital markets</t>
  </si>
  <si>
    <t>Breaches are marginal, short-lived and/or negligible, Risk Assessment Matrix warranting caution, Large debt stocks and relatively limited liquid financial assets, The country is in or applying for a program, especially under “exceptional access”, Domestic socio-political developments, such as local elections, corruption cases, social unrest, or other sources of uncertainty</t>
  </si>
  <si>
    <t>196LKG52J</t>
  </si>
  <si>
    <t>Rwanda</t>
  </si>
  <si>
    <t>Functional economist/expert working on debt-related issues</t>
  </si>
  <si>
    <t>Solvency issues and the need for debt restructuring, Liquidity issues and the need for temporary financial support, Fiscal Indicators, such as primary balances, and macro-projections</t>
  </si>
  <si>
    <t>Breaches are marginal, short-lived and/or negligible, Risk Assessment Matrix warranting caution, Large debt stocks and relatively limited liquid financial assets, Special institutional frameworks and constraints (reserve pooling arrangements, currency unions, flexible foreign exchange arrangements, etc.), Domestic socio-political developments, such as local elections, corruption cases, social unrest, or other sources of uncertainty</t>
  </si>
  <si>
    <t>0W5DJOEKX</t>
  </si>
  <si>
    <t>Lao P.D.R.</t>
  </si>
  <si>
    <t>Strongly disagree</t>
  </si>
  <si>
    <t>Somewhat important</t>
  </si>
  <si>
    <t>Liquidity issues and the need for temporary financial support, Fiscal Indicators, such as primary balances, and macro-projections</t>
  </si>
  <si>
    <t>The Debt Carrying Capacity is close to margin, Domestic socio-political developments, such as local elections, corruption cases, social unrest, or other sources of uncertainty, Other (please specify) : CPIA is a black box, not consistent across countries, and infrequently adjusted</t>
  </si>
  <si>
    <t>Not at all effective</t>
  </si>
  <si>
    <t>8GWJDRY5E</t>
  </si>
  <si>
    <t>Kyrgyz Republic</t>
  </si>
  <si>
    <t>Breaches are marginal, short-lived and/or negligible</t>
  </si>
  <si>
    <t>0W5DJODKO</t>
  </si>
  <si>
    <t>Niger</t>
  </si>
  <si>
    <t>Functional economist/expert working on non-debt related issues</t>
  </si>
  <si>
    <t>Solvency issues and the need for debt restructuring, Non-concessional financing and access to international capital markets</t>
  </si>
  <si>
    <t>Breaches are marginal, short-lived and/or negligible, Climate-related risks, shocks, and vulnerabilities, The country is facing pressures in domestic and/or international financial markets</t>
  </si>
  <si>
    <t>WMJLO7L2V</t>
  </si>
  <si>
    <t>Comoros</t>
  </si>
  <si>
    <t>Fiscal Indicators, such as primary balances, and macro-projections, CPIA (World Bank Country Policy and Institutional Assessment)</t>
  </si>
  <si>
    <t>Large debt stocks and relatively limited liquid financial assets, Domestic socio-political developments, such as local elections, corruption cases, social unrest, or other sources of uncertainty, The country is facing pressures in domestic and/or international financial markets</t>
  </si>
  <si>
    <t>6WL17P17S</t>
  </si>
  <si>
    <t>Sudan</t>
  </si>
  <si>
    <t>Solvency issues and the need for debt restructuring, Fiscal Indicators, such as primary balances, and macro-projections, Non-concessional financing and access to international capital markets</t>
  </si>
  <si>
    <t>Breaches are marginal, short-lived and/or negligible, Realism Tools issues, The Debt Carrying Capacity is close to margin, Special institutional frameworks and constraints (reserve pooling arrangements, currency unions, flexible foreign exchange arrangements, etc.), The country is in or applying for a program, especially under “exceptional access”</t>
  </si>
  <si>
    <t>91EN7K4KV</t>
  </si>
  <si>
    <t>Mauritania</t>
  </si>
  <si>
    <t>Fiscal Indicators, such as primary balances, and macro-projections, SOEs and other contingent liabilities, new debt instruments, Domestic debt and other portfolio diversification issues, such as new creditors, Non-concessional financing and access to international capital markets</t>
  </si>
  <si>
    <t>Breaches are marginal, short-lived and/or negligible, Risk Assessment Matrix warranting caution, Special institutional frameworks and constraints (reserve pooling arrangements, currency unions, flexible foreign exchange arrangements, etc.)</t>
  </si>
  <si>
    <t>Mozambique</t>
  </si>
  <si>
    <t>7N0G7D9PW</t>
  </si>
  <si>
    <t>Malawi</t>
  </si>
  <si>
    <t>Breaches are marginal, short-lived and/or negligible, Realism Tools issues</t>
  </si>
  <si>
    <t>5EDOM475S</t>
  </si>
  <si>
    <t>Senegal</t>
  </si>
  <si>
    <t>Solvency issues and the need for debt restructuring, Liquidity issues and the need for temporary financial support, Fiscal Indicators, such as primary balances, and macro-projections, SOEs and other contingent liabilities, new debt instruments, Country’s policy and institutional capacity (other than the CPIA), Domestic debt and other portfolio diversification issues, such as new creditors, Non-concessional financing and access to international capital markets</t>
  </si>
  <si>
    <t>Breaches are marginal, short-lived and/or negligible, Large debt stocks and relatively limited liquid financial assets, The Debt Carrying Capacity is close to margin, Special institutional frameworks and constraints (reserve pooling arrangements, currency unions, flexible foreign exchange arrangements, etc.), The country is facing pressures in domestic and/or international financial markets</t>
  </si>
  <si>
    <t>JQ8G05LKY</t>
  </si>
  <si>
    <t>Nepal</t>
  </si>
  <si>
    <t>Fiscal Indicators, such as primary balances, and macro-projections</t>
  </si>
  <si>
    <t>QMR790JOE</t>
  </si>
  <si>
    <t>Marshall Islands</t>
  </si>
  <si>
    <t>Large debt stocks and relatively limited liquid financial assets, Climate-related risks, shocks, and vulnerabilities</t>
  </si>
  <si>
    <t>6WL17P47P</t>
  </si>
  <si>
    <t>Nicaragua</t>
  </si>
  <si>
    <t>Liquidity issues and the need for temporary financial support, Fiscal Indicators, such as primary balances, and macro-projections, SOEs and other contingent liabilities, new debt instruments, Domestic debt and other portfolio diversification issues, such as new creditors, Non-concessional financing and access to international capital markets</t>
  </si>
  <si>
    <t>Breaches are marginal, short-lived and/or negligible, The Debt Carrying Capacity is close to margin, Special institutional frameworks and constraints (reserve pooling arrangements, currency unions, flexible foreign exchange arrangements, etc.), The country is facing pressures in domestic and/or international financial markets</t>
  </si>
  <si>
    <t>DG7L56YOF</t>
  </si>
  <si>
    <t>Dominica</t>
  </si>
  <si>
    <t>Breaches are marginal, short-lived and/or negligible, The Debt Carrying Capacity is close to margin, The country is in or applying for a program, especially under “exceptional access”</t>
  </si>
  <si>
    <t>91EN7KQKM</t>
  </si>
  <si>
    <t>Grenada</t>
  </si>
  <si>
    <t>Breaches are marginal, short-lived and/or negligible, Realism Tools issues, Special institutional frameworks and constraints (reserve pooling arrangements, currency unions, flexible foreign exchange arrangements, etc.), The country is facing pressures in domestic and/or international financial markets, Other (please specify) : Existence of institutional buffers such as contingent financing arrangements</t>
  </si>
  <si>
    <t>7N0G7DKPK</t>
  </si>
  <si>
    <t>Ghana</t>
  </si>
  <si>
    <t>Solvency issues and the need for debt restructuring, Liquidity issues and the need for temporary financial support, Fiscal Indicators, such as primary balances, and macro-projections, SOEs and other contingent liabilities, new debt instruments, Domestic debt and other portfolio diversification issues, such as new creditors, Non-concessional financing and access to international capital markets</t>
  </si>
  <si>
    <t>Breaches are marginal, short-lived and/or negligible, Large debt stocks and relatively limited liquid financial assets, The country is in or applying for a program, especially under “exceptional access”, The country is facing pressures in domestic and/or international financial markets</t>
  </si>
  <si>
    <t>5EDOM4K5K</t>
  </si>
  <si>
    <t>2940GN75Y</t>
  </si>
  <si>
    <t>Solomon Islands</t>
  </si>
  <si>
    <t>Breaches are marginal, short-lived and/or negligible, Large debt stocks and relatively limited liquid financial assets, The Debt Carrying Capacity is close to margin</t>
  </si>
  <si>
    <t>0W5DJOYGV</t>
  </si>
  <si>
    <t>Bangladesh</t>
  </si>
  <si>
    <t>Breaches are marginal, short-lived and/or negligible, Risk Assessment Matrix warranting caution, Special institutional frameworks and constraints (reserve pooling arrangements, currency unions, flexible foreign exchange arrangements, etc.), Domestic socio-political developments, such as local elections, corruption cases, social unrest, or other sources of uncertainty, The country is facing pressures in domestic and/or international financial markets</t>
  </si>
  <si>
    <t>QMR7908OL</t>
  </si>
  <si>
    <t>Tonga</t>
  </si>
  <si>
    <t>Climate-related risks, shocks, and vulnerabilities</t>
  </si>
  <si>
    <t>4N5EG8R6Q</t>
  </si>
  <si>
    <t>Cabo Verde</t>
  </si>
  <si>
    <t>Solvency issues and the need for debt restructuring, Liquidity issues and the need for temporary financial support, Fiscal Indicators, such as primary balances, and macro-projections, SOEs and other contingent liabilities, new debt instruments</t>
  </si>
  <si>
    <t>Breaches are marginal, short-lived and/or negligible, Large debt stocks and relatively limited liquid financial assets, Special institutional frameworks and constraints (reserve pooling arrangements, currency unions, flexible foreign exchange arrangements, etc.), Climate-related risks, shocks, and vulnerabilities, The country is facing pressures in domestic and/or international financial markets</t>
  </si>
  <si>
    <t>5EDOM4R5P</t>
  </si>
  <si>
    <t>Timor-Leste, Democratic Republic of</t>
  </si>
  <si>
    <t>Fiscal Indicators, such as primary balances, and macro-projections, SOEs and other contingent liabilities, new debt instruments, CPIA (World Bank Country Policy and Institutional Assessment), Non-concessional financing and access to international capital markets</t>
  </si>
  <si>
    <t>Breaches are marginal, short-lived and/or negligible, Special institutional frameworks and constraints (reserve pooling arrangements, currency unions, flexible foreign exchange arrangements, etc.)</t>
  </si>
  <si>
    <t>2940GNR5D</t>
  </si>
  <si>
    <t>Fiscal Indicators, such as primary balances, and macro-projections, Domestic debt and other portfolio diversification issues, such as new creditors, Non-concessional financing and access to international capital markets</t>
  </si>
  <si>
    <t>Large debt stocks and relatively limited liquid financial assets, Realism Tools issues, Special institutional frameworks and constraints (reserve pooling arrangements, currency unions, flexible foreign exchange arrangements, etc.), Domestic socio-political developments, such as local elections, corruption cases, social unrest, or other sources of uncertainty</t>
  </si>
  <si>
    <t>WMJLO7K2F</t>
  </si>
  <si>
    <t>St. Vincent and the Grenadines</t>
  </si>
  <si>
    <t>Solvency issues and the need for debt restructuring, Fiscal Indicators, such as primary balances, and macro-projections, Domestic debt and other portfolio diversification issues, such as new creditors</t>
  </si>
  <si>
    <t>Other (please specify) : I have a strong preference for following the mechanical rating to ensure evenhandedness.</t>
  </si>
  <si>
    <t>RR24GEK9G</t>
  </si>
  <si>
    <t>Solvency issues and the need for debt restructuring, Liquidity issues and the need for temporary financial support</t>
  </si>
  <si>
    <t>Chad</t>
  </si>
  <si>
    <t>DG7L56R9C</t>
  </si>
  <si>
    <t>Congo, Republic of</t>
  </si>
  <si>
    <t>Solvency issues and the need for debt restructuring, Liquidity issues and the need for temporary financial support, SOEs and other contingent liabilities, new debt instruments, CPIA (World Bank Country Policy and Institutional Assessment), Domestic debt and other portfolio diversification issues, such as new creditors</t>
  </si>
  <si>
    <t>Breaches are marginal, short-lived and/or negligible, Realism Tools issues, The Debt Carrying Capacity is close to margin, Domestic socio-political developments, such as local elections, corruption cases, social unrest, or other sources of uncertainty</t>
  </si>
  <si>
    <t>YEJW7MDKW</t>
  </si>
  <si>
    <t>Breaches are marginal, short-lived and/or negligible, Climate-related risks, shocks, and vulnerabilities, Other (please specify) : (i) structural liquidity vulnerabilities rooted in low revenue mobilization, no market access, limited fiscal buffers, and a dependency on external inflows; and (ii) recurring external arrears</t>
  </si>
  <si>
    <t>2940GNPMP</t>
  </si>
  <si>
    <t>Large debt stocks and relatively limited liquid financial assets, Realism Tools issues, Special institutional frameworks and constraints (reserve pooling arrangements, currency unions, flexible foreign exchange arrangements, etc.)</t>
  </si>
  <si>
    <t>JQ8G05ROW</t>
  </si>
  <si>
    <t>Sierra Leone</t>
  </si>
  <si>
    <t>Breaches are marginal, short-lived and/or negligible, Large debt stocks and relatively limited liquid financial assets, Realism Tools issues, Special institutional frameworks and constraints (reserve pooling arrangements, currency unions, flexible foreign exchange arrangements, etc.), The country is facing pressures in domestic and/or international financial markets</t>
  </si>
  <si>
    <t>196LKGPJS</t>
  </si>
  <si>
    <t>Solvency issues and the need for debt restructuring, Fiscal Indicators, such as primary balances, and macro-projections</t>
  </si>
  <si>
    <t>K6QJW8R7P</t>
  </si>
  <si>
    <t>Burkina Faso</t>
  </si>
  <si>
    <t>Liquidity issues and the need for temporary financial support, CPIA (World Bank Country Policy and Institutional Assessment), Domestic debt and other portfolio diversification issues, such as new creditors</t>
  </si>
  <si>
    <t>Large debt stocks and relatively limited liquid financial assets, Realism Tools issues, Domestic socio-political developments, such as local elections, corruption cases, social unrest, or other sources of uncertainty, The country is facing pressures in domestic and/or international financial markets</t>
  </si>
  <si>
    <t>4N5EG8M2B</t>
  </si>
  <si>
    <t>Eritrea</t>
  </si>
  <si>
    <t>Breaches are marginal, short-lived and/or negligible, The Debt Carrying Capacity is close to margin, Special institutional frameworks and constraints (reserve pooling arrangements, currency unions, flexible foreign exchange arrangements, etc.)</t>
  </si>
  <si>
    <t>2940GNMMG</t>
  </si>
  <si>
    <t>Burundi</t>
  </si>
  <si>
    <t>Breaches are marginal, short-lived and/or negligible, Large debt stocks and relatively limited liquid financial assets, Realism Tools issues, Special institutional frameworks and constraints (reserve pooling arrangements, currency unions, flexible foreign exchange arrangements, etc.)</t>
  </si>
  <si>
    <t>ON6YGRQ7C</t>
  </si>
  <si>
    <t>Solvency issues and the need for debt restructuring, Liquidity issues and the need for temporary financial support, Fiscal Indicators, such as primary balances, and macro-projections, SOEs and other contingent liabilities, new debt instruments, Non-concessional financing and access to international capital markets</t>
  </si>
  <si>
    <t>Risk Assessment Matrix warranting caution, Large debt stocks and relatively limited liquid financial assets, Special institutional frameworks and constraints (reserve pooling arrangements, currency unions, flexible foreign exchange arrangements, etc.), Domestic socio-political developments, such as local elections, corruption cases, social unrest, or other sources of uncertainty, The country is facing pressures in domestic and/or international financial markets</t>
  </si>
  <si>
    <t>RR24GEZ9A</t>
  </si>
  <si>
    <t>Benin</t>
  </si>
  <si>
    <t>Breaches are marginal, short-lived and/or negligible, Special institutional frameworks and constraints (reserve pooling arrangements, currency unions, flexible foreign exchange arrangements, etc.), Climate-related risks, shocks, and vulnerabilities</t>
  </si>
  <si>
    <t>7N0G7DJ9U</t>
  </si>
  <si>
    <t>Micronesia, Federal States of</t>
  </si>
  <si>
    <t>5EDOM41WK</t>
  </si>
  <si>
    <t>Uganda</t>
  </si>
  <si>
    <t>E470YL9DZ</t>
  </si>
  <si>
    <t>Lesotho</t>
  </si>
  <si>
    <t>Solvency issues and the need for debt restructuring, Fiscal Indicators, such as primary balances, and macro-projections, SOEs and other contingent liabilities, new debt instruments, Domestic debt and other portfolio diversification issues, such as new creditors</t>
  </si>
  <si>
    <t>Breaches are marginal, short-lived and/or negligible, The Debt Carrying Capacity is close to margin, Climate-related risks, shocks, and vulnerabilities</t>
  </si>
  <si>
    <t>0W5DJOLJC</t>
  </si>
  <si>
    <t>St. Lucia</t>
  </si>
  <si>
    <t>Large debt stocks and relatively limited liquid financial assets, Realism Tools issues, The country is in or applying for a program, especially under “exceptional access”, The country is facing pressures in domestic and/or international financial markets</t>
  </si>
  <si>
    <t>QMR7902QR</t>
  </si>
  <si>
    <t>Cambodia</t>
  </si>
  <si>
    <t>Solvency issues and the need for debt restructuring, Fiscal Indicators, such as primary balances, and macro-projections, Domestic debt and other portfolio diversification issues, such as new creditors, Non-concessional financing and access to international capital markets</t>
  </si>
  <si>
    <t>8GWJDR8KF</t>
  </si>
  <si>
    <t>Gambia, The</t>
  </si>
  <si>
    <t>Breaches are marginal, short-lived and/or negligible, Risk Assessment Matrix warranting caution, The country is facing pressures in domestic and/or international financial markets</t>
  </si>
  <si>
    <t>Somalia</t>
  </si>
  <si>
    <t>ZMKE5ZWEH</t>
  </si>
  <si>
    <t>Other (please specify) : The country has substantial financial assets that create space for a feasible adjustment path that avoids a debt crisis.</t>
  </si>
  <si>
    <t>4N5EG8Y0B</t>
  </si>
  <si>
    <t>Haiti</t>
  </si>
  <si>
    <t>7N0G7DY6N</t>
  </si>
  <si>
    <t>Bhutan</t>
  </si>
  <si>
    <t>Breaches are marginal, short-lived and/or negligible, Large debt stocks and relatively limited liquid financial assets</t>
  </si>
  <si>
    <t>GM7EKOZ7Y</t>
  </si>
  <si>
    <t>The country is in or applying for a program, especially under “exceptional access”</t>
  </si>
  <si>
    <t>P628MKPYE</t>
  </si>
  <si>
    <t>Kenya</t>
  </si>
  <si>
    <t>E470YLK1Z</t>
  </si>
  <si>
    <t>Liquidity issues and the need for temporary financial support, Fiscal Indicators, such as primary balances, and macro-projections, Country’s policy and institutional capacity (other than the CPIA), Domestic debt and other portfolio diversification issues, such as new creditors, Non-concessional financing and access to international capital markets</t>
  </si>
  <si>
    <t>Realism Tools issues, Domestic socio-political developments, such as local elections, corruption cases, social unrest, or other sources of uncertainty, Other (please specify) : Political feasibility concerns</t>
  </si>
  <si>
    <t>L28NE46DW</t>
  </si>
  <si>
    <t>Tuvalu</t>
  </si>
  <si>
    <t>CPIA (World Bank Country Policy and Institutional Assessment), Country’s policy and institutional capacity (other than the CPIA)</t>
  </si>
  <si>
    <t>Realism Tools issues, Climate-related risks, shocks, and vulnerabilities, Other (please specify) : Low debt + high risk rating</t>
  </si>
  <si>
    <t>K6QJW8OLP</t>
  </si>
  <si>
    <t>Large debt stocks and relatively limited liquid financial assets</t>
  </si>
  <si>
    <t>6WL17PJ9H</t>
  </si>
  <si>
    <t>Breaches are marginal, short-lived and/or negligible, Climate-related risks, shocks, and vulnerabilities</t>
  </si>
  <si>
    <t>YEJW7M26U</t>
  </si>
  <si>
    <t>Samoa</t>
  </si>
  <si>
    <t>Breaches are marginal, short-lived and/or negligible, Large debt stocks and relatively limited liquid financial assets, The Debt Carrying Capacity is close to margin, The country is in or applying for a program, especially under “exceptional access”</t>
  </si>
  <si>
    <t>GM7EKOL7R</t>
  </si>
  <si>
    <t>Moldova</t>
  </si>
  <si>
    <t>196LKGWKF</t>
  </si>
  <si>
    <t>Special institutional frameworks and constraints (reserve pooling arrangements, currency unions, flexible foreign exchange arrangements, etc.), The country is in or applying for a program, especially under “exceptional access”</t>
  </si>
  <si>
    <t>L28NE41DL</t>
  </si>
  <si>
    <t>Yemen</t>
  </si>
  <si>
    <t>Solvency issues and the need for debt restructuring, Liquidity issues and the need for temporary financial support, Domestic debt and other portfolio diversification issues, such as new creditors</t>
  </si>
  <si>
    <t>P628MKEYA</t>
  </si>
  <si>
    <t>Congo, Democratic Republic of</t>
  </si>
  <si>
    <t>Response Code</t>
  </si>
  <si>
    <t>Demographics</t>
  </si>
  <si>
    <t>1. Which LIC assignment did you work on most recently as a member of a country team, either as a mission chief, desk economist, or functional economist/expert?</t>
  </si>
  <si>
    <t>2. What was your role within the country team?</t>
  </si>
  <si>
    <t>A. Identification of Debt Vulnerabilities</t>
  </si>
  <si>
    <t>3. Please indicate the extent to which you agree with the following statements.: The IMF invested adequately in building and maintaining debt datasets for LICs</t>
  </si>
  <si>
    <t>3. Please indicate the extent to which you agree with the following statements.: The IMF invested adequately in research and analysis on debt issues in LICs</t>
  </si>
  <si>
    <t>3. Please indicate the extent to which you agree with the following statements.: IMF multilateral surveillance (e.g., flagships) identified major developments and emerging sources of debt risks in LICs in a timely manner</t>
  </si>
  <si>
    <t>3. Please indicate the extent to which you agree with the following statements.: IMF bilateral surveillance identified country-specific debt risks in LICs in a timely manner</t>
  </si>
  <si>
    <t>4. Based on your experience working on LICs as part of a country team or a country assignment, how important was the use of IMF debt sustainability tools, such as the LIC-DSF, Debt Limits Policy, Public Debt Dynamics Tool, DIG+, and Fiscal Space Assessmen</t>
  </si>
  <si>
    <t>4. Based on your experience working on LICs as part of a country team or a country assignment, how important was the use of IMF debt sustainability tools, such as the LIC-DSF, Debt Limits Policy, Public Debt Dynamics Tool, DIG+, and Fiscal Space Asse (2)</t>
  </si>
  <si>
    <t>4. Based on your experience working on LICs as part of a country team or a country assignment, how important was the use of IMF debt sustainability tools, such as the LIC-DSF, Debt Limits Policy, Public Debt Dynamics Tool, DIG+, and Fiscal Space Asse (3)</t>
  </si>
  <si>
    <t>4. Based on your experience working on LICs as part of a country team or a country assignment, how important was the use of IMF debt sustainability tools, such as the LIC-DSF, Debt Limits Policy, Public Debt Dynamics Tool, DIG+, and Fiscal Space Asse (4)</t>
  </si>
  <si>
    <t>4. Based on your experience working on LICs as part of a country team or a country assignment, how important was the use of IMF debt sustainability tools, such as the LIC-DSF, Debt Limits Policy, Public Debt Dynamics Tool, DIG+, and Fiscal Space Asse (5)</t>
  </si>
  <si>
    <t>4. Based on your experience working on LICs as part of a country team or a country assignment, how important was the use of IMF debt sustainability tools, such as the LIC-DSF, Debt Limits Policy, Public Debt Dynamics Tool, DIG+, and Fiscal Space Asse (6)</t>
  </si>
  <si>
    <t>4. Based on your experience working on LICs as part of a country team or a country assignment, how important was the use of IMF debt sustainability tools, such as the LIC-DSF, Debt Limits Policy, Public Debt Dynamics Tool, DIG+, and Fiscal Space Asse (7)</t>
  </si>
  <si>
    <t>5. Based on your experience working on LICs as part of a country team or country assignment, how complex were the following aspects of the LIC-DSF to understand?: The LIC-DSF as a whole</t>
  </si>
  <si>
    <t>5. Based on your experience working on LICs as part of a country team or country assignment, how complex were the following aspects of the LIC-DSF to understand?: Guidance Notes &amp; Online Resources</t>
  </si>
  <si>
    <t>5. Based on your experience working on LICs as part of a country team or country assignment, how complex were the following aspects of the LIC-DSF to understand?: DSA Assumptions</t>
  </si>
  <si>
    <t>5. Based on your experience working on LICs as part of a country team or country assignment, how complex were the following aspects of the LIC-DSF to understand?: Baseline Projections</t>
  </si>
  <si>
    <t>5. Based on your experience working on LICs as part of a country team or country assignment, how complex were the following aspects of the LIC-DSF to understand?: Stress Tests</t>
  </si>
  <si>
    <t>5. Based on your experience working on LICs as part of a country team or country assignment, how complex were the following aspects of the LIC-DSF to understand?: Realism Tools</t>
  </si>
  <si>
    <t>5. Based on your experience working on LICs as part of a country team or country assignment, how complex were the following aspects of the LIC-DSF to understand?: DSA Underlying Model</t>
  </si>
  <si>
    <t>5. Based on your experience working on LICs as part of a country team or country assignment, how complex were the following aspects of the LIC-DSF to understand?: Rating Classification</t>
  </si>
  <si>
    <t>5. Based on your experience working on LICs as part of a country team or country assignment, how complex were the following aspects of the LIC-DSF to understand?: The Use of Judgement</t>
  </si>
  <si>
    <t>5. Based on your experience working on LICs as part of a country team or country assignment, how complex were the following aspects of the LIC-DSF to understand?: DSA Staff Reports &amp; Final Outputs</t>
  </si>
  <si>
    <t>6. Based on your experience working on LICs as part of a country team or country assignment, for which of these inputs and activities do you feel most confident in using the LIC‑DSF to assess a country’s debt sustainability effectively?</t>
  </si>
  <si>
    <t>7. The use of judgment is an essential component of DSAs. Based on your experience working on LICs as part of a country team or country assignment, select the most relevant factors justifying the use of judgment to alter the mechanical risk rating in a DS</t>
  </si>
  <si>
    <t>B. Growth-Investment Nexus</t>
  </si>
  <si>
    <t>8. Based on your experience working on LICs as part of a country team or a country assignment, please indicate the extent to which you agree with the following statements.: IMF advice appropriately recognized fiscal space in LICs after HIPC/MDRI</t>
  </si>
  <si>
    <t>8. Based on your experience working on LICs as part of a country team or a country assignment, please indicate the extent to which you agree with the following statements.: The IMF provided clear guidance on whether and how to use available fiscal space f</t>
  </si>
  <si>
    <t>8. Based on your experience working on LICs as part of a country team or a country assignment, please indicate the extent to which you agree with the following statements.: When borrowing space was limited, IMF advice tended to prioritize debt risk contai</t>
  </si>
  <si>
    <t>8. Based on your experience working on LICs as part of a country team or a country assignment, please indicate the extent to which you agree with the following statements.: Analytical tools linking public investment, growth, and debt dynamics (e.g. DIG mo</t>
  </si>
  <si>
    <t>8. Based on your experience working on LICs as part of a country team or a country assignment, please indicate the extent to which you agree with the following statements.: Medium- and long-term growth payoffs from public investment were sufficiently inte</t>
  </si>
  <si>
    <t>C. Public Investment and Debt Management</t>
  </si>
  <si>
    <t>9. Based on your experience working on LICs as part of a country team or a country assignment, please indicate the extent to which you agree with the following statements.: IMF teams could adequately assess investment-related borrowing using external proj</t>
  </si>
  <si>
    <t xml:space="preserve">9. Based on your experience working on LICs as part of a country team or a country assignment, please indicate the extent to which you agree with the following statements.: IMF surveillance and/or program discussions clarified not only whether to borrow, </t>
  </si>
  <si>
    <t>9. Based on your experience working on LICs as part of a country team or a country assignment, please indicate the extent to which you agree with the following statements.: Structural benchmarks and prior actions should be used more extensively to strengt</t>
  </si>
  <si>
    <t>9. Based on your experience working on LICs as part of a country team or a country assignment, please indicate the extent to which you agree with the following statements.: Structural benchmarks related to public debt management were sufficiently implemen</t>
  </si>
  <si>
    <t>D. Debt Transparency</t>
  </si>
  <si>
    <t>10. Based on your experience working on LICs as part of a country team or a country assignment, please indicate the extent to which you agree with the following statements.: In the context of program engagement, IMF country teams were able to devote suffi</t>
  </si>
  <si>
    <t>10. Based on your experience working on LICs as part of a country team or a country assignment, please indicate the extent to which you agree with the following statements.: LICs have the institutional capacity to comply with the recently approved new min</t>
  </si>
  <si>
    <t>10. Based on your experience working on LICs as part of a country team or a country assignment, please indicate the extent to which you agree with the following statements.: During missions in LICs, IMF country teams discussed with the authorities the imp</t>
  </si>
  <si>
    <t>E. Collaboration with Others</t>
  </si>
  <si>
    <t>11. Based on your experience working on LICs as part of a country team or a country assignment, how effectively did your department collaborate with the following IMF departments on public debt management issues in LICs?: FAD</t>
  </si>
  <si>
    <t>11. Based on your experience working on LICs as part of a country team or a country assignment, how effectively did your department collaborate with the following IMF departments on public debt management issues in LICs?: ICD</t>
  </si>
  <si>
    <t>11. Based on your experience working on LICs as part of a country team or a country assignment, how effectively did your department collaborate with the following IMF departments on public debt management issues in LICs?: LEG</t>
  </si>
  <si>
    <t>11. Based on your experience working on LICs as part of a country team or a country assignment, how effectively did your department collaborate with the following IMF departments on public debt management issues in LICs?: MCM</t>
  </si>
  <si>
    <t>11. Based on your experience working on LICs as part of a country team or a country assignment, how effectively did your department collaborate with the following IMF departments on public debt management issues in LICs?: SPR</t>
  </si>
  <si>
    <t>11. Based on your experience working on LICs as part of a country team or a country assignment, how effectively did your department collaborate with the following IMF departments on public debt management issues in LICs?: STA</t>
  </si>
  <si>
    <t>12. Based on your experience working on LICs as part of a country team or a country assignment, how effectively did your department collaborate with the World Bank on debt-related issues in LICs?: Debt data</t>
  </si>
  <si>
    <t>12. Based on your experience working on LICs as part of a country team or a country assignment, how effectively did your department collaborate with the World Bank on debt-related issues in LICs?: Growth-investment nexus</t>
  </si>
  <si>
    <t>12. Based on your experience working on LICs as part of a country team or a country assignment, how effectively did your department collaborate with the World Bank on debt-related issues in LICs?: Public debt sustainability</t>
  </si>
  <si>
    <t>12. Based on your experience working on LICs as part of a country team or a country assignment, how effectively did your department collaborate with the World Bank on debt-related issues in LICs?: International debt architecture</t>
  </si>
  <si>
    <t>12. Based on your experience working on LICs as part of a country team or a country assignment, how effectively did your department collaborate with the World Bank on debt-related issues in LICs?: Public debt transparency</t>
  </si>
  <si>
    <t>12. Based on your experience working on LICs as part of a country team or a country assignment, how effectively did your department collaborate with the World Bank on debt-related issues in LICs?: Public debt management</t>
  </si>
  <si>
    <t>F. Debt Restructuring</t>
  </si>
  <si>
    <t>13. Based on your experience working with IMF staff, please indicate the extent to which you agree with the following statements. IMF policies and guidance notes relevant to debt restructuring, such as the financing assurances policy, arrears policies, an</t>
  </si>
  <si>
    <t>13. Based on your experience working with IMF staff, please indicate the extent to which you agree with the following statements. IMF policies and guidance notes relevant to debt restructuring, such as the financing assurances policy, arrears policie (2)</t>
  </si>
  <si>
    <t>14. Have you worked on a LIC in the period 2005-25 while it was undergoing a debt restructuring?</t>
  </si>
  <si>
    <t>14.1. Which LIC did you work on most recently while it was undergoing a debt restructuring?</t>
  </si>
  <si>
    <t>14.2. Based on your experience working on a LIC involved in a debt restructuring, please rate how effectively your department collaborated with the following entities in the context of the LIC debt restructuring assignment you chose in the previous questi</t>
  </si>
  <si>
    <t>14.2. Based on your experience working on a LIC involved in a debt restructuring, please rate how effectively your department collaborated with the following entities in the context of the LIC debt restructuring assignment you chose in the previous q (2)</t>
  </si>
  <si>
    <t>14.2. Based on your experience working on a LIC involved in a debt restructuring, please rate how effectively your department collaborated with the following entities in the context of the LIC debt restructuring assignment you chose in the previous q (3)</t>
  </si>
  <si>
    <t>14.3. Based on your experience working on the LIC debt restructuring assignment you chose in the previous question, please indicate the extent to which you agree with the following statements.: Authorities of countries undergoing a debt restructuring demo</t>
  </si>
  <si>
    <t xml:space="preserve">14.3. Based on your experience working on the LIC debt restructuring assignment you chose in the previous question, please indicate the extent to which you agree with the following statements.: Authorities of countries undergoing a debt restructuring had </t>
  </si>
  <si>
    <t>Completed Date (GMT-05:00) Eastern [US &amp; Canada]</t>
  </si>
</sst>
</file>

<file path=xl/styles.xml><?xml version="1.0" encoding="utf-8"?>
<styleSheet xmlns="http://schemas.openxmlformats.org/spreadsheetml/2006/main">
  <numFmts count="1">
    <numFmt numFmtId="177" formatCode="@"/>
  </numFmts>
  <fonts count="5">
    <font>
      <sz val="10"/>
      <color theme="1"/>
      <name val="Arial"/>
      <family val="2"/>
    </font>
    <font>
      <b/>
      <sz val="13"/>
      <color theme="1"/>
      <name val="Calibri"/>
      <family val="2"/>
    </font>
    <font>
      <sz val="12"/>
      <color theme="1"/>
      <name val="Calibri"/>
      <family val="2"/>
    </font>
    <font>
      <u val="single"/>
      <sz val="12"/>
      <color rgb="FF0000FF"/>
      <name val="Calibri"/>
      <family val="2"/>
    </font>
    <font>
      <u val="single"/>
      <sz val="10"/>
      <color rgb="FF0000FF"/>
      <name val="Arial"/>
      <family val="2"/>
    </font>
  </fonts>
  <fills count="3">
    <fill>
      <patternFill patternType="none"/>
    </fill>
    <fill>
      <patternFill patternType="gray125"/>
    </fill>
    <fill>
      <patternFill patternType="solid">
        <fgColor rgb="FFEDEDED"/>
        <bgColor indexed="64"/>
      </patternFill>
    </fill>
  </fills>
  <borders count="2">
    <border>
      <left/>
      <right/>
      <top/>
      <bottom/>
      <diagonal/>
    </border>
    <border>
      <left/>
      <right/>
      <top style="thin">
        <color rgb="FF000000"/>
      </top>
      <bottom style="thin">
        <color rgb="FF000000"/>
      </bottom>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4" fillId="0" borderId="0">
      <alignment/>
      <protection/>
    </xf>
  </cellStyleXfs>
  <cellXfs count="9">
    <xf numFmtId="0" fontId="0" fillId="0" borderId="0" xfId="0"/>
    <xf numFmtId="0" fontId="4" fillId="0" borderId="0" xfId="20">
      <alignment/>
      <protection/>
    </xf>
    <xf numFmtId="177" fontId="3" fillId="0" borderId="0" xfId="20" applyNumberFormat="1" applyFont="1" applyAlignment="1">
      <alignment wrapText="1"/>
      <protection/>
    </xf>
    <xf numFmtId="177" fontId="2" fillId="0" borderId="0" xfId="0" applyNumberFormat="1" applyFont="1" applyAlignment="1">
      <alignment wrapText="1"/>
    </xf>
    <xf numFmtId="22" fontId="2" fillId="0" borderId="0" xfId="0" applyNumberFormat="1" applyFont="1"/>
    <xf numFmtId="177" fontId="3" fillId="2" borderId="0" xfId="20" applyNumberFormat="1" applyFont="1" applyFill="1" applyAlignment="1">
      <alignment wrapText="1"/>
      <protection/>
    </xf>
    <xf numFmtId="177" fontId="2" fillId="2" borderId="0" xfId="0" applyNumberFormat="1" applyFont="1" applyFill="1" applyAlignment="1">
      <alignment wrapText="1"/>
    </xf>
    <xf numFmtId="22" fontId="2" fillId="2" borderId="0" xfId="0" applyNumberFormat="1" applyFont="1" applyFill="1"/>
    <xf numFmtId="0" fontId="1" fillId="0" borderId="1" xfId="0" applyFont="1" applyBorder="1" applyAlignment="1">
      <alignment vertical="center"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calcChain" Target="calcChain.xml" /></Relationships>
</file>

<file path=xl/tables/table1.xml><?xml version="1.0" encoding="utf-8"?>
<table xmlns="http://schemas.openxmlformats.org/spreadsheetml/2006/main" id="1" name="Table1" displayName="Table1" ref="A1:BO62" totalsRowShown="0">
  <autoFilter ref="A1:BO62"/>
  <tableColumns count="67">
    <tableColumn id="1" name="Response Code"/>
    <tableColumn id="2" name="Demographics"/>
    <tableColumn id="3" name="1. Which LIC assignment did you work on most recently as a member of a country team, either as a mission chief, desk economist, or functional economist/expert?"/>
    <tableColumn id="4" name="2. What was your role within the country team?"/>
    <tableColumn id="5" name="A. Identification of Debt Vulnerabilities"/>
    <tableColumn id="6" name="3. Please indicate the extent to which you agree with the following statements.: The IMF invested adequately in building and maintaining debt datasets for LICs"/>
    <tableColumn id="7" name="3. Please indicate the extent to which you agree with the following statements.: The IMF invested adequately in research and analysis on debt issues in LICs"/>
    <tableColumn id="8" name="3. Please indicate the extent to which you agree with the following statements.: IMF multilateral surveillance (e.g., flagships) identified major developments and emerging sources of debt risks in LICs in a timely manner"/>
    <tableColumn id="9" name="3. Please indicate the extent to which you agree with the following statements.: IMF bilateral surveillance identified country-specific debt risks in LICs in a timely manner"/>
    <tableColumn id="10" name="4. Based on your experience working on LICs as part of a country team or a country assignment, how important was the use of IMF debt sustainability tools, such as the LIC-DSF, Debt Limits Policy, Public Debt Dynamics Tool, DIG+, and Fiscal Space Assessmen"/>
    <tableColumn id="11" name="4. Based on your experience working on LICs as part of a country team or a country assignment, how important was the use of IMF debt sustainability tools, such as the LIC-DSF, Debt Limits Policy, Public Debt Dynamics Tool, DIG+, and Fiscal Space Asse (2)"/>
    <tableColumn id="12" name="4. Based on your experience working on LICs as part of a country team or a country assignment, how important was the use of IMF debt sustainability tools, such as the LIC-DSF, Debt Limits Policy, Public Debt Dynamics Tool, DIG+, and Fiscal Space Asse (3)"/>
    <tableColumn id="13" name="4. Based on your experience working on LICs as part of a country team or a country assignment, how important was the use of IMF debt sustainability tools, such as the LIC-DSF, Debt Limits Policy, Public Debt Dynamics Tool, DIG+, and Fiscal Space Asse (4)"/>
    <tableColumn id="14" name="4. Based on your experience working on LICs as part of a country team or a country assignment, how important was the use of IMF debt sustainability tools, such as the LIC-DSF, Debt Limits Policy, Public Debt Dynamics Tool, DIG+, and Fiscal Space Asse (5)"/>
    <tableColumn id="15" name="4. Based on your experience working on LICs as part of a country team or a country assignment, how important was the use of IMF debt sustainability tools, such as the LIC-DSF, Debt Limits Policy, Public Debt Dynamics Tool, DIG+, and Fiscal Space Asse (6)"/>
    <tableColumn id="16" name="4. Based on your experience working on LICs as part of a country team or a country assignment, how important was the use of IMF debt sustainability tools, such as the LIC-DSF, Debt Limits Policy, Public Debt Dynamics Tool, DIG+, and Fiscal Space Asse (7)"/>
    <tableColumn id="17" name="5. Based on your experience working on LICs as part of a country team or country assignment, how complex were the following aspects of the LIC-DSF to understand?: The LIC-DSF as a whole"/>
    <tableColumn id="18" name="5. Based on your experience working on LICs as part of a country team or country assignment, how complex were the following aspects of the LIC-DSF to understand?: Guidance Notes &amp; Online Resources"/>
    <tableColumn id="19" name="5. Based on your experience working on LICs as part of a country team or country assignment, how complex were the following aspects of the LIC-DSF to understand?: DSA Assumptions"/>
    <tableColumn id="20" name="5. Based on your experience working on LICs as part of a country team or country assignment, how complex were the following aspects of the LIC-DSF to understand?: Baseline Projections"/>
    <tableColumn id="21" name="5. Based on your experience working on LICs as part of a country team or country assignment, how complex were the following aspects of the LIC-DSF to understand?: Stress Tests"/>
    <tableColumn id="22" name="5. Based on your experience working on LICs as part of a country team or country assignment, how complex were the following aspects of the LIC-DSF to understand?: Realism Tools"/>
    <tableColumn id="23" name="5. Based on your experience working on LICs as part of a country team or country assignment, how complex were the following aspects of the LIC-DSF to understand?: DSA Underlying Model"/>
    <tableColumn id="24" name="5. Based on your experience working on LICs as part of a country team or country assignment, how complex were the following aspects of the LIC-DSF to understand?: Rating Classification"/>
    <tableColumn id="25" name="5. Based on your experience working on LICs as part of a country team or country assignment, how complex were the following aspects of the LIC-DSF to understand?: The Use of Judgement"/>
    <tableColumn id="26" name="5. Based on your experience working on LICs as part of a country team or country assignment, how complex were the following aspects of the LIC-DSF to understand?: DSA Staff Reports &amp; Final Outputs"/>
    <tableColumn id="27" name="6. Based on your experience working on LICs as part of a country team or country assignment, for which of these inputs and activities do you feel most confident in using the LIC‑DSF to assess a country’s debt sustainability effectively?"/>
    <tableColumn id="28" name="7. The use of judgment is an essential component of DSAs. Based on your experience working on LICs as part of a country team or country assignment, select the most relevant factors justifying the use of judgment to alter the mechanical risk rating in a DS"/>
    <tableColumn id="29" name="B. Growth-Investment Nexus"/>
    <tableColumn id="30" name="8. Based on your experience working on LICs as part of a country team or a country assignment, please indicate the extent to which you agree with the following statements.: IMF advice appropriately recognized fiscal space in LICs after HIPC/MDRI"/>
    <tableColumn id="31" name="8. Based on your experience working on LICs as part of a country team or a country assignment, please indicate the extent to which you agree with the following statements.: The IMF provided clear guidance on whether and how to use available fiscal space f"/>
    <tableColumn id="32" name="8. Based on your experience working on LICs as part of a country team or a country assignment, please indicate the extent to which you agree with the following statements.: When borrowing space was limited, IMF advice tended to prioritize debt risk contai"/>
    <tableColumn id="33" name="8. Based on your experience working on LICs as part of a country team or a country assignment, please indicate the extent to which you agree with the following statements.: Analytical tools linking public investment, growth, and debt dynamics (e.g. DIG mo"/>
    <tableColumn id="34" name="8. Based on your experience working on LICs as part of a country team or a country assignment, please indicate the extent to which you agree with the following statements.: Medium- and long-term growth payoffs from public investment were sufficiently inte"/>
    <tableColumn id="35" name="C. Public Investment and Debt Management"/>
    <tableColumn id="36" name="9. Based on your experience working on LICs as part of a country team or a country assignment, please indicate the extent to which you agree with the following statements.: IMF teams could adequately assess investment-related borrowing using external proj"/>
    <tableColumn id="37" name="9. Based on your experience working on LICs as part of a country team or a country assignment, please indicate the extent to which you agree with the following statements.: IMF surveillance and/or program discussions clarified not only whether to borrow, "/>
    <tableColumn id="38" name="9. Based on your experience working on LICs as part of a country team or a country assignment, please indicate the extent to which you agree with the following statements.: Structural benchmarks and prior actions should be used more extensively to strengt"/>
    <tableColumn id="39" name="9. Based on your experience working on LICs as part of a country team or a country assignment, please indicate the extent to which you agree with the following statements.: Structural benchmarks related to public debt management were sufficiently implemen"/>
    <tableColumn id="40" name="D. Debt Transparency"/>
    <tableColumn id="41" name="10. Based on your experience working on LICs as part of a country team or a country assignment, please indicate the extent to which you agree with the following statements.: In the context of program engagement, IMF country teams were able to devote suffi"/>
    <tableColumn id="42" name="10. Based on your experience working on LICs as part of a country team or a country assignment, please indicate the extent to which you agree with the following statements.: LICs have the institutional capacity to comply with the recently approved new min"/>
    <tableColumn id="43" name="10. Based on your experience working on LICs as part of a country team or a country assignment, please indicate the extent to which you agree with the following statements.: During missions in LICs, IMF country teams discussed with the authorities the imp"/>
    <tableColumn id="44" name="E. Collaboration with Others"/>
    <tableColumn id="45" name="11. Based on your experience working on LICs as part of a country team or a country assignment, how effectively did your department collaborate with the following IMF departments on public debt management issues in LICs?: FAD"/>
    <tableColumn id="46" name="11. Based on your experience working on LICs as part of a country team or a country assignment, how effectively did your department collaborate with the following IMF departments on public debt management issues in LICs?: ICD"/>
    <tableColumn id="47" name="11. Based on your experience working on LICs as part of a country team or a country assignment, how effectively did your department collaborate with the following IMF departments on public debt management issues in LICs?: LEG"/>
    <tableColumn id="48" name="11. Based on your experience working on LICs as part of a country team or a country assignment, how effectively did your department collaborate with the following IMF departments on public debt management issues in LICs?: MCM"/>
    <tableColumn id="49" name="11. Based on your experience working on LICs as part of a country team or a country assignment, how effectively did your department collaborate with the following IMF departments on public debt management issues in LICs?: SPR"/>
    <tableColumn id="50" name="11. Based on your experience working on LICs as part of a country team or a country assignment, how effectively did your department collaborate with the following IMF departments on public debt management issues in LICs?: STA"/>
    <tableColumn id="51" name="12. Based on your experience working on LICs as part of a country team or a country assignment, how effectively did your department collaborate with the World Bank on debt-related issues in LICs?: Debt data"/>
    <tableColumn id="52" name="12. Based on your experience working on LICs as part of a country team or a country assignment, how effectively did your department collaborate with the World Bank on debt-related issues in LICs?: Growth-investment nexus"/>
    <tableColumn id="53" name="12. Based on your experience working on LICs as part of a country team or a country assignment, how effectively did your department collaborate with the World Bank on debt-related issues in LICs?: Public debt sustainability"/>
    <tableColumn id="54" name="12. Based on your experience working on LICs as part of a country team or a country assignment, how effectively did your department collaborate with the World Bank on debt-related issues in LICs?: International debt architecture"/>
    <tableColumn id="55" name="12. Based on your experience working on LICs as part of a country team or a country assignment, how effectively did your department collaborate with the World Bank on debt-related issues in LICs?: Public debt transparency"/>
    <tableColumn id="56" name="12. Based on your experience working on LICs as part of a country team or a country assignment, how effectively did your department collaborate with the World Bank on debt-related issues in LICs?: Public debt management"/>
    <tableColumn id="57" name="F. Debt Restructuring"/>
    <tableColumn id="58" name="13. Based on your experience working with IMF staff, please indicate the extent to which you agree with the following statements. IMF policies and guidance notes relevant to debt restructuring, such as the financing assurances policy, arrears policies, an"/>
    <tableColumn id="59" name="13. Based on your experience working with IMF staff, please indicate the extent to which you agree with the following statements. IMF policies and guidance notes relevant to debt restructuring, such as the financing assurances policy, arrears policie (2)"/>
    <tableColumn id="60" name="14. Have you worked on a LIC in the period 2005-25 while it was undergoing a debt restructuring?"/>
    <tableColumn id="61" name="14.1. Which LIC did you work on most recently while it was undergoing a debt restructuring?"/>
    <tableColumn id="62" name="14.2. Based on your experience working on a LIC involved in a debt restructuring, please rate how effectively your department collaborated with the following entities in the context of the LIC debt restructuring assignment you chose in the previous questi"/>
    <tableColumn id="63" name="14.2. Based on your experience working on a LIC involved in a debt restructuring, please rate how effectively your department collaborated with the following entities in the context of the LIC debt restructuring assignment you chose in the previous q (2)"/>
    <tableColumn id="64" name="14.2. Based on your experience working on a LIC involved in a debt restructuring, please rate how effectively your department collaborated with the following entities in the context of the LIC debt restructuring assignment you chose in the previous q (3)"/>
    <tableColumn id="65" name="14.3. Based on your experience working on the LIC debt restructuring assignment you chose in the previous question, please indicate the extent to which you agree with the following statements.: Authorities of countries undergoing a debt restructuring demo"/>
    <tableColumn id="66" name="14.3. Based on your experience working on the LIC debt restructuring assignment you chose in the previous question, please indicate the extent to which you agree with the following statements.: Authorities of countries undergoing a debt restructuring had "/>
    <tableColumn id="67" name="Completed Date (GMT-05:00) Eastern [US &amp; Canad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40" Type="http://schemas.openxmlformats.org/officeDocument/2006/relationships/hyperlink" Target="https://app.cvent.com/subscribers/Survey/Responses/RespondentDetails/Index/View?surveyId=8bb7a070-1a07-403d-9703-8407b46ff62e&amp;respondentId=7bc9c61f-e3c3-40e3-84f8-70bf3c1a1476&amp;surveyAudience=attendees" TargetMode="External" /><Relationship Id="rId42" Type="http://schemas.openxmlformats.org/officeDocument/2006/relationships/hyperlink" Target="https://app.cvent.com/subscribers/Survey/Responses/RespondentDetails/Index/View?surveyId=8bb7a070-1a07-403d-9703-8407b46ff62e&amp;respondentId=229cfdcd-5c94-46d5-931b-cb5d72e473ae&amp;surveyAudience=attendees" TargetMode="External" /><Relationship Id="rId41" Type="http://schemas.openxmlformats.org/officeDocument/2006/relationships/hyperlink" Target="https://app.cvent.com/subscribers/Survey/Responses/RespondentDetails/Index/View?surveyId=8bb7a070-1a07-403d-9703-8407b46ff62e&amp;respondentId=7992f9cf-62ad-4ebd-8fdc-dda5f141a4f3&amp;surveyAudience=attendees" TargetMode="External" /><Relationship Id="rId44" Type="http://schemas.openxmlformats.org/officeDocument/2006/relationships/hyperlink" Target="https://app.cvent.com/subscribers/Survey/Responses/RespondentDetails/Index/View?surveyId=8bb7a070-1a07-403d-9703-8407b46ff62e&amp;respondentId=9fb2610b-90cb-4ce1-a141-604d6a556814&amp;surveyAudience=attendees" TargetMode="External" /><Relationship Id="rId43" Type="http://schemas.openxmlformats.org/officeDocument/2006/relationships/hyperlink" Target="https://app.cvent.com/subscribers/Survey/Responses/RespondentDetails/Index/View?surveyId=8bb7a070-1a07-403d-9703-8407b46ff62e&amp;respondentId=d0153258-dd93-449a-918c-d74adc9d5e51&amp;surveyAudience=attendees" TargetMode="External" /><Relationship Id="rId46" Type="http://schemas.openxmlformats.org/officeDocument/2006/relationships/hyperlink" Target="https://app.cvent.com/subscribers/Survey/Responses/RespondentDetails/Index/View?surveyId=8bb7a070-1a07-403d-9703-8407b46ff62e&amp;respondentId=97d35fd9-1cfe-4e55-863a-331c0e6092bb&amp;surveyAudience=attendees" TargetMode="External" /><Relationship Id="rId45" Type="http://schemas.openxmlformats.org/officeDocument/2006/relationships/hyperlink" Target="https://app.cvent.com/subscribers/Survey/Responses/RespondentDetails/Index/View?surveyId=8bb7a070-1a07-403d-9703-8407b46ff62e&amp;respondentId=b73bab7a-3f87-4a8e-ab50-dee2860f06cf&amp;surveyAudience=attendees" TargetMode="External" /><Relationship Id="rId1" Type="http://schemas.openxmlformats.org/officeDocument/2006/relationships/hyperlink" Target="https://app.cvent.com/subscribers/Survey/Responses/RespondentDetails/Index/View?surveyId=8bb7a070-1a07-403d-9703-8407b46ff62e&amp;respondentId=22581269-3ccc-48a9-b591-823664284770&amp;surveyAudience=attendees" TargetMode="External" /><Relationship Id="rId2" Type="http://schemas.openxmlformats.org/officeDocument/2006/relationships/hyperlink" Target="https://app.cvent.com/subscribers/Survey/Responses/RespondentDetails/Index/View?surveyId=8bb7a070-1a07-403d-9703-8407b46ff62e&amp;respondentId=bdb49f40-c375-4e23-9908-f4de175057c5&amp;surveyAudience=attendees" TargetMode="External" /><Relationship Id="rId3" Type="http://schemas.openxmlformats.org/officeDocument/2006/relationships/hyperlink" Target="https://app.cvent.com/subscribers/Survey/Responses/RespondentDetails/Index/View?surveyId=8bb7a070-1a07-403d-9703-8407b46ff62e&amp;respondentId=63a76e47-9f96-4ab2-8fb3-288272fceaf3&amp;surveyAudience=attendees" TargetMode="External" /><Relationship Id="rId4" Type="http://schemas.openxmlformats.org/officeDocument/2006/relationships/hyperlink" Target="https://app.cvent.com/subscribers/Survey/Responses/RespondentDetails/Index/View?surveyId=8bb7a070-1a07-403d-9703-8407b46ff62e&amp;respondentId=45ddb4ef-9906-4680-aad7-11146f90ea81&amp;surveyAudience=attendees" TargetMode="External" /><Relationship Id="rId9" Type="http://schemas.openxmlformats.org/officeDocument/2006/relationships/hyperlink" Target="https://app.cvent.com/subscribers/Survey/Responses/RespondentDetails/Index/View?surveyId=8bb7a070-1a07-403d-9703-8407b46ff62e&amp;respondentId=a81d78d4-e650-4aa7-825b-0b5415d8598b&amp;surveyAudience=attendees" TargetMode="External" /><Relationship Id="rId48" Type="http://schemas.openxmlformats.org/officeDocument/2006/relationships/hyperlink" Target="https://app.cvent.com/subscribers/Survey/Responses/RespondentDetails/Index/View?surveyId=8bb7a070-1a07-403d-9703-8407b46ff62e&amp;respondentId=9b31e7eb-cb11-45c0-b331-b684a3992699&amp;surveyAudience=attendees" TargetMode="External" /><Relationship Id="rId47" Type="http://schemas.openxmlformats.org/officeDocument/2006/relationships/hyperlink" Target="https://app.cvent.com/subscribers/Survey/Responses/RespondentDetails/Index/View?surveyId=8bb7a070-1a07-403d-9703-8407b46ff62e&amp;respondentId=eebb864b-c490-460d-b795-09ac538e81ff&amp;surveyAudience=attendees" TargetMode="External" /><Relationship Id="rId49" Type="http://schemas.openxmlformats.org/officeDocument/2006/relationships/hyperlink" Target="https://app.cvent.com/subscribers/Survey/Responses/RespondentDetails/Index/View?surveyId=8bb7a070-1a07-403d-9703-8407b46ff62e&amp;respondentId=718eb567-d2c1-4f15-b86a-ac12fa23a003&amp;surveyAudience=attendees" TargetMode="External" /><Relationship Id="rId5" Type="http://schemas.openxmlformats.org/officeDocument/2006/relationships/hyperlink" Target="https://app.cvent.com/subscribers/Survey/Responses/RespondentDetails/Index/View?surveyId=8bb7a070-1a07-403d-9703-8407b46ff62e&amp;respondentId=21e0672e-8d89-4b8c-bffa-d7e2a46c42cc&amp;surveyAudience=attendees" TargetMode="External" /><Relationship Id="rId6" Type="http://schemas.openxmlformats.org/officeDocument/2006/relationships/hyperlink" Target="https://app.cvent.com/subscribers/Survey/Responses/RespondentDetails/Index/View?surveyId=8bb7a070-1a07-403d-9703-8407b46ff62e&amp;respondentId=beb046c5-47a5-4f47-9628-b70d71907647&amp;surveyAudience=attendees" TargetMode="External" /><Relationship Id="rId7" Type="http://schemas.openxmlformats.org/officeDocument/2006/relationships/hyperlink" Target="https://app.cvent.com/subscribers/Survey/Responses/RespondentDetails/Index/View?surveyId=8bb7a070-1a07-403d-9703-8407b46ff62e&amp;respondentId=1fc94c94-1cbd-4701-8da2-6e049a77daea&amp;surveyAudience=attendees" TargetMode="External" /><Relationship Id="rId8" Type="http://schemas.openxmlformats.org/officeDocument/2006/relationships/hyperlink" Target="https://app.cvent.com/subscribers/Survey/Responses/RespondentDetails/Index/View?surveyId=8bb7a070-1a07-403d-9703-8407b46ff62e&amp;respondentId=4a09e040-c829-45d6-84bf-61a34c2b9740&amp;surveyAudience=attendees" TargetMode="External" /><Relationship Id="rId31" Type="http://schemas.openxmlformats.org/officeDocument/2006/relationships/hyperlink" Target="https://app.cvent.com/subscribers/Survey/Responses/RespondentDetails/Index/View?surveyId=8bb7a070-1a07-403d-9703-8407b46ff62e&amp;respondentId=0bff29df-c250-4ac9-9c6c-c7f0d52d53e4&amp;surveyAudience=attendees" TargetMode="External" /><Relationship Id="rId30" Type="http://schemas.openxmlformats.org/officeDocument/2006/relationships/hyperlink" Target="https://app.cvent.com/subscribers/Survey/Responses/RespondentDetails/Index/View?surveyId=8bb7a070-1a07-403d-9703-8407b46ff62e&amp;respondentId=cc9a4878-a385-4015-ba59-23512746bee6&amp;surveyAudience=attendees" TargetMode="External" /><Relationship Id="rId33" Type="http://schemas.openxmlformats.org/officeDocument/2006/relationships/hyperlink" Target="https://app.cvent.com/subscribers/Survey/Responses/RespondentDetails/Index/View?surveyId=8bb7a070-1a07-403d-9703-8407b46ff62e&amp;respondentId=68f08f46-6841-4cb0-900f-5557fb197ae8&amp;surveyAudience=attendees" TargetMode="External" /><Relationship Id="rId32" Type="http://schemas.openxmlformats.org/officeDocument/2006/relationships/hyperlink" Target="https://app.cvent.com/subscribers/Survey/Responses/RespondentDetails/Index/View?surveyId=8bb7a070-1a07-403d-9703-8407b46ff62e&amp;respondentId=c0228c6a-22ed-4180-bac8-85017f1503ec&amp;surveyAudience=attendees" TargetMode="External" /><Relationship Id="rId35" Type="http://schemas.openxmlformats.org/officeDocument/2006/relationships/hyperlink" Target="https://app.cvent.com/subscribers/Survey/Responses/RespondentDetails/Index/View?surveyId=8bb7a070-1a07-403d-9703-8407b46ff62e&amp;respondentId=05b4deaf-8186-436f-a3ad-b18099526503&amp;surveyAudience=attendees" TargetMode="External" /><Relationship Id="rId34" Type="http://schemas.openxmlformats.org/officeDocument/2006/relationships/hyperlink" Target="https://app.cvent.com/subscribers/Survey/Responses/RespondentDetails/Index/View?surveyId=8bb7a070-1a07-403d-9703-8407b46ff62e&amp;respondentId=2f3beb49-6a6f-4cde-aefa-2e2e376ad861&amp;surveyAudience=attendees" TargetMode="External" /><Relationship Id="rId37" Type="http://schemas.openxmlformats.org/officeDocument/2006/relationships/hyperlink" Target="https://app.cvent.com/subscribers/Survey/Responses/RespondentDetails/Index/View?surveyId=8bb7a070-1a07-403d-9703-8407b46ff62e&amp;respondentId=739153c4-9cf7-4dbc-bd88-8a21438bc226&amp;surveyAudience=attendees" TargetMode="External" /><Relationship Id="rId36" Type="http://schemas.openxmlformats.org/officeDocument/2006/relationships/hyperlink" Target="https://app.cvent.com/subscribers/Survey/Responses/RespondentDetails/Index/View?surveyId=8bb7a070-1a07-403d-9703-8407b46ff62e&amp;respondentId=b114ddcc-cba2-4d0a-832f-219edbed4335&amp;surveyAudience=attendees" TargetMode="External" /><Relationship Id="rId39" Type="http://schemas.openxmlformats.org/officeDocument/2006/relationships/hyperlink" Target="https://app.cvent.com/subscribers/Survey/Responses/RespondentDetails/Index/View?surveyId=8bb7a070-1a07-403d-9703-8407b46ff62e&amp;respondentId=043525a4-723c-4906-817f-6a55a8052677&amp;surveyAudience=attendees" TargetMode="External" /><Relationship Id="rId38" Type="http://schemas.openxmlformats.org/officeDocument/2006/relationships/hyperlink" Target="https://app.cvent.com/subscribers/Survey/Responses/RespondentDetails/Index/View?surveyId=8bb7a070-1a07-403d-9703-8407b46ff62e&amp;respondentId=85c354a6-d830-457d-837b-71de42ca77c1&amp;surveyAudience=attendees" TargetMode="External" /><Relationship Id="rId62" Type="http://schemas.openxmlformats.org/officeDocument/2006/relationships/table" Target="../tables/table1.xml" /><Relationship Id="rId61" Type="http://schemas.openxmlformats.org/officeDocument/2006/relationships/hyperlink" Target="https://app.cvent.com/subscribers/Survey/Responses/RespondentDetails/Index/View?surveyId=8bb7a070-1a07-403d-9703-8407b46ff62e&amp;respondentId=9d41997b-5448-4306-9ee9-945b0fb1b5fa&amp;surveyAudience=attendees" TargetMode="External" /><Relationship Id="rId20" Type="http://schemas.openxmlformats.org/officeDocument/2006/relationships/hyperlink" Target="https://app.cvent.com/subscribers/Survey/Responses/RespondentDetails/Index/View?surveyId=8bb7a070-1a07-403d-9703-8407b46ff62e&amp;respondentId=a3aff628-867d-4892-918c-58985bc8cfd0&amp;surveyAudience=attendees" TargetMode="External" /><Relationship Id="rId22" Type="http://schemas.openxmlformats.org/officeDocument/2006/relationships/hyperlink" Target="https://app.cvent.com/subscribers/Survey/Responses/RespondentDetails/Index/View?surveyId=8bb7a070-1a07-403d-9703-8407b46ff62e&amp;respondentId=acea8e94-1288-4a80-97bf-89485b253bfe&amp;surveyAudience=attendees" TargetMode="External" /><Relationship Id="rId21" Type="http://schemas.openxmlformats.org/officeDocument/2006/relationships/hyperlink" Target="https://app.cvent.com/subscribers/Survey/Responses/RespondentDetails/Index/View?surveyId=8bb7a070-1a07-403d-9703-8407b46ff62e&amp;respondentId=81dd1dc0-2f27-4df6-ab18-d69d6768cf9f&amp;surveyAudience=attendees" TargetMode="External" /><Relationship Id="rId24" Type="http://schemas.openxmlformats.org/officeDocument/2006/relationships/hyperlink" Target="https://app.cvent.com/subscribers/Survey/Responses/RespondentDetails/Index/View?surveyId=8bb7a070-1a07-403d-9703-8407b46ff62e&amp;respondentId=5da750ff-5581-4644-aae1-3697601d57aa&amp;surveyAudience=attendees" TargetMode="External" /><Relationship Id="rId23" Type="http://schemas.openxmlformats.org/officeDocument/2006/relationships/hyperlink" Target="https://app.cvent.com/subscribers/Survey/Responses/RespondentDetails/Index/View?surveyId=8bb7a070-1a07-403d-9703-8407b46ff62e&amp;respondentId=6f8f376b-5bc1-4664-856f-6f0657701f27&amp;surveyAudience=attendees" TargetMode="External" /><Relationship Id="rId60" Type="http://schemas.openxmlformats.org/officeDocument/2006/relationships/hyperlink" Target="https://app.cvent.com/subscribers/Survey/Responses/RespondentDetails/Index/View?surveyId=8bb7a070-1a07-403d-9703-8407b46ff62e&amp;respondentId=11f7cb52-e027-4c97-880c-bfcbdb35d94b&amp;surveyAudience=attendees" TargetMode="External" /><Relationship Id="rId26" Type="http://schemas.openxmlformats.org/officeDocument/2006/relationships/hyperlink" Target="https://app.cvent.com/subscribers/Survey/Responses/RespondentDetails/Index/View?surveyId=8bb7a070-1a07-403d-9703-8407b46ff62e&amp;respondentId=f305d08e-6254-4a55-b097-c35b56ad0241&amp;surveyAudience=attendees" TargetMode="External" /><Relationship Id="rId25" Type="http://schemas.openxmlformats.org/officeDocument/2006/relationships/hyperlink" Target="https://app.cvent.com/subscribers/Survey/Responses/RespondentDetails/Index/View?surveyId=8bb7a070-1a07-403d-9703-8407b46ff62e&amp;respondentId=a73245f4-c5ce-420a-8776-d9e6d09a4b14&amp;surveyAudience=attendees" TargetMode="External" /><Relationship Id="rId28" Type="http://schemas.openxmlformats.org/officeDocument/2006/relationships/hyperlink" Target="https://app.cvent.com/subscribers/Survey/Responses/RespondentDetails/Index/View?surveyId=8bb7a070-1a07-403d-9703-8407b46ff62e&amp;respondentId=42125e7d-9afe-481f-b4c2-b5f20aa422eb&amp;surveyAudience=attendees" TargetMode="External" /><Relationship Id="rId27" Type="http://schemas.openxmlformats.org/officeDocument/2006/relationships/hyperlink" Target="https://app.cvent.com/subscribers/Survey/Responses/RespondentDetails/Index/View?surveyId=8bb7a070-1a07-403d-9703-8407b46ff62e&amp;respondentId=9fc08c1c-dea2-482d-99dd-3879e05bfca0&amp;surveyAudience=attendees" TargetMode="External" /><Relationship Id="rId29" Type="http://schemas.openxmlformats.org/officeDocument/2006/relationships/hyperlink" Target="https://app.cvent.com/subscribers/Survey/Responses/RespondentDetails/Index/View?surveyId=8bb7a070-1a07-403d-9703-8407b46ff62e&amp;respondentId=0954b3ec-c426-49b8-a075-2f33f3886942&amp;surveyAudience=attendees" TargetMode="External" /><Relationship Id="rId51" Type="http://schemas.openxmlformats.org/officeDocument/2006/relationships/hyperlink" Target="https://app.cvent.com/subscribers/Survey/Responses/RespondentDetails/Index/View?surveyId=8bb7a070-1a07-403d-9703-8407b46ff62e&amp;respondentId=37c58ec5-8795-47eb-b717-fb0a845cad28&amp;surveyAudience=attendees" TargetMode="External" /><Relationship Id="rId50" Type="http://schemas.openxmlformats.org/officeDocument/2006/relationships/hyperlink" Target="https://app.cvent.com/subscribers/Survey/Responses/RespondentDetails/Index/View?surveyId=8bb7a070-1a07-403d-9703-8407b46ff62e&amp;respondentId=d5ca415e-9e04-4db0-84c1-5f6db439137c&amp;surveyAudience=attendees" TargetMode="External" /><Relationship Id="rId53" Type="http://schemas.openxmlformats.org/officeDocument/2006/relationships/hyperlink" Target="https://app.cvent.com/subscribers/Survey/Responses/RespondentDetails/Index/View?surveyId=8bb7a070-1a07-403d-9703-8407b46ff62e&amp;respondentId=d9280a8f-31f4-4753-949a-a2434e71d689&amp;surveyAudience=attendees" TargetMode="External" /><Relationship Id="rId52" Type="http://schemas.openxmlformats.org/officeDocument/2006/relationships/hyperlink" Target="https://app.cvent.com/subscribers/Survey/Responses/RespondentDetails/Index/View?surveyId=8bb7a070-1a07-403d-9703-8407b46ff62e&amp;respondentId=3b8c584b-9d2e-4567-97d4-0ebdd6d683b4&amp;surveyAudience=attendees" TargetMode="External" /><Relationship Id="rId11" Type="http://schemas.openxmlformats.org/officeDocument/2006/relationships/hyperlink" Target="https://app.cvent.com/subscribers/Survey/Responses/RespondentDetails/Index/View?surveyId=8bb7a070-1a07-403d-9703-8407b46ff62e&amp;respondentId=df394054-55e4-452b-8d04-a2171ce96aa1&amp;surveyAudience=attendees" TargetMode="External" /><Relationship Id="rId55" Type="http://schemas.openxmlformats.org/officeDocument/2006/relationships/hyperlink" Target="https://app.cvent.com/subscribers/Survey/Responses/RespondentDetails/Index/View?surveyId=8bb7a070-1a07-403d-9703-8407b46ff62e&amp;respondentId=704b7c8b-eef1-4444-b502-262e5a74a42b&amp;surveyAudience=attendees" TargetMode="External" /><Relationship Id="rId10" Type="http://schemas.openxmlformats.org/officeDocument/2006/relationships/hyperlink" Target="https://app.cvent.com/subscribers/Survey/Responses/RespondentDetails/Index/View?surveyId=8bb7a070-1a07-403d-9703-8407b46ff62e&amp;respondentId=37ca0538-5f6e-4830-815b-6913dbfe06d8&amp;surveyAudience=attendees" TargetMode="External" /><Relationship Id="rId54" Type="http://schemas.openxmlformats.org/officeDocument/2006/relationships/hyperlink" Target="https://app.cvent.com/subscribers/Survey/Responses/RespondentDetails/Index/View?surveyId=8bb7a070-1a07-403d-9703-8407b46ff62e&amp;respondentId=f59a794b-7740-4bc7-a8d3-56d3805ffb1f&amp;surveyAudience=attendees" TargetMode="External" /><Relationship Id="rId13" Type="http://schemas.openxmlformats.org/officeDocument/2006/relationships/hyperlink" Target="https://app.cvent.com/subscribers/Survey/Responses/RespondentDetails/Index/View?surveyId=8bb7a070-1a07-403d-9703-8407b46ff62e&amp;respondentId=28c7a0ce-8b28-49f6-b20a-7c1c2870d294&amp;surveyAudience=attendees" TargetMode="External" /><Relationship Id="rId57" Type="http://schemas.openxmlformats.org/officeDocument/2006/relationships/hyperlink" Target="https://app.cvent.com/subscribers/Survey/Responses/RespondentDetails/Index/View?surveyId=8bb7a070-1a07-403d-9703-8407b46ff62e&amp;respondentId=75061445-c961-4428-822c-ab82ec0a38df&amp;surveyAudience=attendees" TargetMode="External" /><Relationship Id="rId12" Type="http://schemas.openxmlformats.org/officeDocument/2006/relationships/hyperlink" Target="https://app.cvent.com/subscribers/Survey/Responses/RespondentDetails/Index/View?surveyId=8bb7a070-1a07-403d-9703-8407b46ff62e&amp;respondentId=230bcf4d-b4f0-4afb-993b-870631ffe27b&amp;surveyAudience=attendees" TargetMode="External" /><Relationship Id="rId56" Type="http://schemas.openxmlformats.org/officeDocument/2006/relationships/hyperlink" Target="https://app.cvent.com/subscribers/Survey/Responses/RespondentDetails/Index/View?surveyId=8bb7a070-1a07-403d-9703-8407b46ff62e&amp;respondentId=ef58f02b-4638-409c-898b-cc7e612995e2&amp;surveyAudience=attendees" TargetMode="External" /><Relationship Id="rId15" Type="http://schemas.openxmlformats.org/officeDocument/2006/relationships/hyperlink" Target="https://app.cvent.com/subscribers/Survey/Responses/RespondentDetails/Index/View?surveyId=8bb7a070-1a07-403d-9703-8407b46ff62e&amp;respondentId=3877bdbb-69f9-40e6-9b4b-36d0c73651af&amp;surveyAudience=attendees" TargetMode="External" /><Relationship Id="rId59" Type="http://schemas.openxmlformats.org/officeDocument/2006/relationships/hyperlink" Target="https://app.cvent.com/subscribers/Survey/Responses/RespondentDetails/Index/View?surveyId=8bb7a070-1a07-403d-9703-8407b46ff62e&amp;respondentId=b0ac2de4-8f8c-4b34-8773-bdd897d6e4c8&amp;surveyAudience=attendees" TargetMode="External" /><Relationship Id="rId14" Type="http://schemas.openxmlformats.org/officeDocument/2006/relationships/hyperlink" Target="https://app.cvent.com/subscribers/Survey/Responses/RespondentDetails/Index/View?surveyId=8bb7a070-1a07-403d-9703-8407b46ff62e&amp;respondentId=79a6ba87-bdf1-4a5c-a8d7-d9e0d861572c&amp;surveyAudience=attendees" TargetMode="External" /><Relationship Id="rId58" Type="http://schemas.openxmlformats.org/officeDocument/2006/relationships/hyperlink" Target="https://app.cvent.com/subscribers/Survey/Responses/RespondentDetails/Index/View?surveyId=8bb7a070-1a07-403d-9703-8407b46ff62e&amp;respondentId=230a5017-d929-40bd-ae60-9d37a173b13c&amp;surveyAudience=attendees" TargetMode="External" /><Relationship Id="rId17" Type="http://schemas.openxmlformats.org/officeDocument/2006/relationships/hyperlink" Target="https://app.cvent.com/subscribers/Survey/Responses/RespondentDetails/Index/View?surveyId=8bb7a070-1a07-403d-9703-8407b46ff62e&amp;respondentId=cd663f4f-ddaa-4ab2-9ae0-ff32672f92e6&amp;surveyAudience=attendees" TargetMode="External" /><Relationship Id="rId16" Type="http://schemas.openxmlformats.org/officeDocument/2006/relationships/hyperlink" Target="https://app.cvent.com/subscribers/Survey/Responses/RespondentDetails/Index/View?surveyId=8bb7a070-1a07-403d-9703-8407b46ff62e&amp;respondentId=b55b317d-1dc6-4bc9-84cb-a5eb7cd20013&amp;surveyAudience=attendees" TargetMode="External" /><Relationship Id="rId19" Type="http://schemas.openxmlformats.org/officeDocument/2006/relationships/hyperlink" Target="https://app.cvent.com/subscribers/Survey/Responses/RespondentDetails/Index/View?surveyId=8bb7a070-1a07-403d-9703-8407b46ff62e&amp;respondentId=6ce9e2f3-1e52-43cf-a175-7954be92e077&amp;surveyAudience=attendees" TargetMode="External" /><Relationship Id="rId18" Type="http://schemas.openxmlformats.org/officeDocument/2006/relationships/hyperlink" Target="https://app.cvent.com/subscribers/Survey/Responses/RespondentDetails/Index/View?surveyId=8bb7a070-1a07-403d-9703-8407b46ff62e&amp;respondentId=97e9eeb9-18c0-4b4a-990b-18bd61ff9fcc&amp;surveyAudience=attendee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a7edf1-d856-4f99-bcc2-b1fa79054a2a}">
  <dimension ref="A1:BO62"/>
  <sheetViews>
    <sheetView workbookViewId="0" topLeftCell="A1"/>
  </sheetViews>
  <sheetFormatPr defaultRowHeight="12.75"/>
  <cols>
    <col min="1" max="67" width="27.428571428571427" customWidth="1"/>
  </cols>
  <sheetData>
    <row r="1" spans="1:67" ht="12.75">
      <c r="A1" s="8" t="s">
        <v>216</v>
      </c>
      <c r="B1" s="8" t="s">
        <v>217</v>
      </c>
      <c r="C1" s="8" t="s">
        <v>218</v>
      </c>
      <c r="D1" s="8" t="s">
        <v>219</v>
      </c>
      <c r="E1" s="8" t="s">
        <v>220</v>
      </c>
      <c r="F1" s="8" t="s">
        <v>221</v>
      </c>
      <c r="G1" s="8" t="s">
        <v>222</v>
      </c>
      <c r="H1" s="8" t="s">
        <v>223</v>
      </c>
      <c r="I1" s="8" t="s">
        <v>224</v>
      </c>
      <c r="J1" s="8" t="s">
        <v>225</v>
      </c>
      <c r="K1" s="8" t="s">
        <v>226</v>
      </c>
      <c r="L1" s="8" t="s">
        <v>227</v>
      </c>
      <c r="M1" s="8" t="s">
        <v>228</v>
      </c>
      <c r="N1" s="8" t="s">
        <v>229</v>
      </c>
      <c r="O1" s="8" t="s">
        <v>230</v>
      </c>
      <c r="P1" s="8" t="s">
        <v>231</v>
      </c>
      <c r="Q1" s="8" t="s">
        <v>232</v>
      </c>
      <c r="R1" s="8" t="s">
        <v>233</v>
      </c>
      <c r="S1" s="8" t="s">
        <v>234</v>
      </c>
      <c r="T1" s="8" t="s">
        <v>235</v>
      </c>
      <c r="U1" s="8" t="s">
        <v>236</v>
      </c>
      <c r="V1" s="8" t="s">
        <v>237</v>
      </c>
      <c r="W1" s="8" t="s">
        <v>238</v>
      </c>
      <c r="X1" s="8" t="s">
        <v>239</v>
      </c>
      <c r="Y1" s="8" t="s">
        <v>240</v>
      </c>
      <c r="Z1" s="8" t="s">
        <v>241</v>
      </c>
      <c r="AA1" s="8" t="s">
        <v>242</v>
      </c>
      <c r="AB1" s="8" t="s">
        <v>243</v>
      </c>
      <c r="AC1" s="8" t="s">
        <v>244</v>
      </c>
      <c r="AD1" s="8" t="s">
        <v>245</v>
      </c>
      <c r="AE1" s="8" t="s">
        <v>246</v>
      </c>
      <c r="AF1" s="8" t="s">
        <v>247</v>
      </c>
      <c r="AG1" s="8" t="s">
        <v>248</v>
      </c>
      <c r="AH1" s="8" t="s">
        <v>249</v>
      </c>
      <c r="AI1" s="8" t="s">
        <v>250</v>
      </c>
      <c r="AJ1" s="8" t="s">
        <v>251</v>
      </c>
      <c r="AK1" s="8" t="s">
        <v>252</v>
      </c>
      <c r="AL1" s="8" t="s">
        <v>253</v>
      </c>
      <c r="AM1" s="8" t="s">
        <v>254</v>
      </c>
      <c r="AN1" s="8" t="s">
        <v>255</v>
      </c>
      <c r="AO1" s="8" t="s">
        <v>256</v>
      </c>
      <c r="AP1" s="8" t="s">
        <v>257</v>
      </c>
      <c r="AQ1" s="8" t="s">
        <v>258</v>
      </c>
      <c r="AR1" s="8" t="s">
        <v>259</v>
      </c>
      <c r="AS1" s="8" t="s">
        <v>260</v>
      </c>
      <c r="AT1" s="8" t="s">
        <v>261</v>
      </c>
      <c r="AU1" s="8" t="s">
        <v>262</v>
      </c>
      <c r="AV1" s="8" t="s">
        <v>263</v>
      </c>
      <c r="AW1" s="8" t="s">
        <v>264</v>
      </c>
      <c r="AX1" s="8" t="s">
        <v>265</v>
      </c>
      <c r="AY1" s="8" t="s">
        <v>266</v>
      </c>
      <c r="AZ1" s="8" t="s">
        <v>267</v>
      </c>
      <c r="BA1" s="8" t="s">
        <v>268</v>
      </c>
      <c r="BB1" s="8" t="s">
        <v>269</v>
      </c>
      <c r="BC1" s="8" t="s">
        <v>270</v>
      </c>
      <c r="BD1" s="8" t="s">
        <v>271</v>
      </c>
      <c r="BE1" s="8" t="s">
        <v>272</v>
      </c>
      <c r="BF1" s="8" t="s">
        <v>273</v>
      </c>
      <c r="BG1" s="8" t="s">
        <v>274</v>
      </c>
      <c r="BH1" s="8" t="s">
        <v>275</v>
      </c>
      <c r="BI1" s="8" t="s">
        <v>276</v>
      </c>
      <c r="BJ1" s="8" t="s">
        <v>277</v>
      </c>
      <c r="BK1" s="8" t="s">
        <v>278</v>
      </c>
      <c r="BL1" s="8" t="s">
        <v>279</v>
      </c>
      <c r="BM1" s="8" t="s">
        <v>280</v>
      </c>
      <c r="BN1" s="8" t="s">
        <v>281</v>
      </c>
      <c r="BO1" s="8" t="s">
        <v>282</v>
      </c>
    </row>
    <row r="2" spans="1:67" ht="12.75">
      <c r="A2" s="2" t="s">
        <v>0</v>
      </c>
      <c r="B2" s="3"/>
      <c r="C2" s="3" t="s">
        <v>1</v>
      </c>
      <c r="D2" s="3" t="s">
        <v>2</v>
      </c>
      <c r="E2" s="3"/>
      <c r="F2" s="3" t="s">
        <v>3</v>
      </c>
      <c r="G2" s="3" t="s">
        <v>3</v>
      </c>
      <c r="H2" s="3" t="s">
        <v>4</v>
      </c>
      <c r="I2" s="3" t="s">
        <v>3</v>
      </c>
      <c r="J2" s="3" t="s">
        <v>5</v>
      </c>
      <c r="K2" s="3" t="s">
        <v>5</v>
      </c>
      <c r="L2" s="3" t="s">
        <v>4</v>
      </c>
      <c r="M2" s="3" t="s">
        <v>4</v>
      </c>
      <c r="N2" s="3" t="s">
        <v>6</v>
      </c>
      <c r="O2" s="3" t="s">
        <v>5</v>
      </c>
      <c r="P2" s="3" t="s">
        <v>5</v>
      </c>
      <c r="Q2" s="3" t="s">
        <v>4</v>
      </c>
      <c r="R2" s="3" t="s">
        <v>4</v>
      </c>
      <c r="S2" s="3" t="s">
        <v>7</v>
      </c>
      <c r="T2" s="3" t="s">
        <v>8</v>
      </c>
      <c r="U2" s="3" t="s">
        <v>8</v>
      </c>
      <c r="V2" s="3" t="s">
        <v>7</v>
      </c>
      <c r="W2" s="3" t="s">
        <v>7</v>
      </c>
      <c r="X2" s="3" t="s">
        <v>8</v>
      </c>
      <c r="Y2" s="3" t="s">
        <v>8</v>
      </c>
      <c r="Z2" s="3" t="s">
        <v>4</v>
      </c>
      <c r="AA2" s="3" t="s">
        <v>9</v>
      </c>
      <c r="AB2" s="3" t="s">
        <v>10</v>
      </c>
      <c r="AC2" s="3"/>
      <c r="AD2" s="3" t="s">
        <v>4</v>
      </c>
      <c r="AE2" s="3" t="s">
        <v>11</v>
      </c>
      <c r="AF2" s="3" t="s">
        <v>12</v>
      </c>
      <c r="AG2" s="3" t="s">
        <v>11</v>
      </c>
      <c r="AH2" s="3" t="s">
        <v>11</v>
      </c>
      <c r="AI2" s="3"/>
      <c r="AJ2" s="3" t="s">
        <v>4</v>
      </c>
      <c r="AK2" s="3" t="s">
        <v>11</v>
      </c>
      <c r="AL2" s="3" t="s">
        <v>4</v>
      </c>
      <c r="AM2" s="3" t="s">
        <v>3</v>
      </c>
      <c r="AN2" s="3"/>
      <c r="AO2" s="3" t="s">
        <v>3</v>
      </c>
      <c r="AP2" s="3" t="s">
        <v>3</v>
      </c>
      <c r="AQ2" s="3" t="s">
        <v>3</v>
      </c>
      <c r="AR2" s="3"/>
      <c r="AS2" s="3" t="s">
        <v>13</v>
      </c>
      <c r="AT2" s="3" t="s">
        <v>14</v>
      </c>
      <c r="AU2" s="3" t="s">
        <v>14</v>
      </c>
      <c r="AV2" s="3" t="s">
        <v>4</v>
      </c>
      <c r="AW2" s="3" t="s">
        <v>15</v>
      </c>
      <c r="AX2" s="3" t="s">
        <v>4</v>
      </c>
      <c r="AY2" s="3" t="s">
        <v>15</v>
      </c>
      <c r="AZ2" s="3" t="s">
        <v>4</v>
      </c>
      <c r="BA2" s="3" t="s">
        <v>13</v>
      </c>
      <c r="BB2" s="3" t="s">
        <v>14</v>
      </c>
      <c r="BC2" s="3" t="s">
        <v>4</v>
      </c>
      <c r="BD2" s="3" t="s">
        <v>14</v>
      </c>
      <c r="BE2" s="3"/>
      <c r="BF2" s="3" t="s">
        <v>6</v>
      </c>
      <c r="BG2" s="3" t="s">
        <v>6</v>
      </c>
      <c r="BH2" s="3" t="s">
        <v>16</v>
      </c>
      <c r="BI2" s="3"/>
      <c r="BJ2" s="3"/>
      <c r="BK2" s="3"/>
      <c r="BL2" s="3"/>
      <c r="BM2" s="3"/>
      <c r="BN2" s="3"/>
      <c r="BO2" s="4">
        <f>DATE(2026,4,13)+TIME(16,57,28)</f>
        <v>46125.70657407407</v>
      </c>
    </row>
    <row r="3" spans="1:67" ht="12.75">
      <c r="A3" s="5" t="s">
        <v>17</v>
      </c>
      <c r="B3" s="6"/>
      <c r="C3" s="6" t="s">
        <v>18</v>
      </c>
      <c r="D3" s="6" t="s">
        <v>19</v>
      </c>
      <c r="E3" s="6"/>
      <c r="F3" s="6" t="s">
        <v>3</v>
      </c>
      <c r="G3" s="6" t="s">
        <v>3</v>
      </c>
      <c r="H3" s="6" t="s">
        <v>4</v>
      </c>
      <c r="I3" s="6" t="s">
        <v>3</v>
      </c>
      <c r="J3" s="6" t="s">
        <v>20</v>
      </c>
      <c r="K3" s="6" t="s">
        <v>20</v>
      </c>
      <c r="L3" s="6" t="s">
        <v>5</v>
      </c>
      <c r="M3" s="6" t="s">
        <v>5</v>
      </c>
      <c r="N3" s="6" t="s">
        <v>20</v>
      </c>
      <c r="O3" s="6" t="s">
        <v>5</v>
      </c>
      <c r="P3" s="6" t="s">
        <v>20</v>
      </c>
      <c r="Q3" s="6" t="s">
        <v>8</v>
      </c>
      <c r="R3" s="6" t="s">
        <v>8</v>
      </c>
      <c r="S3" s="6" t="s">
        <v>8</v>
      </c>
      <c r="T3" s="6" t="s">
        <v>7</v>
      </c>
      <c r="U3" s="6" t="s">
        <v>7</v>
      </c>
      <c r="V3" s="6" t="s">
        <v>7</v>
      </c>
      <c r="W3" s="6" t="s">
        <v>7</v>
      </c>
      <c r="X3" s="6" t="s">
        <v>7</v>
      </c>
      <c r="Y3" s="6" t="s">
        <v>21</v>
      </c>
      <c r="Z3" s="6" t="s">
        <v>7</v>
      </c>
      <c r="AA3" s="6" t="s">
        <v>22</v>
      </c>
      <c r="AB3" s="6" t="s">
        <v>23</v>
      </c>
      <c r="AC3" s="6"/>
      <c r="AD3" s="6" t="s">
        <v>6</v>
      </c>
      <c r="AE3" s="6" t="s">
        <v>4</v>
      </c>
      <c r="AF3" s="6" t="s">
        <v>12</v>
      </c>
      <c r="AG3" s="6" t="s">
        <v>4</v>
      </c>
      <c r="AH3" s="6" t="s">
        <v>11</v>
      </c>
      <c r="AI3" s="6"/>
      <c r="AJ3" s="6" t="s">
        <v>3</v>
      </c>
      <c r="AK3" s="6" t="s">
        <v>4</v>
      </c>
      <c r="AL3" s="6" t="s">
        <v>3</v>
      </c>
      <c r="AM3" s="6" t="s">
        <v>4</v>
      </c>
      <c r="AN3" s="6"/>
      <c r="AO3" s="6" t="s">
        <v>3</v>
      </c>
      <c r="AP3" s="6" t="s">
        <v>4</v>
      </c>
      <c r="AQ3" s="6" t="s">
        <v>3</v>
      </c>
      <c r="AR3" s="6"/>
      <c r="AS3" s="6" t="s">
        <v>13</v>
      </c>
      <c r="AT3" s="6" t="s">
        <v>6</v>
      </c>
      <c r="AU3" s="6" t="s">
        <v>13</v>
      </c>
      <c r="AV3" s="6" t="s">
        <v>13</v>
      </c>
      <c r="AW3" s="6" t="s">
        <v>15</v>
      </c>
      <c r="AX3" s="6" t="s">
        <v>6</v>
      </c>
      <c r="AY3" s="6" t="s">
        <v>13</v>
      </c>
      <c r="AZ3" s="6" t="s">
        <v>13</v>
      </c>
      <c r="BA3" s="6" t="s">
        <v>13</v>
      </c>
      <c r="BB3" s="6" t="s">
        <v>4</v>
      </c>
      <c r="BC3" s="6" t="s">
        <v>4</v>
      </c>
      <c r="BD3" s="6" t="s">
        <v>4</v>
      </c>
      <c r="BE3" s="6"/>
      <c r="BF3" s="6" t="s">
        <v>3</v>
      </c>
      <c r="BG3" s="6" t="s">
        <v>4</v>
      </c>
      <c r="BH3" s="6" t="s">
        <v>24</v>
      </c>
      <c r="BI3" s="6" t="s">
        <v>18</v>
      </c>
      <c r="BJ3" s="6" t="s">
        <v>15</v>
      </c>
      <c r="BK3" s="6" t="s">
        <v>13</v>
      </c>
      <c r="BL3" s="6" t="s">
        <v>13</v>
      </c>
      <c r="BM3" s="6" t="s">
        <v>3</v>
      </c>
      <c r="BN3" s="6" t="s">
        <v>3</v>
      </c>
      <c r="BO3" s="7">
        <f>DATE(2026,3,30)+TIME(15,51,10)</f>
        <v>46111.660532407404</v>
      </c>
    </row>
    <row r="4" spans="1:67" ht="12.75">
      <c r="A4" s="2" t="s">
        <v>25</v>
      </c>
      <c r="B4" s="3"/>
      <c r="C4" s="3" t="s">
        <v>26</v>
      </c>
      <c r="D4" s="3" t="s">
        <v>27</v>
      </c>
      <c r="E4" s="3"/>
      <c r="F4" s="3" t="s">
        <v>6</v>
      </c>
      <c r="G4" s="3" t="s">
        <v>3</v>
      </c>
      <c r="H4" s="3" t="s">
        <v>3</v>
      </c>
      <c r="I4" s="3" t="s">
        <v>3</v>
      </c>
      <c r="J4" s="3" t="s">
        <v>20</v>
      </c>
      <c r="K4" s="3" t="s">
        <v>20</v>
      </c>
      <c r="L4" s="3" t="s">
        <v>4</v>
      </c>
      <c r="M4" s="3" t="s">
        <v>20</v>
      </c>
      <c r="N4" s="3" t="s">
        <v>4</v>
      </c>
      <c r="O4" s="3" t="s">
        <v>4</v>
      </c>
      <c r="P4" s="3" t="s">
        <v>4</v>
      </c>
      <c r="Q4" s="3" t="s">
        <v>8</v>
      </c>
      <c r="R4" s="3" t="s">
        <v>4</v>
      </c>
      <c r="S4" s="3" t="s">
        <v>4</v>
      </c>
      <c r="T4" s="3" t="s">
        <v>28</v>
      </c>
      <c r="U4" s="3" t="s">
        <v>7</v>
      </c>
      <c r="V4" s="3" t="s">
        <v>8</v>
      </c>
      <c r="W4" s="3" t="s">
        <v>4</v>
      </c>
      <c r="X4" s="3" t="s">
        <v>28</v>
      </c>
      <c r="Y4" s="3" t="s">
        <v>4</v>
      </c>
      <c r="Z4" s="3" t="s">
        <v>4</v>
      </c>
      <c r="AA4" s="3" t="s">
        <v>29</v>
      </c>
      <c r="AB4" s="3" t="s">
        <v>30</v>
      </c>
      <c r="AC4" s="3"/>
      <c r="AD4" s="3" t="s">
        <v>4</v>
      </c>
      <c r="AE4" s="3" t="s">
        <v>4</v>
      </c>
      <c r="AF4" s="3" t="s">
        <v>4</v>
      </c>
      <c r="AG4" s="3" t="s">
        <v>11</v>
      </c>
      <c r="AH4" s="3" t="s">
        <v>11</v>
      </c>
      <c r="AI4" s="3"/>
      <c r="AJ4" s="3" t="s">
        <v>11</v>
      </c>
      <c r="AK4" s="3" t="s">
        <v>3</v>
      </c>
      <c r="AL4" s="3" t="s">
        <v>6</v>
      </c>
      <c r="AM4" s="3" t="s">
        <v>4</v>
      </c>
      <c r="AN4" s="3"/>
      <c r="AO4" s="3" t="s">
        <v>4</v>
      </c>
      <c r="AP4" s="3" t="s">
        <v>6</v>
      </c>
      <c r="AQ4" s="3" t="s">
        <v>12</v>
      </c>
      <c r="AR4" s="3"/>
      <c r="AS4" s="3" t="s">
        <v>13</v>
      </c>
      <c r="AT4" s="3" t="s">
        <v>4</v>
      </c>
      <c r="AU4" s="3" t="s">
        <v>4</v>
      </c>
      <c r="AV4" s="3" t="s">
        <v>13</v>
      </c>
      <c r="AW4" s="3" t="s">
        <v>4</v>
      </c>
      <c r="AX4" s="3" t="s">
        <v>15</v>
      </c>
      <c r="AY4" s="3" t="s">
        <v>15</v>
      </c>
      <c r="AZ4" s="3" t="s">
        <v>4</v>
      </c>
      <c r="BA4" s="3" t="s">
        <v>15</v>
      </c>
      <c r="BB4" s="3" t="s">
        <v>13</v>
      </c>
      <c r="BC4" s="3" t="s">
        <v>13</v>
      </c>
      <c r="BD4" s="3" t="s">
        <v>4</v>
      </c>
      <c r="BE4" s="3"/>
      <c r="BF4" s="3" t="s">
        <v>6</v>
      </c>
      <c r="BG4" s="3" t="s">
        <v>6</v>
      </c>
      <c r="BH4" s="3" t="s">
        <v>16</v>
      </c>
      <c r="BI4" s="3"/>
      <c r="BJ4" s="3"/>
      <c r="BK4" s="3"/>
      <c r="BL4" s="3"/>
      <c r="BM4" s="3"/>
      <c r="BN4" s="3"/>
      <c r="BO4" s="4">
        <f>DATE(2026,3,11)+TIME(15,49,21)</f>
        <v>46092.659270833334</v>
      </c>
    </row>
    <row r="5" spans="1:67" ht="12.75">
      <c r="A5" s="5" t="s">
        <v>31</v>
      </c>
      <c r="B5" s="6"/>
      <c r="C5" s="6" t="s">
        <v>32</v>
      </c>
      <c r="D5" s="6" t="s">
        <v>27</v>
      </c>
      <c r="E5" s="6"/>
      <c r="F5" s="6" t="s">
        <v>12</v>
      </c>
      <c r="G5" s="6" t="s">
        <v>3</v>
      </c>
      <c r="H5" s="6" t="s">
        <v>3</v>
      </c>
      <c r="I5" s="6" t="s">
        <v>4</v>
      </c>
      <c r="J5" s="6" t="s">
        <v>5</v>
      </c>
      <c r="K5" s="6" t="s">
        <v>5</v>
      </c>
      <c r="L5" s="6" t="s">
        <v>5</v>
      </c>
      <c r="M5" s="6" t="s">
        <v>5</v>
      </c>
      <c r="N5" s="6" t="s">
        <v>5</v>
      </c>
      <c r="O5" s="6" t="s">
        <v>5</v>
      </c>
      <c r="P5" s="6" t="s">
        <v>5</v>
      </c>
      <c r="Q5" s="6" t="s">
        <v>28</v>
      </c>
      <c r="R5" s="6" t="s">
        <v>28</v>
      </c>
      <c r="S5" s="6" t="s">
        <v>28</v>
      </c>
      <c r="T5" s="6" t="s">
        <v>8</v>
      </c>
      <c r="U5" s="6" t="s">
        <v>8</v>
      </c>
      <c r="V5" s="6" t="s">
        <v>8</v>
      </c>
      <c r="W5" s="6" t="s">
        <v>8</v>
      </c>
      <c r="X5" s="6" t="s">
        <v>8</v>
      </c>
      <c r="Y5" s="6" t="s">
        <v>7</v>
      </c>
      <c r="Z5" s="6" t="s">
        <v>28</v>
      </c>
      <c r="AA5" s="6" t="s">
        <v>33</v>
      </c>
      <c r="AB5" s="6" t="s">
        <v>34</v>
      </c>
      <c r="AC5" s="6"/>
      <c r="AD5" s="6" t="s">
        <v>3</v>
      </c>
      <c r="AE5" s="6" t="s">
        <v>3</v>
      </c>
      <c r="AF5" s="6" t="s">
        <v>3</v>
      </c>
      <c r="AG5" s="6" t="s">
        <v>3</v>
      </c>
      <c r="AH5" s="6" t="s">
        <v>3</v>
      </c>
      <c r="AI5" s="6"/>
      <c r="AJ5" s="6" t="s">
        <v>3</v>
      </c>
      <c r="AK5" s="6" t="s">
        <v>12</v>
      </c>
      <c r="AL5" s="6" t="s">
        <v>3</v>
      </c>
      <c r="AM5" s="6" t="s">
        <v>3</v>
      </c>
      <c r="AN5" s="6"/>
      <c r="AO5" s="6" t="s">
        <v>3</v>
      </c>
      <c r="AP5" s="6" t="s">
        <v>4</v>
      </c>
      <c r="AQ5" s="6" t="s">
        <v>12</v>
      </c>
      <c r="AR5" s="6"/>
      <c r="AS5" s="6" t="s">
        <v>15</v>
      </c>
      <c r="AT5" s="6" t="s">
        <v>15</v>
      </c>
      <c r="AU5" s="6" t="s">
        <v>15</v>
      </c>
      <c r="AV5" s="6" t="s">
        <v>15</v>
      </c>
      <c r="AW5" s="6" t="s">
        <v>15</v>
      </c>
      <c r="AX5" s="6" t="s">
        <v>15</v>
      </c>
      <c r="AY5" s="6" t="s">
        <v>15</v>
      </c>
      <c r="AZ5" s="6" t="s">
        <v>15</v>
      </c>
      <c r="BA5" s="6" t="s">
        <v>13</v>
      </c>
      <c r="BB5" s="6" t="s">
        <v>13</v>
      </c>
      <c r="BC5" s="6" t="s">
        <v>13</v>
      </c>
      <c r="BD5" s="6" t="s">
        <v>13</v>
      </c>
      <c r="BE5" s="6"/>
      <c r="BF5" s="6" t="s">
        <v>4</v>
      </c>
      <c r="BG5" s="6" t="s">
        <v>4</v>
      </c>
      <c r="BH5" s="6" t="s">
        <v>16</v>
      </c>
      <c r="BI5" s="6"/>
      <c r="BJ5" s="6"/>
      <c r="BK5" s="6"/>
      <c r="BL5" s="6"/>
      <c r="BM5" s="6"/>
      <c r="BN5" s="6"/>
      <c r="BO5" s="7">
        <f>DATE(2026,3,31)+TIME(14,51,31)</f>
        <v>46112.619108796294</v>
      </c>
    </row>
    <row r="6" spans="1:67" ht="12.75">
      <c r="A6" s="2" t="s">
        <v>35</v>
      </c>
      <c r="B6" s="3"/>
      <c r="C6" s="3" t="s">
        <v>36</v>
      </c>
      <c r="D6" s="3" t="s">
        <v>2</v>
      </c>
      <c r="E6" s="3"/>
      <c r="F6" s="3" t="s">
        <v>3</v>
      </c>
      <c r="G6" s="3" t="s">
        <v>3</v>
      </c>
      <c r="H6" s="3" t="s">
        <v>4</v>
      </c>
      <c r="I6" s="3" t="s">
        <v>3</v>
      </c>
      <c r="J6" s="3" t="s">
        <v>5</v>
      </c>
      <c r="K6" s="3" t="s">
        <v>5</v>
      </c>
      <c r="L6" s="3" t="s">
        <v>4</v>
      </c>
      <c r="M6" s="3" t="s">
        <v>20</v>
      </c>
      <c r="N6" s="3" t="s">
        <v>37</v>
      </c>
      <c r="O6" s="3" t="s">
        <v>4</v>
      </c>
      <c r="P6" s="3" t="s">
        <v>4</v>
      </c>
      <c r="Q6" s="3" t="s">
        <v>8</v>
      </c>
      <c r="R6" s="3" t="s">
        <v>8</v>
      </c>
      <c r="S6" s="3" t="s">
        <v>8</v>
      </c>
      <c r="T6" s="3" t="s">
        <v>8</v>
      </c>
      <c r="U6" s="3" t="s">
        <v>8</v>
      </c>
      <c r="V6" s="3" t="s">
        <v>8</v>
      </c>
      <c r="W6" s="3" t="s">
        <v>28</v>
      </c>
      <c r="X6" s="3" t="s">
        <v>4</v>
      </c>
      <c r="Y6" s="3" t="s">
        <v>4</v>
      </c>
      <c r="Z6" s="3" t="s">
        <v>4</v>
      </c>
      <c r="AA6" s="3" t="s">
        <v>38</v>
      </c>
      <c r="AB6" s="3" t="s">
        <v>39</v>
      </c>
      <c r="AC6" s="3"/>
      <c r="AD6" s="3" t="s">
        <v>4</v>
      </c>
      <c r="AE6" s="3" t="s">
        <v>3</v>
      </c>
      <c r="AF6" s="3" t="s">
        <v>4</v>
      </c>
      <c r="AG6" s="3" t="s">
        <v>4</v>
      </c>
      <c r="AH6" s="3" t="s">
        <v>11</v>
      </c>
      <c r="AI6" s="3"/>
      <c r="AJ6" s="3" t="s">
        <v>4</v>
      </c>
      <c r="AK6" s="3" t="s">
        <v>3</v>
      </c>
      <c r="AL6" s="3" t="s">
        <v>3</v>
      </c>
      <c r="AM6" s="3" t="s">
        <v>3</v>
      </c>
      <c r="AN6" s="3"/>
      <c r="AO6" s="3" t="s">
        <v>3</v>
      </c>
      <c r="AP6" s="3" t="s">
        <v>11</v>
      </c>
      <c r="AQ6" s="3" t="s">
        <v>4</v>
      </c>
      <c r="AR6" s="3"/>
      <c r="AS6" s="3" t="s">
        <v>13</v>
      </c>
      <c r="AT6" s="3" t="s">
        <v>4</v>
      </c>
      <c r="AU6" s="3" t="s">
        <v>13</v>
      </c>
      <c r="AV6" s="3" t="s">
        <v>13</v>
      </c>
      <c r="AW6" s="3" t="s">
        <v>13</v>
      </c>
      <c r="AX6" s="3" t="s">
        <v>4</v>
      </c>
      <c r="AY6" s="3" t="s">
        <v>15</v>
      </c>
      <c r="AZ6" s="3" t="s">
        <v>4</v>
      </c>
      <c r="BA6" s="3" t="s">
        <v>15</v>
      </c>
      <c r="BB6" s="3" t="s">
        <v>4</v>
      </c>
      <c r="BC6" s="3" t="s">
        <v>4</v>
      </c>
      <c r="BD6" s="3" t="s">
        <v>13</v>
      </c>
      <c r="BE6" s="3"/>
      <c r="BF6" s="3" t="s">
        <v>4</v>
      </c>
      <c r="BG6" s="3" t="s">
        <v>4</v>
      </c>
      <c r="BH6" s="3" t="s">
        <v>16</v>
      </c>
      <c r="BI6" s="3"/>
      <c r="BJ6" s="3"/>
      <c r="BK6" s="3"/>
      <c r="BL6" s="3"/>
      <c r="BM6" s="3"/>
      <c r="BN6" s="3"/>
      <c r="BO6" s="4">
        <f>DATE(2026,4,1)+TIME(10,32,21)</f>
        <v>46113.43913194445</v>
      </c>
    </row>
    <row r="7" spans="1:67" ht="12.75">
      <c r="A7" s="5" t="s">
        <v>40</v>
      </c>
      <c r="B7" s="6"/>
      <c r="C7" s="6" t="s">
        <v>41</v>
      </c>
      <c r="D7" s="6" t="s">
        <v>2</v>
      </c>
      <c r="E7" s="6"/>
      <c r="F7" s="6" t="s">
        <v>12</v>
      </c>
      <c r="G7" s="6" t="s">
        <v>12</v>
      </c>
      <c r="H7" s="6" t="s">
        <v>12</v>
      </c>
      <c r="I7" s="6" t="s">
        <v>12</v>
      </c>
      <c r="J7" s="6" t="s">
        <v>20</v>
      </c>
      <c r="K7" s="6" t="s">
        <v>20</v>
      </c>
      <c r="L7" s="6" t="s">
        <v>20</v>
      </c>
      <c r="M7" s="6" t="s">
        <v>20</v>
      </c>
      <c r="N7" s="6" t="s">
        <v>20</v>
      </c>
      <c r="O7" s="6" t="s">
        <v>20</v>
      </c>
      <c r="P7" s="6" t="s">
        <v>6</v>
      </c>
      <c r="Q7" s="6" t="s">
        <v>4</v>
      </c>
      <c r="R7" s="6" t="s">
        <v>4</v>
      </c>
      <c r="S7" s="6" t="s">
        <v>4</v>
      </c>
      <c r="T7" s="6" t="s">
        <v>4</v>
      </c>
      <c r="U7" s="6" t="s">
        <v>4</v>
      </c>
      <c r="V7" s="6" t="s">
        <v>4</v>
      </c>
      <c r="W7" s="6" t="s">
        <v>4</v>
      </c>
      <c r="X7" s="6" t="s">
        <v>4</v>
      </c>
      <c r="Y7" s="6" t="s">
        <v>4</v>
      </c>
      <c r="Z7" s="6" t="s">
        <v>4</v>
      </c>
      <c r="AA7" s="6" t="s">
        <v>9</v>
      </c>
      <c r="AB7" s="6" t="s">
        <v>42</v>
      </c>
      <c r="AC7" s="6"/>
      <c r="AD7" s="6" t="s">
        <v>3</v>
      </c>
      <c r="AE7" s="6" t="s">
        <v>12</v>
      </c>
      <c r="AF7" s="6" t="s">
        <v>12</v>
      </c>
      <c r="AG7" s="6" t="s">
        <v>12</v>
      </c>
      <c r="AH7" s="6" t="s">
        <v>4</v>
      </c>
      <c r="AI7" s="6"/>
      <c r="AJ7" s="6" t="s">
        <v>4</v>
      </c>
      <c r="AK7" s="6" t="s">
        <v>12</v>
      </c>
      <c r="AL7" s="6" t="s">
        <v>3</v>
      </c>
      <c r="AM7" s="6" t="s">
        <v>3</v>
      </c>
      <c r="AN7" s="6"/>
      <c r="AO7" s="6" t="s">
        <v>3</v>
      </c>
      <c r="AP7" s="6" t="s">
        <v>4</v>
      </c>
      <c r="AQ7" s="6" t="s">
        <v>12</v>
      </c>
      <c r="AR7" s="6"/>
      <c r="AS7" s="6" t="s">
        <v>13</v>
      </c>
      <c r="AT7" s="6" t="s">
        <v>13</v>
      </c>
      <c r="AU7" s="6" t="s">
        <v>15</v>
      </c>
      <c r="AV7" s="6" t="s">
        <v>13</v>
      </c>
      <c r="AW7" s="6" t="s">
        <v>15</v>
      </c>
      <c r="AX7" s="6" t="s">
        <v>13</v>
      </c>
      <c r="AY7" s="6" t="s">
        <v>13</v>
      </c>
      <c r="AZ7" s="6" t="s">
        <v>4</v>
      </c>
      <c r="BA7" s="6" t="s">
        <v>13</v>
      </c>
      <c r="BB7" s="6" t="s">
        <v>4</v>
      </c>
      <c r="BC7" s="6" t="s">
        <v>4</v>
      </c>
      <c r="BD7" s="6" t="s">
        <v>4</v>
      </c>
      <c r="BE7" s="6"/>
      <c r="BF7" s="6" t="s">
        <v>3</v>
      </c>
      <c r="BG7" s="6" t="s">
        <v>3</v>
      </c>
      <c r="BH7" s="6" t="s">
        <v>16</v>
      </c>
      <c r="BI7" s="6"/>
      <c r="BJ7" s="6"/>
      <c r="BK7" s="6"/>
      <c r="BL7" s="6"/>
      <c r="BM7" s="6"/>
      <c r="BN7" s="6"/>
      <c r="BO7" s="7">
        <f>DATE(2026,3,9)+TIME(9,13,19)</f>
        <v>46090.384247685186</v>
      </c>
    </row>
    <row r="8" spans="1:67" ht="12.75">
      <c r="A8" s="2" t="s">
        <v>43</v>
      </c>
      <c r="B8" s="3"/>
      <c r="C8" s="3" t="s">
        <v>44</v>
      </c>
      <c r="D8" s="3" t="s">
        <v>2</v>
      </c>
      <c r="E8" s="3"/>
      <c r="F8" s="3" t="s">
        <v>12</v>
      </c>
      <c r="G8" s="3" t="s">
        <v>12</v>
      </c>
      <c r="H8" s="3" t="s">
        <v>12</v>
      </c>
      <c r="I8" s="3" t="s">
        <v>12</v>
      </c>
      <c r="J8" s="3" t="s">
        <v>20</v>
      </c>
      <c r="K8" s="3" t="s">
        <v>20</v>
      </c>
      <c r="L8" s="3" t="s">
        <v>20</v>
      </c>
      <c r="M8" s="3" t="s">
        <v>5</v>
      </c>
      <c r="N8" s="3" t="s">
        <v>5</v>
      </c>
      <c r="O8" s="3" t="s">
        <v>5</v>
      </c>
      <c r="P8" s="3" t="s">
        <v>5</v>
      </c>
      <c r="Q8" s="3" t="s">
        <v>7</v>
      </c>
      <c r="R8" s="3" t="s">
        <v>4</v>
      </c>
      <c r="S8" s="3" t="s">
        <v>7</v>
      </c>
      <c r="T8" s="3" t="s">
        <v>4</v>
      </c>
      <c r="U8" s="3" t="s">
        <v>4</v>
      </c>
      <c r="V8" s="3" t="s">
        <v>4</v>
      </c>
      <c r="W8" s="3" t="s">
        <v>7</v>
      </c>
      <c r="X8" s="3" t="s">
        <v>4</v>
      </c>
      <c r="Y8" s="3" t="s">
        <v>4</v>
      </c>
      <c r="Z8" s="3" t="s">
        <v>4</v>
      </c>
      <c r="AA8" s="3" t="s">
        <v>45</v>
      </c>
      <c r="AB8" s="3" t="s">
        <v>46</v>
      </c>
      <c r="AC8" s="3"/>
      <c r="AD8" s="3" t="s">
        <v>6</v>
      </c>
      <c r="AE8" s="3" t="s">
        <v>3</v>
      </c>
      <c r="AF8" s="3" t="s">
        <v>3</v>
      </c>
      <c r="AG8" s="3" t="s">
        <v>3</v>
      </c>
      <c r="AH8" s="3" t="s">
        <v>3</v>
      </c>
      <c r="AI8" s="3"/>
      <c r="AJ8" s="3" t="s">
        <v>3</v>
      </c>
      <c r="AK8" s="3" t="s">
        <v>3</v>
      </c>
      <c r="AL8" s="3" t="s">
        <v>3</v>
      </c>
      <c r="AM8" s="3" t="s">
        <v>3</v>
      </c>
      <c r="AN8" s="3"/>
      <c r="AO8" s="3" t="s">
        <v>3</v>
      </c>
      <c r="AP8" s="3" t="s">
        <v>3</v>
      </c>
      <c r="AQ8" s="3" t="s">
        <v>3</v>
      </c>
      <c r="AR8" s="3"/>
      <c r="AS8" s="3" t="s">
        <v>13</v>
      </c>
      <c r="AT8" s="3" t="s">
        <v>13</v>
      </c>
      <c r="AU8" s="3" t="s">
        <v>13</v>
      </c>
      <c r="AV8" s="3" t="s">
        <v>13</v>
      </c>
      <c r="AW8" s="3" t="s">
        <v>13</v>
      </c>
      <c r="AX8" s="3" t="s">
        <v>13</v>
      </c>
      <c r="AY8" s="3" t="s">
        <v>13</v>
      </c>
      <c r="AZ8" s="3" t="s">
        <v>13</v>
      </c>
      <c r="BA8" s="3" t="s">
        <v>13</v>
      </c>
      <c r="BB8" s="3" t="s">
        <v>13</v>
      </c>
      <c r="BC8" s="3" t="s">
        <v>13</v>
      </c>
      <c r="BD8" s="3" t="s">
        <v>13</v>
      </c>
      <c r="BE8" s="3"/>
      <c r="BF8" s="3" t="s">
        <v>3</v>
      </c>
      <c r="BG8" s="3" t="s">
        <v>3</v>
      </c>
      <c r="BH8" s="3" t="s">
        <v>16</v>
      </c>
      <c r="BI8" s="3"/>
      <c r="BJ8" s="3"/>
      <c r="BK8" s="3"/>
      <c r="BL8" s="3"/>
      <c r="BM8" s="3"/>
      <c r="BN8" s="3"/>
      <c r="BO8" s="4">
        <f>DATE(2026,4,1)+TIME(11,23,27)</f>
        <v>46113.47461805555</v>
      </c>
    </row>
    <row r="9" spans="1:67" ht="12.75">
      <c r="A9" s="5" t="s">
        <v>47</v>
      </c>
      <c r="B9" s="6"/>
      <c r="C9" s="6" t="s">
        <v>48</v>
      </c>
      <c r="D9" s="6" t="s">
        <v>49</v>
      </c>
      <c r="E9" s="6"/>
      <c r="F9" s="6" t="s">
        <v>12</v>
      </c>
      <c r="G9" s="6" t="s">
        <v>12</v>
      </c>
      <c r="H9" s="6" t="s">
        <v>12</v>
      </c>
      <c r="I9" s="6" t="s">
        <v>12</v>
      </c>
      <c r="J9" s="6" t="s">
        <v>20</v>
      </c>
      <c r="K9" s="6" t="s">
        <v>20</v>
      </c>
      <c r="L9" s="6" t="s">
        <v>5</v>
      </c>
      <c r="M9" s="6" t="s">
        <v>20</v>
      </c>
      <c r="N9" s="6" t="s">
        <v>6</v>
      </c>
      <c r="O9" s="6" t="s">
        <v>5</v>
      </c>
      <c r="P9" s="6" t="s">
        <v>20</v>
      </c>
      <c r="Q9" s="6" t="s">
        <v>28</v>
      </c>
      <c r="R9" s="6" t="s">
        <v>28</v>
      </c>
      <c r="S9" s="6" t="s">
        <v>28</v>
      </c>
      <c r="T9" s="6" t="s">
        <v>28</v>
      </c>
      <c r="U9" s="6" t="s">
        <v>8</v>
      </c>
      <c r="V9" s="6" t="s">
        <v>4</v>
      </c>
      <c r="W9" s="6" t="s">
        <v>28</v>
      </c>
      <c r="X9" s="6" t="s">
        <v>28</v>
      </c>
      <c r="Y9" s="6" t="s">
        <v>8</v>
      </c>
      <c r="Z9" s="6" t="s">
        <v>28</v>
      </c>
      <c r="AA9" s="6" t="s">
        <v>50</v>
      </c>
      <c r="AB9" s="6" t="s">
        <v>51</v>
      </c>
      <c r="AC9" s="6"/>
      <c r="AD9" s="6" t="s">
        <v>3</v>
      </c>
      <c r="AE9" s="6" t="s">
        <v>3</v>
      </c>
      <c r="AF9" s="6" t="s">
        <v>12</v>
      </c>
      <c r="AG9" s="6" t="s">
        <v>4</v>
      </c>
      <c r="AH9" s="6" t="s">
        <v>4</v>
      </c>
      <c r="AI9" s="6"/>
      <c r="AJ9" s="6" t="s">
        <v>4</v>
      </c>
      <c r="AK9" s="6" t="s">
        <v>3</v>
      </c>
      <c r="AL9" s="6" t="s">
        <v>3</v>
      </c>
      <c r="AM9" s="6" t="s">
        <v>3</v>
      </c>
      <c r="AN9" s="6"/>
      <c r="AO9" s="6" t="s">
        <v>12</v>
      </c>
      <c r="AP9" s="6" t="s">
        <v>3</v>
      </c>
      <c r="AQ9" s="6" t="s">
        <v>12</v>
      </c>
      <c r="AR9" s="6"/>
      <c r="AS9" s="6" t="s">
        <v>15</v>
      </c>
      <c r="AT9" s="6" t="s">
        <v>15</v>
      </c>
      <c r="AU9" s="6" t="s">
        <v>15</v>
      </c>
      <c r="AV9" s="6" t="s">
        <v>15</v>
      </c>
      <c r="AW9" s="6" t="s">
        <v>15</v>
      </c>
      <c r="AX9" s="6" t="s">
        <v>15</v>
      </c>
      <c r="AY9" s="6" t="s">
        <v>15</v>
      </c>
      <c r="AZ9" s="6" t="s">
        <v>4</v>
      </c>
      <c r="BA9" s="6" t="s">
        <v>15</v>
      </c>
      <c r="BB9" s="6" t="s">
        <v>15</v>
      </c>
      <c r="BC9" s="6" t="s">
        <v>15</v>
      </c>
      <c r="BD9" s="6" t="s">
        <v>15</v>
      </c>
      <c r="BE9" s="6"/>
      <c r="BF9" s="6" t="s">
        <v>4</v>
      </c>
      <c r="BG9" s="6" t="s">
        <v>4</v>
      </c>
      <c r="BH9" s="6" t="s">
        <v>16</v>
      </c>
      <c r="BI9" s="6"/>
      <c r="BJ9" s="6"/>
      <c r="BK9" s="6"/>
      <c r="BL9" s="6"/>
      <c r="BM9" s="6"/>
      <c r="BN9" s="6"/>
      <c r="BO9" s="7">
        <f>DATE(2026,3,9)+TIME(21,44,48)</f>
        <v>46090.90611111111</v>
      </c>
    </row>
    <row r="10" spans="1:67" ht="12.75">
      <c r="A10" s="2" t="s">
        <v>52</v>
      </c>
      <c r="B10" s="3"/>
      <c r="C10" s="3" t="s">
        <v>53</v>
      </c>
      <c r="D10" s="3" t="s">
        <v>2</v>
      </c>
      <c r="E10" s="3"/>
      <c r="F10" s="3" t="s">
        <v>4</v>
      </c>
      <c r="G10" s="3" t="s">
        <v>4</v>
      </c>
      <c r="H10" s="3" t="s">
        <v>54</v>
      </c>
      <c r="I10" s="3" t="s">
        <v>3</v>
      </c>
      <c r="J10" s="3" t="s">
        <v>5</v>
      </c>
      <c r="K10" s="3" t="s">
        <v>20</v>
      </c>
      <c r="L10" s="3" t="s">
        <v>37</v>
      </c>
      <c r="M10" s="3" t="s">
        <v>37</v>
      </c>
      <c r="N10" s="3" t="s">
        <v>37</v>
      </c>
      <c r="O10" s="3" t="s">
        <v>20</v>
      </c>
      <c r="P10" s="3" t="s">
        <v>55</v>
      </c>
      <c r="Q10" s="3" t="s">
        <v>7</v>
      </c>
      <c r="R10" s="3" t="s">
        <v>7</v>
      </c>
      <c r="S10" s="3" t="s">
        <v>7</v>
      </c>
      <c r="T10" s="3" t="s">
        <v>4</v>
      </c>
      <c r="U10" s="3" t="s">
        <v>7</v>
      </c>
      <c r="V10" s="3" t="s">
        <v>7</v>
      </c>
      <c r="W10" s="3" t="s">
        <v>21</v>
      </c>
      <c r="X10" s="3" t="s">
        <v>7</v>
      </c>
      <c r="Y10" s="3" t="s">
        <v>7</v>
      </c>
      <c r="Z10" s="3" t="s">
        <v>8</v>
      </c>
      <c r="AA10" s="3" t="s">
        <v>56</v>
      </c>
      <c r="AB10" s="3" t="s">
        <v>57</v>
      </c>
      <c r="AC10" s="3"/>
      <c r="AD10" s="3" t="s">
        <v>4</v>
      </c>
      <c r="AE10" s="3" t="s">
        <v>4</v>
      </c>
      <c r="AF10" s="3" t="s">
        <v>3</v>
      </c>
      <c r="AG10" s="3" t="s">
        <v>11</v>
      </c>
      <c r="AH10" s="3" t="s">
        <v>11</v>
      </c>
      <c r="AI10" s="3"/>
      <c r="AJ10" s="3" t="s">
        <v>54</v>
      </c>
      <c r="AK10" s="3" t="s">
        <v>54</v>
      </c>
      <c r="AL10" s="3" t="s">
        <v>6</v>
      </c>
      <c r="AM10" s="3" t="s">
        <v>6</v>
      </c>
      <c r="AN10" s="3"/>
      <c r="AO10" s="3" t="s">
        <v>54</v>
      </c>
      <c r="AP10" s="3" t="s">
        <v>54</v>
      </c>
      <c r="AQ10" s="3" t="s">
        <v>12</v>
      </c>
      <c r="AR10" s="3"/>
      <c r="AS10" s="3" t="s">
        <v>15</v>
      </c>
      <c r="AT10" s="3" t="s">
        <v>6</v>
      </c>
      <c r="AU10" s="3" t="s">
        <v>6</v>
      </c>
      <c r="AV10" s="3" t="s">
        <v>15</v>
      </c>
      <c r="AW10" s="3" t="s">
        <v>13</v>
      </c>
      <c r="AX10" s="3" t="s">
        <v>6</v>
      </c>
      <c r="AY10" s="3" t="s">
        <v>15</v>
      </c>
      <c r="AZ10" s="3" t="s">
        <v>58</v>
      </c>
      <c r="BA10" s="3" t="s">
        <v>14</v>
      </c>
      <c r="BB10" s="3" t="s">
        <v>6</v>
      </c>
      <c r="BC10" s="3" t="s">
        <v>13</v>
      </c>
      <c r="BD10" s="3" t="s">
        <v>4</v>
      </c>
      <c r="BE10" s="3"/>
      <c r="BF10" s="3" t="s">
        <v>6</v>
      </c>
      <c r="BG10" s="3" t="s">
        <v>6</v>
      </c>
      <c r="BH10" s="3" t="s">
        <v>16</v>
      </c>
      <c r="BI10" s="3"/>
      <c r="BJ10" s="3"/>
      <c r="BK10" s="3"/>
      <c r="BL10" s="3"/>
      <c r="BM10" s="3"/>
      <c r="BN10" s="3"/>
      <c r="BO10" s="4">
        <f>DATE(2026,3,10)+TIME(15,30,11)</f>
        <v>46091.64596064815</v>
      </c>
    </row>
    <row r="11" spans="1:67" ht="12.75">
      <c r="A11" s="5" t="s">
        <v>59</v>
      </c>
      <c r="B11" s="6"/>
      <c r="C11" s="6" t="s">
        <v>60</v>
      </c>
      <c r="D11" s="6" t="s">
        <v>2</v>
      </c>
      <c r="E11" s="6"/>
      <c r="F11" s="6" t="s">
        <v>3</v>
      </c>
      <c r="G11" s="6" t="s">
        <v>3</v>
      </c>
      <c r="H11" s="6" t="s">
        <v>6</v>
      </c>
      <c r="I11" s="6" t="s">
        <v>3</v>
      </c>
      <c r="J11" s="6" t="s">
        <v>5</v>
      </c>
      <c r="K11" s="6" t="s">
        <v>5</v>
      </c>
      <c r="L11" s="6" t="s">
        <v>37</v>
      </c>
      <c r="M11" s="6" t="s">
        <v>37</v>
      </c>
      <c r="N11" s="6" t="s">
        <v>37</v>
      </c>
      <c r="O11" s="6" t="s">
        <v>37</v>
      </c>
      <c r="P11" s="6" t="s">
        <v>37</v>
      </c>
      <c r="Q11" s="6" t="s">
        <v>8</v>
      </c>
      <c r="R11" s="6" t="s">
        <v>6</v>
      </c>
      <c r="S11" s="6" t="s">
        <v>4</v>
      </c>
      <c r="T11" s="6" t="s">
        <v>4</v>
      </c>
      <c r="U11" s="6" t="s">
        <v>4</v>
      </c>
      <c r="V11" s="6" t="s">
        <v>4</v>
      </c>
      <c r="W11" s="6" t="s">
        <v>8</v>
      </c>
      <c r="X11" s="6" t="s">
        <v>6</v>
      </c>
      <c r="Y11" s="6" t="s">
        <v>4</v>
      </c>
      <c r="Z11" s="6" t="s">
        <v>4</v>
      </c>
      <c r="AA11" s="6" t="s">
        <v>22</v>
      </c>
      <c r="AB11" s="6" t="s">
        <v>61</v>
      </c>
      <c r="AC11" s="6"/>
      <c r="AD11" s="6" t="s">
        <v>6</v>
      </c>
      <c r="AE11" s="6" t="s">
        <v>11</v>
      </c>
      <c r="AF11" s="6" t="s">
        <v>12</v>
      </c>
      <c r="AG11" s="6" t="s">
        <v>11</v>
      </c>
      <c r="AH11" s="6" t="s">
        <v>11</v>
      </c>
      <c r="AI11" s="6"/>
      <c r="AJ11" s="6" t="s">
        <v>4</v>
      </c>
      <c r="AK11" s="6" t="s">
        <v>3</v>
      </c>
      <c r="AL11" s="6" t="s">
        <v>6</v>
      </c>
      <c r="AM11" s="6" t="s">
        <v>6</v>
      </c>
      <c r="AN11" s="6"/>
      <c r="AO11" s="6" t="s">
        <v>6</v>
      </c>
      <c r="AP11" s="6" t="s">
        <v>11</v>
      </c>
      <c r="AQ11" s="6" t="s">
        <v>11</v>
      </c>
      <c r="AR11" s="6"/>
      <c r="AS11" s="6" t="s">
        <v>4</v>
      </c>
      <c r="AT11" s="6" t="s">
        <v>14</v>
      </c>
      <c r="AU11" s="6" t="s">
        <v>14</v>
      </c>
      <c r="AV11" s="6" t="s">
        <v>14</v>
      </c>
      <c r="AW11" s="6" t="s">
        <v>4</v>
      </c>
      <c r="AX11" s="6" t="s">
        <v>14</v>
      </c>
      <c r="AY11" s="6" t="s">
        <v>13</v>
      </c>
      <c r="AZ11" s="6" t="s">
        <v>14</v>
      </c>
      <c r="BA11" s="6" t="s">
        <v>4</v>
      </c>
      <c r="BB11" s="6" t="s">
        <v>14</v>
      </c>
      <c r="BC11" s="6" t="s">
        <v>14</v>
      </c>
      <c r="BD11" s="6" t="s">
        <v>4</v>
      </c>
      <c r="BE11" s="6"/>
      <c r="BF11" s="6" t="s">
        <v>3</v>
      </c>
      <c r="BG11" s="6" t="s">
        <v>3</v>
      </c>
      <c r="BH11" s="6" t="s">
        <v>16</v>
      </c>
      <c r="BI11" s="6"/>
      <c r="BJ11" s="6"/>
      <c r="BK11" s="6"/>
      <c r="BL11" s="6"/>
      <c r="BM11" s="6"/>
      <c r="BN11" s="6"/>
      <c r="BO11" s="7">
        <f>DATE(2026,3,9)+TIME(12,48,31)</f>
        <v>46090.53369212963</v>
      </c>
    </row>
    <row r="12" spans="1:67" ht="12.75">
      <c r="A12" s="2" t="s">
        <v>62</v>
      </c>
      <c r="B12" s="3"/>
      <c r="C12" s="3" t="s">
        <v>63</v>
      </c>
      <c r="D12" s="3" t="s">
        <v>64</v>
      </c>
      <c r="E12" s="3"/>
      <c r="F12" s="3" t="s">
        <v>11</v>
      </c>
      <c r="G12" s="3" t="s">
        <v>4</v>
      </c>
      <c r="H12" s="3" t="s">
        <v>6</v>
      </c>
      <c r="I12" s="3" t="s">
        <v>3</v>
      </c>
      <c r="J12" s="3" t="s">
        <v>6</v>
      </c>
      <c r="K12" s="3" t="s">
        <v>6</v>
      </c>
      <c r="L12" s="3" t="s">
        <v>6</v>
      </c>
      <c r="M12" s="3" t="s">
        <v>6</v>
      </c>
      <c r="N12" s="3" t="s">
        <v>6</v>
      </c>
      <c r="O12" s="3" t="s">
        <v>6</v>
      </c>
      <c r="P12" s="3" t="s">
        <v>6</v>
      </c>
      <c r="Q12" s="3" t="s">
        <v>8</v>
      </c>
      <c r="R12" s="3" t="s">
        <v>4</v>
      </c>
      <c r="S12" s="3" t="s">
        <v>4</v>
      </c>
      <c r="T12" s="3" t="s">
        <v>4</v>
      </c>
      <c r="U12" s="3" t="s">
        <v>8</v>
      </c>
      <c r="V12" s="3" t="s">
        <v>8</v>
      </c>
      <c r="W12" s="3" t="s">
        <v>7</v>
      </c>
      <c r="X12" s="3" t="s">
        <v>8</v>
      </c>
      <c r="Y12" s="3" t="s">
        <v>8</v>
      </c>
      <c r="Z12" s="3" t="s">
        <v>8</v>
      </c>
      <c r="AA12" s="3" t="s">
        <v>65</v>
      </c>
      <c r="AB12" s="3" t="s">
        <v>66</v>
      </c>
      <c r="AC12" s="3"/>
      <c r="AD12" s="3" t="s">
        <v>6</v>
      </c>
      <c r="AE12" s="3" t="s">
        <v>6</v>
      </c>
      <c r="AF12" s="3" t="s">
        <v>6</v>
      </c>
      <c r="AG12" s="3" t="s">
        <v>6</v>
      </c>
      <c r="AH12" s="3" t="s">
        <v>6</v>
      </c>
      <c r="AI12" s="3"/>
      <c r="AJ12" s="3" t="s">
        <v>4</v>
      </c>
      <c r="AK12" s="3" t="s">
        <v>11</v>
      </c>
      <c r="AL12" s="3" t="s">
        <v>11</v>
      </c>
      <c r="AM12" s="3" t="s">
        <v>4</v>
      </c>
      <c r="AN12" s="3"/>
      <c r="AO12" s="3" t="s">
        <v>11</v>
      </c>
      <c r="AP12" s="3" t="s">
        <v>11</v>
      </c>
      <c r="AQ12" s="3" t="s">
        <v>12</v>
      </c>
      <c r="AR12" s="3"/>
      <c r="AS12" s="3" t="s">
        <v>13</v>
      </c>
      <c r="AT12" s="3" t="s">
        <v>6</v>
      </c>
      <c r="AU12" s="3" t="s">
        <v>6</v>
      </c>
      <c r="AV12" s="3" t="s">
        <v>6</v>
      </c>
      <c r="AW12" s="3" t="s">
        <v>15</v>
      </c>
      <c r="AX12" s="3" t="s">
        <v>6</v>
      </c>
      <c r="AY12" s="3" t="s">
        <v>6</v>
      </c>
      <c r="AZ12" s="3" t="s">
        <v>6</v>
      </c>
      <c r="BA12" s="3" t="s">
        <v>6</v>
      </c>
      <c r="BB12" s="3" t="s">
        <v>6</v>
      </c>
      <c r="BC12" s="3" t="s">
        <v>6</v>
      </c>
      <c r="BD12" s="3" t="s">
        <v>6</v>
      </c>
      <c r="BE12" s="3"/>
      <c r="BF12" s="3" t="s">
        <v>11</v>
      </c>
      <c r="BG12" s="3" t="s">
        <v>6</v>
      </c>
      <c r="BH12" s="3" t="s">
        <v>16</v>
      </c>
      <c r="BI12" s="3"/>
      <c r="BJ12" s="3"/>
      <c r="BK12" s="3"/>
      <c r="BL12" s="3"/>
      <c r="BM12" s="3"/>
      <c r="BN12" s="3"/>
      <c r="BO12" s="4">
        <f>DATE(2026,3,9)+TIME(14,24,42)</f>
        <v>46090.600486111114</v>
      </c>
    </row>
    <row r="13" spans="1:67" ht="12.75">
      <c r="A13" s="5" t="s">
        <v>67</v>
      </c>
      <c r="B13" s="6"/>
      <c r="C13" s="6" t="s">
        <v>68</v>
      </c>
      <c r="D13" s="6" t="s">
        <v>19</v>
      </c>
      <c r="E13" s="6"/>
      <c r="F13" s="6" t="s">
        <v>3</v>
      </c>
      <c r="G13" s="6" t="s">
        <v>12</v>
      </c>
      <c r="H13" s="6" t="s">
        <v>4</v>
      </c>
      <c r="I13" s="6" t="s">
        <v>11</v>
      </c>
      <c r="J13" s="6" t="s">
        <v>5</v>
      </c>
      <c r="K13" s="6" t="s">
        <v>20</v>
      </c>
      <c r="L13" s="6" t="s">
        <v>20</v>
      </c>
      <c r="M13" s="6" t="s">
        <v>20</v>
      </c>
      <c r="N13" s="6" t="s">
        <v>20</v>
      </c>
      <c r="O13" s="6" t="s">
        <v>20</v>
      </c>
      <c r="P13" s="6" t="s">
        <v>6</v>
      </c>
      <c r="Q13" s="6" t="s">
        <v>4</v>
      </c>
      <c r="R13" s="6" t="s">
        <v>8</v>
      </c>
      <c r="S13" s="6" t="s">
        <v>8</v>
      </c>
      <c r="T13" s="6" t="s">
        <v>4</v>
      </c>
      <c r="U13" s="6" t="s">
        <v>4</v>
      </c>
      <c r="V13" s="6" t="s">
        <v>8</v>
      </c>
      <c r="W13" s="6" t="s">
        <v>8</v>
      </c>
      <c r="X13" s="6" t="s">
        <v>4</v>
      </c>
      <c r="Y13" s="6" t="s">
        <v>4</v>
      </c>
      <c r="Z13" s="6" t="s">
        <v>8</v>
      </c>
      <c r="AA13" s="6" t="s">
        <v>69</v>
      </c>
      <c r="AB13" s="6" t="s">
        <v>70</v>
      </c>
      <c r="AC13" s="6"/>
      <c r="AD13" s="6" t="s">
        <v>3</v>
      </c>
      <c r="AE13" s="6" t="s">
        <v>3</v>
      </c>
      <c r="AF13" s="6" t="s">
        <v>3</v>
      </c>
      <c r="AG13" s="6" t="s">
        <v>4</v>
      </c>
      <c r="AH13" s="6" t="s">
        <v>3</v>
      </c>
      <c r="AI13" s="6"/>
      <c r="AJ13" s="6" t="s">
        <v>11</v>
      </c>
      <c r="AK13" s="6" t="s">
        <v>3</v>
      </c>
      <c r="AL13" s="6" t="s">
        <v>3</v>
      </c>
      <c r="AM13" s="6" t="s">
        <v>4</v>
      </c>
      <c r="AN13" s="6"/>
      <c r="AO13" s="6" t="s">
        <v>3</v>
      </c>
      <c r="AP13" s="6" t="s">
        <v>11</v>
      </c>
      <c r="AQ13" s="6" t="s">
        <v>4</v>
      </c>
      <c r="AR13" s="6"/>
      <c r="AS13" s="6" t="s">
        <v>4</v>
      </c>
      <c r="AT13" s="6" t="s">
        <v>14</v>
      </c>
      <c r="AU13" s="6" t="s">
        <v>15</v>
      </c>
      <c r="AV13" s="6" t="s">
        <v>15</v>
      </c>
      <c r="AW13" s="6" t="s">
        <v>15</v>
      </c>
      <c r="AX13" s="6" t="s">
        <v>14</v>
      </c>
      <c r="AY13" s="6" t="s">
        <v>4</v>
      </c>
      <c r="AZ13" s="6" t="s">
        <v>4</v>
      </c>
      <c r="BA13" s="6" t="s">
        <v>15</v>
      </c>
      <c r="BB13" s="6" t="s">
        <v>4</v>
      </c>
      <c r="BC13" s="6" t="s">
        <v>4</v>
      </c>
      <c r="BD13" s="6" t="s">
        <v>4</v>
      </c>
      <c r="BE13" s="6"/>
      <c r="BF13" s="6" t="s">
        <v>11</v>
      </c>
      <c r="BG13" s="6" t="s">
        <v>3</v>
      </c>
      <c r="BH13" s="6" t="s">
        <v>16</v>
      </c>
      <c r="BI13" s="6"/>
      <c r="BJ13" s="6"/>
      <c r="BK13" s="6"/>
      <c r="BL13" s="6"/>
      <c r="BM13" s="6"/>
      <c r="BN13" s="6"/>
      <c r="BO13" s="7">
        <f>DATE(2026,3,31)+TIME(22,13,18)</f>
        <v>46112.92590277778</v>
      </c>
    </row>
    <row r="14" spans="1:67" ht="12.75">
      <c r="A14" s="2" t="s">
        <v>71</v>
      </c>
      <c r="B14" s="3"/>
      <c r="C14" s="3" t="s">
        <v>72</v>
      </c>
      <c r="D14" s="3" t="s">
        <v>2</v>
      </c>
      <c r="E14" s="3"/>
      <c r="F14" s="3" t="s">
        <v>3</v>
      </c>
      <c r="G14" s="3" t="s">
        <v>12</v>
      </c>
      <c r="H14" s="3" t="s">
        <v>3</v>
      </c>
      <c r="I14" s="3" t="s">
        <v>12</v>
      </c>
      <c r="J14" s="3" t="s">
        <v>20</v>
      </c>
      <c r="K14" s="3" t="s">
        <v>20</v>
      </c>
      <c r="L14" s="3" t="s">
        <v>20</v>
      </c>
      <c r="M14" s="3" t="s">
        <v>20</v>
      </c>
      <c r="N14" s="3" t="s">
        <v>20</v>
      </c>
      <c r="O14" s="3" t="s">
        <v>5</v>
      </c>
      <c r="P14" s="3" t="s">
        <v>20</v>
      </c>
      <c r="Q14" s="3" t="s">
        <v>21</v>
      </c>
      <c r="R14" s="3" t="s">
        <v>21</v>
      </c>
      <c r="S14" s="3" t="s">
        <v>7</v>
      </c>
      <c r="T14" s="3" t="s">
        <v>4</v>
      </c>
      <c r="U14" s="3" t="s">
        <v>7</v>
      </c>
      <c r="V14" s="3" t="s">
        <v>4</v>
      </c>
      <c r="W14" s="3" t="s">
        <v>21</v>
      </c>
      <c r="X14" s="3" t="s">
        <v>4</v>
      </c>
      <c r="Y14" s="3" t="s">
        <v>4</v>
      </c>
      <c r="Z14" s="3" t="s">
        <v>21</v>
      </c>
      <c r="AA14" s="3" t="s">
        <v>73</v>
      </c>
      <c r="AB14" s="3" t="s">
        <v>74</v>
      </c>
      <c r="AC14" s="3"/>
      <c r="AD14" s="3" t="s">
        <v>3</v>
      </c>
      <c r="AE14" s="3" t="s">
        <v>11</v>
      </c>
      <c r="AF14" s="3" t="s">
        <v>3</v>
      </c>
      <c r="AG14" s="3" t="s">
        <v>4</v>
      </c>
      <c r="AH14" s="3" t="s">
        <v>4</v>
      </c>
      <c r="AI14" s="3"/>
      <c r="AJ14" s="3" t="s">
        <v>3</v>
      </c>
      <c r="AK14" s="3" t="s">
        <v>11</v>
      </c>
      <c r="AL14" s="3" t="s">
        <v>54</v>
      </c>
      <c r="AM14" s="3" t="s">
        <v>4</v>
      </c>
      <c r="AN14" s="3"/>
      <c r="AO14" s="3" t="s">
        <v>3</v>
      </c>
      <c r="AP14" s="3" t="s">
        <v>54</v>
      </c>
      <c r="AQ14" s="3" t="s">
        <v>3</v>
      </c>
      <c r="AR14" s="3"/>
      <c r="AS14" s="3" t="s">
        <v>15</v>
      </c>
      <c r="AT14" s="3" t="s">
        <v>4</v>
      </c>
      <c r="AU14" s="3" t="s">
        <v>13</v>
      </c>
      <c r="AV14" s="3" t="s">
        <v>14</v>
      </c>
      <c r="AW14" s="3" t="s">
        <v>15</v>
      </c>
      <c r="AX14" s="3" t="s">
        <v>15</v>
      </c>
      <c r="AY14" s="3" t="s">
        <v>15</v>
      </c>
      <c r="AZ14" s="3" t="s">
        <v>13</v>
      </c>
      <c r="BA14" s="3" t="s">
        <v>15</v>
      </c>
      <c r="BB14" s="3" t="s">
        <v>4</v>
      </c>
      <c r="BC14" s="3" t="s">
        <v>13</v>
      </c>
      <c r="BD14" s="3" t="s">
        <v>13</v>
      </c>
      <c r="BE14" s="3"/>
      <c r="BF14" s="3" t="s">
        <v>3</v>
      </c>
      <c r="BG14" s="3" t="s">
        <v>3</v>
      </c>
      <c r="BH14" s="3" t="s">
        <v>16</v>
      </c>
      <c r="BI14" s="3"/>
      <c r="BJ14" s="3"/>
      <c r="BK14" s="3"/>
      <c r="BL14" s="3"/>
      <c r="BM14" s="3"/>
      <c r="BN14" s="3"/>
      <c r="BO14" s="4">
        <f>DATE(2026,3,9)+TIME(9,19,36)</f>
        <v>46090.38861111111</v>
      </c>
    </row>
    <row r="15" spans="1:67" ht="12.75">
      <c r="A15" s="5" t="s">
        <v>75</v>
      </c>
      <c r="B15" s="6"/>
      <c r="C15" s="6" t="s">
        <v>76</v>
      </c>
      <c r="D15" s="6" t="s">
        <v>2</v>
      </c>
      <c r="E15" s="6"/>
      <c r="F15" s="6" t="s">
        <v>11</v>
      </c>
      <c r="G15" s="6" t="s">
        <v>12</v>
      </c>
      <c r="H15" s="6" t="s">
        <v>12</v>
      </c>
      <c r="I15" s="6" t="s">
        <v>12</v>
      </c>
      <c r="J15" s="6" t="s">
        <v>5</v>
      </c>
      <c r="K15" s="6" t="s">
        <v>20</v>
      </c>
      <c r="L15" s="6" t="s">
        <v>20</v>
      </c>
      <c r="M15" s="6" t="s">
        <v>5</v>
      </c>
      <c r="N15" s="6" t="s">
        <v>37</v>
      </c>
      <c r="O15" s="6" t="s">
        <v>20</v>
      </c>
      <c r="P15" s="6" t="s">
        <v>20</v>
      </c>
      <c r="Q15" s="6" t="s">
        <v>4</v>
      </c>
      <c r="R15" s="6" t="s">
        <v>4</v>
      </c>
      <c r="S15" s="6" t="s">
        <v>4</v>
      </c>
      <c r="T15" s="6" t="s">
        <v>4</v>
      </c>
      <c r="U15" s="6" t="s">
        <v>4</v>
      </c>
      <c r="V15" s="6" t="s">
        <v>4</v>
      </c>
      <c r="W15" s="6" t="s">
        <v>4</v>
      </c>
      <c r="X15" s="6" t="s">
        <v>4</v>
      </c>
      <c r="Y15" s="6" t="s">
        <v>28</v>
      </c>
      <c r="Z15" s="6" t="s">
        <v>28</v>
      </c>
      <c r="AA15" s="6" t="s">
        <v>77</v>
      </c>
      <c r="AB15" s="6" t="s">
        <v>78</v>
      </c>
      <c r="AC15" s="6"/>
      <c r="AD15" s="6" t="s">
        <v>3</v>
      </c>
      <c r="AE15" s="6" t="s">
        <v>3</v>
      </c>
      <c r="AF15" s="6" t="s">
        <v>12</v>
      </c>
      <c r="AG15" s="6" t="s">
        <v>12</v>
      </c>
      <c r="AH15" s="6" t="s">
        <v>11</v>
      </c>
      <c r="AI15" s="6"/>
      <c r="AJ15" s="6" t="s">
        <v>54</v>
      </c>
      <c r="AK15" s="6" t="s">
        <v>12</v>
      </c>
      <c r="AL15" s="6" t="s">
        <v>4</v>
      </c>
      <c r="AM15" s="6" t="s">
        <v>4</v>
      </c>
      <c r="AN15" s="6"/>
      <c r="AO15" s="6" t="s">
        <v>4</v>
      </c>
      <c r="AP15" s="6" t="s">
        <v>3</v>
      </c>
      <c r="AQ15" s="6" t="s">
        <v>3</v>
      </c>
      <c r="AR15" s="6"/>
      <c r="AS15" s="6" t="s">
        <v>15</v>
      </c>
      <c r="AT15" s="6" t="s">
        <v>15</v>
      </c>
      <c r="AU15" s="6" t="s">
        <v>6</v>
      </c>
      <c r="AV15" s="6" t="s">
        <v>6</v>
      </c>
      <c r="AW15" s="6" t="s">
        <v>6</v>
      </c>
      <c r="AX15" s="6" t="s">
        <v>15</v>
      </c>
      <c r="AY15" s="6" t="s">
        <v>14</v>
      </c>
      <c r="AZ15" s="6" t="s">
        <v>58</v>
      </c>
      <c r="BA15" s="6" t="s">
        <v>14</v>
      </c>
      <c r="BB15" s="6" t="s">
        <v>58</v>
      </c>
      <c r="BC15" s="6" t="s">
        <v>58</v>
      </c>
      <c r="BD15" s="6" t="s">
        <v>58</v>
      </c>
      <c r="BE15" s="6"/>
      <c r="BF15" s="6" t="s">
        <v>6</v>
      </c>
      <c r="BG15" s="6" t="s">
        <v>6</v>
      </c>
      <c r="BH15" s="6" t="s">
        <v>24</v>
      </c>
      <c r="BI15" s="6" t="s">
        <v>79</v>
      </c>
      <c r="BJ15" s="6" t="s">
        <v>6</v>
      </c>
      <c r="BK15" s="6" t="s">
        <v>6</v>
      </c>
      <c r="BL15" s="6" t="s">
        <v>6</v>
      </c>
      <c r="BM15" s="6" t="s">
        <v>6</v>
      </c>
      <c r="BN15" s="6" t="s">
        <v>6</v>
      </c>
      <c r="BO15" s="7">
        <f>DATE(2026,3,9)+TIME(18,1,50)</f>
        <v>46090.75127314815</v>
      </c>
    </row>
    <row r="16" spans="1:67" ht="12.75">
      <c r="A16" s="2" t="s">
        <v>80</v>
      </c>
      <c r="B16" s="3"/>
      <c r="C16" s="3" t="s">
        <v>81</v>
      </c>
      <c r="D16" s="3" t="s">
        <v>2</v>
      </c>
      <c r="E16" s="3"/>
      <c r="F16" s="3" t="s">
        <v>6</v>
      </c>
      <c r="G16" s="3" t="s">
        <v>3</v>
      </c>
      <c r="H16" s="3" t="s">
        <v>11</v>
      </c>
      <c r="I16" s="3" t="s">
        <v>3</v>
      </c>
      <c r="J16" s="3" t="s">
        <v>20</v>
      </c>
      <c r="K16" s="3" t="s">
        <v>20</v>
      </c>
      <c r="L16" s="3" t="s">
        <v>5</v>
      </c>
      <c r="M16" s="3" t="s">
        <v>5</v>
      </c>
      <c r="N16" s="3" t="s">
        <v>20</v>
      </c>
      <c r="O16" s="3" t="s">
        <v>5</v>
      </c>
      <c r="P16" s="3" t="s">
        <v>5</v>
      </c>
      <c r="Q16" s="3" t="s">
        <v>7</v>
      </c>
      <c r="R16" s="3" t="s">
        <v>4</v>
      </c>
      <c r="S16" s="3" t="s">
        <v>4</v>
      </c>
      <c r="T16" s="3" t="s">
        <v>28</v>
      </c>
      <c r="U16" s="3" t="s">
        <v>8</v>
      </c>
      <c r="V16" s="3" t="s">
        <v>8</v>
      </c>
      <c r="W16" s="3" t="s">
        <v>7</v>
      </c>
      <c r="X16" s="3" t="s">
        <v>7</v>
      </c>
      <c r="Y16" s="3" t="s">
        <v>4</v>
      </c>
      <c r="Z16" s="3" t="s">
        <v>4</v>
      </c>
      <c r="AA16" s="3" t="s">
        <v>50</v>
      </c>
      <c r="AB16" s="3" t="s">
        <v>82</v>
      </c>
      <c r="AC16" s="3"/>
      <c r="AD16" s="3" t="s">
        <v>3</v>
      </c>
      <c r="AE16" s="3" t="s">
        <v>4</v>
      </c>
      <c r="AF16" s="3" t="s">
        <v>3</v>
      </c>
      <c r="AG16" s="3" t="s">
        <v>11</v>
      </c>
      <c r="AH16" s="3" t="s">
        <v>11</v>
      </c>
      <c r="AI16" s="3"/>
      <c r="AJ16" s="3" t="s">
        <v>11</v>
      </c>
      <c r="AK16" s="3" t="s">
        <v>11</v>
      </c>
      <c r="AL16" s="3" t="s">
        <v>3</v>
      </c>
      <c r="AM16" s="3" t="s">
        <v>4</v>
      </c>
      <c r="AN16" s="3"/>
      <c r="AO16" s="3" t="s">
        <v>11</v>
      </c>
      <c r="AP16" s="3" t="s">
        <v>3</v>
      </c>
      <c r="AQ16" s="3" t="s">
        <v>12</v>
      </c>
      <c r="AR16" s="3"/>
      <c r="AS16" s="3" t="s">
        <v>13</v>
      </c>
      <c r="AT16" s="3" t="s">
        <v>13</v>
      </c>
      <c r="AU16" s="3" t="s">
        <v>13</v>
      </c>
      <c r="AV16" s="3" t="s">
        <v>4</v>
      </c>
      <c r="AW16" s="3" t="s">
        <v>13</v>
      </c>
      <c r="AX16" s="3" t="s">
        <v>4</v>
      </c>
      <c r="AY16" s="3" t="s">
        <v>13</v>
      </c>
      <c r="AZ16" s="3" t="s">
        <v>4</v>
      </c>
      <c r="BA16" s="3" t="s">
        <v>13</v>
      </c>
      <c r="BB16" s="3" t="s">
        <v>4</v>
      </c>
      <c r="BC16" s="3" t="s">
        <v>13</v>
      </c>
      <c r="BD16" s="3" t="s">
        <v>13</v>
      </c>
      <c r="BE16" s="3"/>
      <c r="BF16" s="3" t="s">
        <v>4</v>
      </c>
      <c r="BG16" s="3" t="s">
        <v>4</v>
      </c>
      <c r="BH16" s="3" t="s">
        <v>16</v>
      </c>
      <c r="BI16" s="3"/>
      <c r="BJ16" s="3"/>
      <c r="BK16" s="3"/>
      <c r="BL16" s="3"/>
      <c r="BM16" s="3"/>
      <c r="BN16" s="3"/>
      <c r="BO16" s="4">
        <f>DATE(2026,4,1)+TIME(16,20,52)</f>
        <v>46113.68115740741</v>
      </c>
    </row>
    <row r="17" spans="1:67" ht="12.75">
      <c r="A17" s="5" t="s">
        <v>83</v>
      </c>
      <c r="B17" s="6"/>
      <c r="C17" s="6" t="s">
        <v>84</v>
      </c>
      <c r="D17" s="6" t="s">
        <v>19</v>
      </c>
      <c r="E17" s="6"/>
      <c r="F17" s="6" t="s">
        <v>4</v>
      </c>
      <c r="G17" s="6" t="s">
        <v>4</v>
      </c>
      <c r="H17" s="6" t="s">
        <v>3</v>
      </c>
      <c r="I17" s="6" t="s">
        <v>3</v>
      </c>
      <c r="J17" s="6" t="s">
        <v>20</v>
      </c>
      <c r="K17" s="6" t="s">
        <v>5</v>
      </c>
      <c r="L17" s="6" t="s">
        <v>5</v>
      </c>
      <c r="M17" s="6" t="s">
        <v>5</v>
      </c>
      <c r="N17" s="6" t="s">
        <v>20</v>
      </c>
      <c r="O17" s="6" t="s">
        <v>5</v>
      </c>
      <c r="P17" s="6" t="s">
        <v>5</v>
      </c>
      <c r="Q17" s="6" t="s">
        <v>8</v>
      </c>
      <c r="R17" s="6" t="s">
        <v>28</v>
      </c>
      <c r="S17" s="6" t="s">
        <v>4</v>
      </c>
      <c r="T17" s="6" t="s">
        <v>8</v>
      </c>
      <c r="U17" s="6" t="s">
        <v>4</v>
      </c>
      <c r="V17" s="6" t="s">
        <v>4</v>
      </c>
      <c r="W17" s="6" t="s">
        <v>4</v>
      </c>
      <c r="X17" s="6" t="s">
        <v>8</v>
      </c>
      <c r="Y17" s="6" t="s">
        <v>7</v>
      </c>
      <c r="Z17" s="6" t="s">
        <v>28</v>
      </c>
      <c r="AA17" s="6" t="s">
        <v>85</v>
      </c>
      <c r="AB17" s="6" t="s">
        <v>86</v>
      </c>
      <c r="AC17" s="6"/>
      <c r="AD17" s="6" t="s">
        <v>3</v>
      </c>
      <c r="AE17" s="6" t="s">
        <v>3</v>
      </c>
      <c r="AF17" s="6" t="s">
        <v>4</v>
      </c>
      <c r="AG17" s="6" t="s">
        <v>11</v>
      </c>
      <c r="AH17" s="6" t="s">
        <v>11</v>
      </c>
      <c r="AI17" s="6"/>
      <c r="AJ17" s="6" t="s">
        <v>3</v>
      </c>
      <c r="AK17" s="6" t="s">
        <v>11</v>
      </c>
      <c r="AL17" s="6" t="s">
        <v>12</v>
      </c>
      <c r="AM17" s="6" t="s">
        <v>4</v>
      </c>
      <c r="AN17" s="6"/>
      <c r="AO17" s="6" t="s">
        <v>3</v>
      </c>
      <c r="AP17" s="6" t="s">
        <v>4</v>
      </c>
      <c r="AQ17" s="6" t="s">
        <v>4</v>
      </c>
      <c r="AR17" s="6"/>
      <c r="AS17" s="6" t="s">
        <v>13</v>
      </c>
      <c r="AT17" s="6" t="s">
        <v>13</v>
      </c>
      <c r="AU17" s="6" t="s">
        <v>4</v>
      </c>
      <c r="AV17" s="6" t="s">
        <v>13</v>
      </c>
      <c r="AW17" s="6" t="s">
        <v>15</v>
      </c>
      <c r="AX17" s="6" t="s">
        <v>13</v>
      </c>
      <c r="AY17" s="6" t="s">
        <v>13</v>
      </c>
      <c r="AZ17" s="6" t="s">
        <v>13</v>
      </c>
      <c r="BA17" s="6" t="s">
        <v>13</v>
      </c>
      <c r="BB17" s="6" t="s">
        <v>4</v>
      </c>
      <c r="BC17" s="6" t="s">
        <v>13</v>
      </c>
      <c r="BD17" s="6" t="s">
        <v>13</v>
      </c>
      <c r="BE17" s="6"/>
      <c r="BF17" s="6" t="s">
        <v>4</v>
      </c>
      <c r="BG17" s="6" t="s">
        <v>3</v>
      </c>
      <c r="BH17" s="6" t="s">
        <v>24</v>
      </c>
      <c r="BI17" s="6" t="s">
        <v>84</v>
      </c>
      <c r="BJ17" s="6" t="s">
        <v>13</v>
      </c>
      <c r="BK17" s="6" t="s">
        <v>13</v>
      </c>
      <c r="BL17" s="6" t="s">
        <v>13</v>
      </c>
      <c r="BM17" s="6" t="s">
        <v>54</v>
      </c>
      <c r="BN17" s="6" t="s">
        <v>4</v>
      </c>
      <c r="BO17" s="7">
        <f>DATE(2026,3,9)+TIME(13,45,44)</f>
        <v>46090.573425925926</v>
      </c>
    </row>
    <row r="18" spans="1:67" ht="12.75">
      <c r="A18" s="2" t="s">
        <v>87</v>
      </c>
      <c r="B18" s="3"/>
      <c r="C18" s="3" t="s">
        <v>88</v>
      </c>
      <c r="D18" s="3" t="s">
        <v>19</v>
      </c>
      <c r="E18" s="3"/>
      <c r="F18" s="3" t="s">
        <v>3</v>
      </c>
      <c r="G18" s="3" t="s">
        <v>3</v>
      </c>
      <c r="H18" s="3" t="s">
        <v>3</v>
      </c>
      <c r="I18" s="3" t="s">
        <v>3</v>
      </c>
      <c r="J18" s="3" t="s">
        <v>20</v>
      </c>
      <c r="K18" s="3" t="s">
        <v>5</v>
      </c>
      <c r="L18" s="3" t="s">
        <v>6</v>
      </c>
      <c r="M18" s="3" t="s">
        <v>5</v>
      </c>
      <c r="N18" s="3" t="s">
        <v>6</v>
      </c>
      <c r="O18" s="3" t="s">
        <v>5</v>
      </c>
      <c r="P18" s="3" t="s">
        <v>5</v>
      </c>
      <c r="Q18" s="3" t="s">
        <v>7</v>
      </c>
      <c r="R18" s="3" t="s">
        <v>7</v>
      </c>
      <c r="S18" s="3" t="s">
        <v>7</v>
      </c>
      <c r="T18" s="3" t="s">
        <v>4</v>
      </c>
      <c r="U18" s="3" t="s">
        <v>21</v>
      </c>
      <c r="V18" s="3" t="s">
        <v>7</v>
      </c>
      <c r="W18" s="3" t="s">
        <v>7</v>
      </c>
      <c r="X18" s="3" t="s">
        <v>4</v>
      </c>
      <c r="Y18" s="3" t="s">
        <v>4</v>
      </c>
      <c r="Z18" s="3" t="s">
        <v>4</v>
      </c>
      <c r="AA18" s="3" t="s">
        <v>89</v>
      </c>
      <c r="AB18" s="3" t="s">
        <v>6</v>
      </c>
      <c r="AC18" s="3"/>
      <c r="AD18" s="3" t="s">
        <v>6</v>
      </c>
      <c r="AE18" s="3" t="s">
        <v>12</v>
      </c>
      <c r="AF18" s="3" t="s">
        <v>11</v>
      </c>
      <c r="AG18" s="3" t="s">
        <v>3</v>
      </c>
      <c r="AH18" s="3" t="s">
        <v>6</v>
      </c>
      <c r="AI18" s="3"/>
      <c r="AJ18" s="3" t="s">
        <v>11</v>
      </c>
      <c r="AK18" s="3" t="s">
        <v>11</v>
      </c>
      <c r="AL18" s="3" t="s">
        <v>11</v>
      </c>
      <c r="AM18" s="3" t="s">
        <v>11</v>
      </c>
      <c r="AN18" s="3"/>
      <c r="AO18" s="3" t="s">
        <v>3</v>
      </c>
      <c r="AP18" s="3" t="s">
        <v>6</v>
      </c>
      <c r="AQ18" s="3" t="s">
        <v>6</v>
      </c>
      <c r="AR18" s="3"/>
      <c r="AS18" s="3" t="s">
        <v>6</v>
      </c>
      <c r="AT18" s="3" t="s">
        <v>6</v>
      </c>
      <c r="AU18" s="3" t="s">
        <v>6</v>
      </c>
      <c r="AV18" s="3" t="s">
        <v>6</v>
      </c>
      <c r="AW18" s="3" t="s">
        <v>6</v>
      </c>
      <c r="AX18" s="3" t="s">
        <v>6</v>
      </c>
      <c r="AY18" s="3" t="s">
        <v>6</v>
      </c>
      <c r="AZ18" s="3" t="s">
        <v>6</v>
      </c>
      <c r="BA18" s="3" t="s">
        <v>6</v>
      </c>
      <c r="BB18" s="3" t="s">
        <v>6</v>
      </c>
      <c r="BC18" s="3" t="s">
        <v>6</v>
      </c>
      <c r="BD18" s="3" t="s">
        <v>6</v>
      </c>
      <c r="BE18" s="3"/>
      <c r="BF18" s="3" t="s">
        <v>6</v>
      </c>
      <c r="BG18" s="3" t="s">
        <v>6</v>
      </c>
      <c r="BH18" s="3" t="s">
        <v>16</v>
      </c>
      <c r="BI18" s="3"/>
      <c r="BJ18" s="3"/>
      <c r="BK18" s="3"/>
      <c r="BL18" s="3"/>
      <c r="BM18" s="3"/>
      <c r="BN18" s="3"/>
      <c r="BO18" s="4">
        <f>DATE(2026,3,23)+TIME(11,52,27)</f>
        <v>46104.49475694444</v>
      </c>
    </row>
    <row r="19" spans="1:67" ht="12.75">
      <c r="A19" s="5" t="s">
        <v>90</v>
      </c>
      <c r="B19" s="6"/>
      <c r="C19" s="6" t="s">
        <v>91</v>
      </c>
      <c r="D19" s="6" t="s">
        <v>27</v>
      </c>
      <c r="E19" s="6"/>
      <c r="F19" s="6" t="s">
        <v>4</v>
      </c>
      <c r="G19" s="6" t="s">
        <v>4</v>
      </c>
      <c r="H19" s="6" t="s">
        <v>3</v>
      </c>
      <c r="I19" s="6" t="s">
        <v>3</v>
      </c>
      <c r="J19" s="6" t="s">
        <v>5</v>
      </c>
      <c r="K19" s="6" t="s">
        <v>5</v>
      </c>
      <c r="L19" s="6" t="s">
        <v>4</v>
      </c>
      <c r="M19" s="6" t="s">
        <v>4</v>
      </c>
      <c r="N19" s="6" t="s">
        <v>5</v>
      </c>
      <c r="O19" s="6" t="s">
        <v>5</v>
      </c>
      <c r="P19" s="6" t="s">
        <v>5</v>
      </c>
      <c r="Q19" s="6" t="s">
        <v>8</v>
      </c>
      <c r="R19" s="6" t="s">
        <v>8</v>
      </c>
      <c r="S19" s="6" t="s">
        <v>8</v>
      </c>
      <c r="T19" s="6" t="s">
        <v>8</v>
      </c>
      <c r="U19" s="6" t="s">
        <v>7</v>
      </c>
      <c r="V19" s="6" t="s">
        <v>4</v>
      </c>
      <c r="W19" s="6" t="s">
        <v>7</v>
      </c>
      <c r="X19" s="6" t="s">
        <v>28</v>
      </c>
      <c r="Y19" s="6" t="s">
        <v>8</v>
      </c>
      <c r="Z19" s="6" t="s">
        <v>7</v>
      </c>
      <c r="AA19" s="6" t="s">
        <v>50</v>
      </c>
      <c r="AB19" s="6" t="s">
        <v>92</v>
      </c>
      <c r="AC19" s="6"/>
      <c r="AD19" s="6" t="s">
        <v>11</v>
      </c>
      <c r="AE19" s="6" t="s">
        <v>11</v>
      </c>
      <c r="AF19" s="6" t="s">
        <v>12</v>
      </c>
      <c r="AG19" s="6" t="s">
        <v>3</v>
      </c>
      <c r="AH19" s="6" t="s">
        <v>11</v>
      </c>
      <c r="AI19" s="6"/>
      <c r="AJ19" s="6" t="s">
        <v>11</v>
      </c>
      <c r="AK19" s="6" t="s">
        <v>11</v>
      </c>
      <c r="AL19" s="6" t="s">
        <v>4</v>
      </c>
      <c r="AM19" s="6" t="s">
        <v>4</v>
      </c>
      <c r="AN19" s="6"/>
      <c r="AO19" s="6" t="s">
        <v>11</v>
      </c>
      <c r="AP19" s="6" t="s">
        <v>54</v>
      </c>
      <c r="AQ19" s="6" t="s">
        <v>11</v>
      </c>
      <c r="AR19" s="6"/>
      <c r="AS19" s="6" t="s">
        <v>4</v>
      </c>
      <c r="AT19" s="6" t="s">
        <v>4</v>
      </c>
      <c r="AU19" s="6" t="s">
        <v>14</v>
      </c>
      <c r="AV19" s="6" t="s">
        <v>14</v>
      </c>
      <c r="AW19" s="6" t="s">
        <v>13</v>
      </c>
      <c r="AX19" s="6" t="s">
        <v>4</v>
      </c>
      <c r="AY19" s="6" t="s">
        <v>58</v>
      </c>
      <c r="AZ19" s="6" t="s">
        <v>58</v>
      </c>
      <c r="BA19" s="6" t="s">
        <v>58</v>
      </c>
      <c r="BB19" s="6" t="s">
        <v>58</v>
      </c>
      <c r="BC19" s="6" t="s">
        <v>4</v>
      </c>
      <c r="BD19" s="6" t="s">
        <v>14</v>
      </c>
      <c r="BE19" s="6"/>
      <c r="BF19" s="6" t="s">
        <v>11</v>
      </c>
      <c r="BG19" s="6" t="s">
        <v>11</v>
      </c>
      <c r="BH19" s="6" t="s">
        <v>16</v>
      </c>
      <c r="BI19" s="6"/>
      <c r="BJ19" s="6"/>
      <c r="BK19" s="6"/>
      <c r="BL19" s="6"/>
      <c r="BM19" s="6"/>
      <c r="BN19" s="6"/>
      <c r="BO19" s="7">
        <f>DATE(2026,3,31)+TIME(16,13,48)</f>
        <v>46112.67625</v>
      </c>
    </row>
    <row r="20" spans="1:67" ht="12.75">
      <c r="A20" s="2" t="s">
        <v>93</v>
      </c>
      <c r="B20" s="3"/>
      <c r="C20" s="3" t="s">
        <v>94</v>
      </c>
      <c r="D20" s="3" t="s">
        <v>19</v>
      </c>
      <c r="E20" s="3"/>
      <c r="F20" s="3" t="s">
        <v>3</v>
      </c>
      <c r="G20" s="3" t="s">
        <v>3</v>
      </c>
      <c r="H20" s="3" t="s">
        <v>3</v>
      </c>
      <c r="I20" s="3" t="s">
        <v>3</v>
      </c>
      <c r="J20" s="3" t="s">
        <v>20</v>
      </c>
      <c r="K20" s="3" t="s">
        <v>20</v>
      </c>
      <c r="L20" s="3" t="s">
        <v>5</v>
      </c>
      <c r="M20" s="3" t="s">
        <v>5</v>
      </c>
      <c r="N20" s="3" t="s">
        <v>5</v>
      </c>
      <c r="O20" s="3" t="s">
        <v>5</v>
      </c>
      <c r="P20" s="3" t="s">
        <v>20</v>
      </c>
      <c r="Q20" s="3" t="s">
        <v>8</v>
      </c>
      <c r="R20" s="3" t="s">
        <v>28</v>
      </c>
      <c r="S20" s="3" t="s">
        <v>28</v>
      </c>
      <c r="T20" s="3" t="s">
        <v>28</v>
      </c>
      <c r="U20" s="3" t="s">
        <v>28</v>
      </c>
      <c r="V20" s="3" t="s">
        <v>8</v>
      </c>
      <c r="W20" s="3" t="s">
        <v>8</v>
      </c>
      <c r="X20" s="3" t="s">
        <v>28</v>
      </c>
      <c r="Y20" s="3" t="s">
        <v>8</v>
      </c>
      <c r="Z20" s="3" t="s">
        <v>28</v>
      </c>
      <c r="AA20" s="3" t="s">
        <v>95</v>
      </c>
      <c r="AB20" s="3" t="s">
        <v>96</v>
      </c>
      <c r="AC20" s="3"/>
      <c r="AD20" s="3" t="s">
        <v>4</v>
      </c>
      <c r="AE20" s="3" t="s">
        <v>3</v>
      </c>
      <c r="AF20" s="3" t="s">
        <v>4</v>
      </c>
      <c r="AG20" s="3" t="s">
        <v>4</v>
      </c>
      <c r="AH20" s="3" t="s">
        <v>4</v>
      </c>
      <c r="AI20" s="3"/>
      <c r="AJ20" s="3" t="s">
        <v>4</v>
      </c>
      <c r="AK20" s="3" t="s">
        <v>4</v>
      </c>
      <c r="AL20" s="3" t="s">
        <v>4</v>
      </c>
      <c r="AM20" s="3" t="s">
        <v>4</v>
      </c>
      <c r="AN20" s="3"/>
      <c r="AO20" s="3" t="s">
        <v>4</v>
      </c>
      <c r="AP20" s="3" t="s">
        <v>11</v>
      </c>
      <c r="AQ20" s="3" t="s">
        <v>3</v>
      </c>
      <c r="AR20" s="3"/>
      <c r="AS20" s="3" t="s">
        <v>4</v>
      </c>
      <c r="AT20" s="3" t="s">
        <v>4</v>
      </c>
      <c r="AU20" s="3" t="s">
        <v>4</v>
      </c>
      <c r="AV20" s="3" t="s">
        <v>4</v>
      </c>
      <c r="AW20" s="3" t="s">
        <v>13</v>
      </c>
      <c r="AX20" s="3" t="s">
        <v>4</v>
      </c>
      <c r="AY20" s="3" t="s">
        <v>13</v>
      </c>
      <c r="AZ20" s="3" t="s">
        <v>13</v>
      </c>
      <c r="BA20" s="3" t="s">
        <v>13</v>
      </c>
      <c r="BB20" s="3" t="s">
        <v>13</v>
      </c>
      <c r="BC20" s="3" t="s">
        <v>13</v>
      </c>
      <c r="BD20" s="3" t="s">
        <v>13</v>
      </c>
      <c r="BE20" s="3"/>
      <c r="BF20" s="3" t="s">
        <v>4</v>
      </c>
      <c r="BG20" s="3" t="s">
        <v>4</v>
      </c>
      <c r="BH20" s="3" t="s">
        <v>16</v>
      </c>
      <c r="BI20" s="3"/>
      <c r="BJ20" s="3"/>
      <c r="BK20" s="3"/>
      <c r="BL20" s="3"/>
      <c r="BM20" s="3"/>
      <c r="BN20" s="3"/>
      <c r="BO20" s="4">
        <f>DATE(2026,3,23)+TIME(11,26,23)</f>
        <v>46104.47665509259</v>
      </c>
    </row>
    <row r="21" spans="1:67" ht="12.75">
      <c r="A21" s="5" t="s">
        <v>97</v>
      </c>
      <c r="B21" s="6"/>
      <c r="C21" s="6" t="s">
        <v>98</v>
      </c>
      <c r="D21" s="6" t="s">
        <v>19</v>
      </c>
      <c r="E21" s="6"/>
      <c r="F21" s="6" t="s">
        <v>3</v>
      </c>
      <c r="G21" s="6" t="s">
        <v>3</v>
      </c>
      <c r="H21" s="6" t="s">
        <v>3</v>
      </c>
      <c r="I21" s="6" t="s">
        <v>3</v>
      </c>
      <c r="J21" s="6" t="s">
        <v>20</v>
      </c>
      <c r="K21" s="6" t="s">
        <v>20</v>
      </c>
      <c r="L21" s="6" t="s">
        <v>5</v>
      </c>
      <c r="M21" s="6" t="s">
        <v>5</v>
      </c>
      <c r="N21" s="6" t="s">
        <v>5</v>
      </c>
      <c r="O21" s="6" t="s">
        <v>20</v>
      </c>
      <c r="P21" s="6" t="s">
        <v>20</v>
      </c>
      <c r="Q21" s="6" t="s">
        <v>7</v>
      </c>
      <c r="R21" s="6" t="s">
        <v>7</v>
      </c>
      <c r="S21" s="6" t="s">
        <v>4</v>
      </c>
      <c r="T21" s="6" t="s">
        <v>4</v>
      </c>
      <c r="U21" s="6" t="s">
        <v>7</v>
      </c>
      <c r="V21" s="6" t="s">
        <v>7</v>
      </c>
      <c r="W21" s="6" t="s">
        <v>21</v>
      </c>
      <c r="X21" s="6" t="s">
        <v>7</v>
      </c>
      <c r="Y21" s="6" t="s">
        <v>4</v>
      </c>
      <c r="Z21" s="6" t="s">
        <v>4</v>
      </c>
      <c r="AA21" s="6" t="s">
        <v>29</v>
      </c>
      <c r="AB21" s="6" t="s">
        <v>99</v>
      </c>
      <c r="AC21" s="6"/>
      <c r="AD21" s="6" t="s">
        <v>4</v>
      </c>
      <c r="AE21" s="6" t="s">
        <v>12</v>
      </c>
      <c r="AF21" s="6" t="s">
        <v>4</v>
      </c>
      <c r="AG21" s="6" t="s">
        <v>11</v>
      </c>
      <c r="AH21" s="6" t="s">
        <v>11</v>
      </c>
      <c r="AI21" s="6"/>
      <c r="AJ21" s="6" t="s">
        <v>11</v>
      </c>
      <c r="AK21" s="6" t="s">
        <v>3</v>
      </c>
      <c r="AL21" s="6" t="s">
        <v>4</v>
      </c>
      <c r="AM21" s="6" t="s">
        <v>11</v>
      </c>
      <c r="AN21" s="6"/>
      <c r="AO21" s="6" t="s">
        <v>3</v>
      </c>
      <c r="AP21" s="6" t="s">
        <v>11</v>
      </c>
      <c r="AQ21" s="6" t="s">
        <v>4</v>
      </c>
      <c r="AR21" s="6"/>
      <c r="AS21" s="6" t="s">
        <v>14</v>
      </c>
      <c r="AT21" s="6" t="s">
        <v>14</v>
      </c>
      <c r="AU21" s="6" t="s">
        <v>14</v>
      </c>
      <c r="AV21" s="6" t="s">
        <v>4</v>
      </c>
      <c r="AW21" s="6" t="s">
        <v>4</v>
      </c>
      <c r="AX21" s="6" t="s">
        <v>14</v>
      </c>
      <c r="AY21" s="6" t="s">
        <v>4</v>
      </c>
      <c r="AZ21" s="6" t="s">
        <v>4</v>
      </c>
      <c r="BA21" s="6" t="s">
        <v>14</v>
      </c>
      <c r="BB21" s="6" t="s">
        <v>14</v>
      </c>
      <c r="BC21" s="6" t="s">
        <v>14</v>
      </c>
      <c r="BD21" s="6" t="s">
        <v>14</v>
      </c>
      <c r="BE21" s="6"/>
      <c r="BF21" s="6" t="s">
        <v>3</v>
      </c>
      <c r="BG21" s="6" t="s">
        <v>4</v>
      </c>
      <c r="BH21" s="6" t="s">
        <v>16</v>
      </c>
      <c r="BI21" s="6"/>
      <c r="BJ21" s="6"/>
      <c r="BK21" s="6"/>
      <c r="BL21" s="6"/>
      <c r="BM21" s="6"/>
      <c r="BN21" s="6"/>
      <c r="BO21" s="7">
        <f>DATE(2026,3,9)+TIME(9,16,57)</f>
        <v>46090.386770833335</v>
      </c>
    </row>
    <row r="22" spans="1:67" ht="12.75">
      <c r="A22" s="2" t="s">
        <v>100</v>
      </c>
      <c r="B22" s="3"/>
      <c r="C22" s="3" t="s">
        <v>101</v>
      </c>
      <c r="D22" s="3" t="s">
        <v>2</v>
      </c>
      <c r="E22" s="3"/>
      <c r="F22" s="3" t="s">
        <v>3</v>
      </c>
      <c r="G22" s="3" t="s">
        <v>3</v>
      </c>
      <c r="H22" s="3" t="s">
        <v>4</v>
      </c>
      <c r="I22" s="3" t="s">
        <v>3</v>
      </c>
      <c r="J22" s="3" t="s">
        <v>20</v>
      </c>
      <c r="K22" s="3" t="s">
        <v>20</v>
      </c>
      <c r="L22" s="3" t="s">
        <v>4</v>
      </c>
      <c r="M22" s="3" t="s">
        <v>4</v>
      </c>
      <c r="N22" s="3" t="s">
        <v>20</v>
      </c>
      <c r="O22" s="3" t="s">
        <v>5</v>
      </c>
      <c r="P22" s="3" t="s">
        <v>5</v>
      </c>
      <c r="Q22" s="3" t="s">
        <v>7</v>
      </c>
      <c r="R22" s="3" t="s">
        <v>4</v>
      </c>
      <c r="S22" s="3" t="s">
        <v>4</v>
      </c>
      <c r="T22" s="3" t="s">
        <v>4</v>
      </c>
      <c r="U22" s="3" t="s">
        <v>4</v>
      </c>
      <c r="V22" s="3" t="s">
        <v>7</v>
      </c>
      <c r="W22" s="3" t="s">
        <v>7</v>
      </c>
      <c r="X22" s="3" t="s">
        <v>4</v>
      </c>
      <c r="Y22" s="3" t="s">
        <v>4</v>
      </c>
      <c r="Z22" s="3" t="s">
        <v>4</v>
      </c>
      <c r="AA22" s="3" t="s">
        <v>65</v>
      </c>
      <c r="AB22" s="3" t="s">
        <v>102</v>
      </c>
      <c r="AC22" s="3"/>
      <c r="AD22" s="3" t="s">
        <v>6</v>
      </c>
      <c r="AE22" s="3" t="s">
        <v>3</v>
      </c>
      <c r="AF22" s="3" t="s">
        <v>4</v>
      </c>
      <c r="AG22" s="3" t="s">
        <v>11</v>
      </c>
      <c r="AH22" s="3" t="s">
        <v>3</v>
      </c>
      <c r="AI22" s="3"/>
      <c r="AJ22" s="3" t="s">
        <v>11</v>
      </c>
      <c r="AK22" s="3" t="s">
        <v>3</v>
      </c>
      <c r="AL22" s="3" t="s">
        <v>6</v>
      </c>
      <c r="AM22" s="3" t="s">
        <v>6</v>
      </c>
      <c r="AN22" s="3"/>
      <c r="AO22" s="3" t="s">
        <v>6</v>
      </c>
      <c r="AP22" s="3" t="s">
        <v>11</v>
      </c>
      <c r="AQ22" s="3" t="s">
        <v>3</v>
      </c>
      <c r="AR22" s="3"/>
      <c r="AS22" s="3" t="s">
        <v>4</v>
      </c>
      <c r="AT22" s="3" t="s">
        <v>6</v>
      </c>
      <c r="AU22" s="3" t="s">
        <v>13</v>
      </c>
      <c r="AV22" s="3" t="s">
        <v>6</v>
      </c>
      <c r="AW22" s="3" t="s">
        <v>15</v>
      </c>
      <c r="AX22" s="3" t="s">
        <v>6</v>
      </c>
      <c r="AY22" s="3" t="s">
        <v>15</v>
      </c>
      <c r="AZ22" s="3" t="s">
        <v>13</v>
      </c>
      <c r="BA22" s="3" t="s">
        <v>15</v>
      </c>
      <c r="BB22" s="3" t="s">
        <v>6</v>
      </c>
      <c r="BC22" s="3" t="s">
        <v>13</v>
      </c>
      <c r="BD22" s="3" t="s">
        <v>13</v>
      </c>
      <c r="BE22" s="3"/>
      <c r="BF22" s="3" t="s">
        <v>4</v>
      </c>
      <c r="BG22" s="3" t="s">
        <v>4</v>
      </c>
      <c r="BH22" s="3" t="s">
        <v>16</v>
      </c>
      <c r="BI22" s="3"/>
      <c r="BJ22" s="3"/>
      <c r="BK22" s="3"/>
      <c r="BL22" s="3"/>
      <c r="BM22" s="3"/>
      <c r="BN22" s="3"/>
      <c r="BO22" s="4">
        <f>DATE(2026,4,7)+TIME(12,56,39)</f>
        <v>46119.53934027778</v>
      </c>
    </row>
    <row r="23" spans="1:67" ht="12.75">
      <c r="A23" s="5" t="s">
        <v>103</v>
      </c>
      <c r="B23" s="6"/>
      <c r="C23" s="6" t="s">
        <v>104</v>
      </c>
      <c r="D23" s="6" t="s">
        <v>2</v>
      </c>
      <c r="E23" s="6"/>
      <c r="F23" s="6" t="s">
        <v>3</v>
      </c>
      <c r="G23" s="6" t="s">
        <v>12</v>
      </c>
      <c r="H23" s="6" t="s">
        <v>12</v>
      </c>
      <c r="I23" s="6" t="s">
        <v>12</v>
      </c>
      <c r="J23" s="6" t="s">
        <v>20</v>
      </c>
      <c r="K23" s="6" t="s">
        <v>20</v>
      </c>
      <c r="L23" s="6" t="s">
        <v>20</v>
      </c>
      <c r="M23" s="6" t="s">
        <v>20</v>
      </c>
      <c r="N23" s="6" t="s">
        <v>20</v>
      </c>
      <c r="O23" s="6" t="s">
        <v>4</v>
      </c>
      <c r="P23" s="6" t="s">
        <v>20</v>
      </c>
      <c r="Q23" s="6" t="s">
        <v>7</v>
      </c>
      <c r="R23" s="6" t="s">
        <v>7</v>
      </c>
      <c r="S23" s="6" t="s">
        <v>4</v>
      </c>
      <c r="T23" s="6" t="s">
        <v>4</v>
      </c>
      <c r="U23" s="6" t="s">
        <v>4</v>
      </c>
      <c r="V23" s="6" t="s">
        <v>4</v>
      </c>
      <c r="W23" s="6" t="s">
        <v>4</v>
      </c>
      <c r="X23" s="6" t="s">
        <v>4</v>
      </c>
      <c r="Y23" s="6" t="s">
        <v>7</v>
      </c>
      <c r="Z23" s="6" t="s">
        <v>7</v>
      </c>
      <c r="AA23" s="6" t="s">
        <v>105</v>
      </c>
      <c r="AB23" s="6" t="s">
        <v>106</v>
      </c>
      <c r="AC23" s="6"/>
      <c r="AD23" s="6" t="s">
        <v>3</v>
      </c>
      <c r="AE23" s="6" t="s">
        <v>4</v>
      </c>
      <c r="AF23" s="6" t="s">
        <v>12</v>
      </c>
      <c r="AG23" s="6" t="s">
        <v>3</v>
      </c>
      <c r="AH23" s="6" t="s">
        <v>11</v>
      </c>
      <c r="AI23" s="6"/>
      <c r="AJ23" s="6" t="s">
        <v>4</v>
      </c>
      <c r="AK23" s="6" t="s">
        <v>3</v>
      </c>
      <c r="AL23" s="6" t="s">
        <v>4</v>
      </c>
      <c r="AM23" s="6" t="s">
        <v>3</v>
      </c>
      <c r="AN23" s="6"/>
      <c r="AO23" s="6" t="s">
        <v>3</v>
      </c>
      <c r="AP23" s="6" t="s">
        <v>3</v>
      </c>
      <c r="AQ23" s="6" t="s">
        <v>12</v>
      </c>
      <c r="AR23" s="6"/>
      <c r="AS23" s="6" t="s">
        <v>15</v>
      </c>
      <c r="AT23" s="6" t="s">
        <v>6</v>
      </c>
      <c r="AU23" s="6" t="s">
        <v>15</v>
      </c>
      <c r="AV23" s="6" t="s">
        <v>15</v>
      </c>
      <c r="AW23" s="6" t="s">
        <v>15</v>
      </c>
      <c r="AX23" s="6" t="s">
        <v>13</v>
      </c>
      <c r="AY23" s="6" t="s">
        <v>15</v>
      </c>
      <c r="AZ23" s="6" t="s">
        <v>15</v>
      </c>
      <c r="BA23" s="6" t="s">
        <v>15</v>
      </c>
      <c r="BB23" s="6" t="s">
        <v>6</v>
      </c>
      <c r="BC23" s="6" t="s">
        <v>13</v>
      </c>
      <c r="BD23" s="6" t="s">
        <v>13</v>
      </c>
      <c r="BE23" s="6"/>
      <c r="BF23" s="6" t="s">
        <v>12</v>
      </c>
      <c r="BG23" s="6" t="s">
        <v>3</v>
      </c>
      <c r="BH23" s="6" t="s">
        <v>16</v>
      </c>
      <c r="BI23" s="6"/>
      <c r="BJ23" s="6"/>
      <c r="BK23" s="6"/>
      <c r="BL23" s="6"/>
      <c r="BM23" s="6"/>
      <c r="BN23" s="6"/>
      <c r="BO23" s="7">
        <f>DATE(2026,4,1)+TIME(9,36,13)</f>
        <v>46113.40015046296</v>
      </c>
    </row>
    <row r="24" spans="1:67" ht="12.75">
      <c r="A24" s="2" t="s">
        <v>107</v>
      </c>
      <c r="B24" s="3"/>
      <c r="C24" s="3" t="s">
        <v>79</v>
      </c>
      <c r="D24" s="3" t="s">
        <v>27</v>
      </c>
      <c r="E24" s="3"/>
      <c r="F24" s="3" t="s">
        <v>11</v>
      </c>
      <c r="G24" s="3" t="s">
        <v>4</v>
      </c>
      <c r="H24" s="3" t="s">
        <v>11</v>
      </c>
      <c r="I24" s="3" t="s">
        <v>11</v>
      </c>
      <c r="J24" s="3" t="s">
        <v>5</v>
      </c>
      <c r="K24" s="3" t="s">
        <v>5</v>
      </c>
      <c r="L24" s="3" t="s">
        <v>20</v>
      </c>
      <c r="M24" s="3" t="s">
        <v>5</v>
      </c>
      <c r="N24" s="3" t="s">
        <v>20</v>
      </c>
      <c r="O24" s="3" t="s">
        <v>5</v>
      </c>
      <c r="P24" s="3" t="s">
        <v>20</v>
      </c>
      <c r="Q24" s="3" t="s">
        <v>21</v>
      </c>
      <c r="R24" s="3" t="s">
        <v>7</v>
      </c>
      <c r="S24" s="3" t="s">
        <v>21</v>
      </c>
      <c r="T24" s="3" t="s">
        <v>7</v>
      </c>
      <c r="U24" s="3" t="s">
        <v>7</v>
      </c>
      <c r="V24" s="3" t="s">
        <v>7</v>
      </c>
      <c r="W24" s="3" t="s">
        <v>4</v>
      </c>
      <c r="X24" s="3" t="s">
        <v>21</v>
      </c>
      <c r="Y24" s="3" t="s">
        <v>21</v>
      </c>
      <c r="Z24" s="3" t="s">
        <v>7</v>
      </c>
      <c r="AA24" s="3" t="s">
        <v>89</v>
      </c>
      <c r="AB24" s="3" t="s">
        <v>99</v>
      </c>
      <c r="AC24" s="3"/>
      <c r="AD24" s="3" t="s">
        <v>6</v>
      </c>
      <c r="AE24" s="3" t="s">
        <v>11</v>
      </c>
      <c r="AF24" s="3" t="s">
        <v>3</v>
      </c>
      <c r="AG24" s="3" t="s">
        <v>11</v>
      </c>
      <c r="AH24" s="3" t="s">
        <v>11</v>
      </c>
      <c r="AI24" s="3"/>
      <c r="AJ24" s="3" t="s">
        <v>11</v>
      </c>
      <c r="AK24" s="3" t="s">
        <v>11</v>
      </c>
      <c r="AL24" s="3" t="s">
        <v>6</v>
      </c>
      <c r="AM24" s="3" t="s">
        <v>6</v>
      </c>
      <c r="AN24" s="3"/>
      <c r="AO24" s="3" t="s">
        <v>54</v>
      </c>
      <c r="AP24" s="3" t="s">
        <v>54</v>
      </c>
      <c r="AQ24" s="3" t="s">
        <v>12</v>
      </c>
      <c r="AR24" s="3"/>
      <c r="AS24" s="3" t="s">
        <v>14</v>
      </c>
      <c r="AT24" s="3" t="s">
        <v>58</v>
      </c>
      <c r="AU24" s="3" t="s">
        <v>4</v>
      </c>
      <c r="AV24" s="3" t="s">
        <v>13</v>
      </c>
      <c r="AW24" s="3" t="s">
        <v>13</v>
      </c>
      <c r="AX24" s="3" t="s">
        <v>6</v>
      </c>
      <c r="AY24" s="3" t="s">
        <v>58</v>
      </c>
      <c r="AZ24" s="3" t="s">
        <v>58</v>
      </c>
      <c r="BA24" s="3" t="s">
        <v>58</v>
      </c>
      <c r="BB24" s="3" t="s">
        <v>58</v>
      </c>
      <c r="BC24" s="3" t="s">
        <v>58</v>
      </c>
      <c r="BD24" s="3" t="s">
        <v>58</v>
      </c>
      <c r="BE24" s="3"/>
      <c r="BF24" s="3" t="s">
        <v>11</v>
      </c>
      <c r="BG24" s="3" t="s">
        <v>11</v>
      </c>
      <c r="BH24" s="3" t="s">
        <v>16</v>
      </c>
      <c r="BI24" s="3"/>
      <c r="BJ24" s="3"/>
      <c r="BK24" s="3"/>
      <c r="BL24" s="3"/>
      <c r="BM24" s="3"/>
      <c r="BN24" s="3"/>
      <c r="BO24" s="4">
        <f>DATE(2026,3,9)+TIME(9,16,31)</f>
        <v>46090.386469907404</v>
      </c>
    </row>
    <row r="25" spans="1:67" ht="12.75">
      <c r="A25" s="5" t="s">
        <v>108</v>
      </c>
      <c r="B25" s="6"/>
      <c r="C25" s="6" t="s">
        <v>109</v>
      </c>
      <c r="D25" s="6" t="s">
        <v>2</v>
      </c>
      <c r="E25" s="6"/>
      <c r="F25" s="6" t="s">
        <v>3</v>
      </c>
      <c r="G25" s="6" t="s">
        <v>3</v>
      </c>
      <c r="H25" s="6" t="s">
        <v>3</v>
      </c>
      <c r="I25" s="6" t="s">
        <v>3</v>
      </c>
      <c r="J25" s="6" t="s">
        <v>20</v>
      </c>
      <c r="K25" s="6" t="s">
        <v>20</v>
      </c>
      <c r="L25" s="6" t="s">
        <v>6</v>
      </c>
      <c r="M25" s="6" t="s">
        <v>6</v>
      </c>
      <c r="N25" s="6" t="s">
        <v>6</v>
      </c>
      <c r="O25" s="6" t="s">
        <v>20</v>
      </c>
      <c r="P25" s="6" t="s">
        <v>5</v>
      </c>
      <c r="Q25" s="6" t="s">
        <v>7</v>
      </c>
      <c r="R25" s="6" t="s">
        <v>4</v>
      </c>
      <c r="S25" s="6" t="s">
        <v>4</v>
      </c>
      <c r="T25" s="6" t="s">
        <v>4</v>
      </c>
      <c r="U25" s="6" t="s">
        <v>4</v>
      </c>
      <c r="V25" s="6" t="s">
        <v>4</v>
      </c>
      <c r="W25" s="6" t="s">
        <v>7</v>
      </c>
      <c r="X25" s="6" t="s">
        <v>4</v>
      </c>
      <c r="Y25" s="6" t="s">
        <v>4</v>
      </c>
      <c r="Z25" s="6" t="s">
        <v>4</v>
      </c>
      <c r="AA25" s="6" t="s">
        <v>89</v>
      </c>
      <c r="AB25" s="6" t="s">
        <v>110</v>
      </c>
      <c r="AC25" s="6"/>
      <c r="AD25" s="6" t="s">
        <v>6</v>
      </c>
      <c r="AE25" s="6" t="s">
        <v>4</v>
      </c>
      <c r="AF25" s="6" t="s">
        <v>3</v>
      </c>
      <c r="AG25" s="6" t="s">
        <v>4</v>
      </c>
      <c r="AH25" s="6" t="s">
        <v>11</v>
      </c>
      <c r="AI25" s="6"/>
      <c r="AJ25" s="6" t="s">
        <v>11</v>
      </c>
      <c r="AK25" s="6" t="s">
        <v>11</v>
      </c>
      <c r="AL25" s="6" t="s">
        <v>6</v>
      </c>
      <c r="AM25" s="6" t="s">
        <v>6</v>
      </c>
      <c r="AN25" s="6"/>
      <c r="AO25" s="6" t="s">
        <v>6</v>
      </c>
      <c r="AP25" s="6" t="s">
        <v>54</v>
      </c>
      <c r="AQ25" s="6" t="s">
        <v>12</v>
      </c>
      <c r="AR25" s="6"/>
      <c r="AS25" s="6" t="s">
        <v>13</v>
      </c>
      <c r="AT25" s="6" t="s">
        <v>6</v>
      </c>
      <c r="AU25" s="6" t="s">
        <v>4</v>
      </c>
      <c r="AV25" s="6" t="s">
        <v>4</v>
      </c>
      <c r="AW25" s="6" t="s">
        <v>13</v>
      </c>
      <c r="AX25" s="6" t="s">
        <v>13</v>
      </c>
      <c r="AY25" s="6" t="s">
        <v>13</v>
      </c>
      <c r="AZ25" s="6" t="s">
        <v>4</v>
      </c>
      <c r="BA25" s="6" t="s">
        <v>4</v>
      </c>
      <c r="BB25" s="6" t="s">
        <v>4</v>
      </c>
      <c r="BC25" s="6" t="s">
        <v>4</v>
      </c>
      <c r="BD25" s="6" t="s">
        <v>13</v>
      </c>
      <c r="BE25" s="6"/>
      <c r="BF25" s="6" t="s">
        <v>6</v>
      </c>
      <c r="BG25" s="6" t="s">
        <v>6</v>
      </c>
      <c r="BH25" s="6" t="s">
        <v>16</v>
      </c>
      <c r="BI25" s="6"/>
      <c r="BJ25" s="6"/>
      <c r="BK25" s="6"/>
      <c r="BL25" s="6"/>
      <c r="BM25" s="6"/>
      <c r="BN25" s="6"/>
      <c r="BO25" s="7">
        <f>DATE(2026,4,12)+TIME(23,39,32)</f>
        <v>46124.98578703704</v>
      </c>
    </row>
    <row r="26" spans="1:67" ht="12.75">
      <c r="A26" s="2" t="s">
        <v>111</v>
      </c>
      <c r="B26" s="3"/>
      <c r="C26" s="3" t="s">
        <v>112</v>
      </c>
      <c r="D26" s="3" t="s">
        <v>64</v>
      </c>
      <c r="E26" s="3"/>
      <c r="F26" s="3" t="s">
        <v>3</v>
      </c>
      <c r="G26" s="3" t="s">
        <v>3</v>
      </c>
      <c r="H26" s="3" t="s">
        <v>3</v>
      </c>
      <c r="I26" s="3" t="s">
        <v>3</v>
      </c>
      <c r="J26" s="3" t="s">
        <v>20</v>
      </c>
      <c r="K26" s="3" t="s">
        <v>20</v>
      </c>
      <c r="L26" s="3" t="s">
        <v>20</v>
      </c>
      <c r="M26" s="3" t="s">
        <v>20</v>
      </c>
      <c r="N26" s="3" t="s">
        <v>20</v>
      </c>
      <c r="O26" s="3" t="s">
        <v>20</v>
      </c>
      <c r="P26" s="3" t="s">
        <v>20</v>
      </c>
      <c r="Q26" s="3" t="s">
        <v>4</v>
      </c>
      <c r="R26" s="3" t="s">
        <v>4</v>
      </c>
      <c r="S26" s="3" t="s">
        <v>7</v>
      </c>
      <c r="T26" s="3" t="s">
        <v>4</v>
      </c>
      <c r="U26" s="3" t="s">
        <v>4</v>
      </c>
      <c r="V26" s="3" t="s">
        <v>4</v>
      </c>
      <c r="W26" s="3" t="s">
        <v>7</v>
      </c>
      <c r="X26" s="3" t="s">
        <v>7</v>
      </c>
      <c r="Y26" s="3" t="s">
        <v>28</v>
      </c>
      <c r="Z26" s="3" t="s">
        <v>28</v>
      </c>
      <c r="AA26" s="3" t="s">
        <v>73</v>
      </c>
      <c r="AB26" s="3" t="s">
        <v>113</v>
      </c>
      <c r="AC26" s="3"/>
      <c r="AD26" s="3" t="s">
        <v>6</v>
      </c>
      <c r="AE26" s="3" t="s">
        <v>3</v>
      </c>
      <c r="AF26" s="3" t="s">
        <v>3</v>
      </c>
      <c r="AG26" s="3" t="s">
        <v>4</v>
      </c>
      <c r="AH26" s="3" t="s">
        <v>3</v>
      </c>
      <c r="AI26" s="3"/>
      <c r="AJ26" s="3" t="s">
        <v>6</v>
      </c>
      <c r="AK26" s="3" t="s">
        <v>3</v>
      </c>
      <c r="AL26" s="3" t="s">
        <v>4</v>
      </c>
      <c r="AM26" s="3" t="s">
        <v>6</v>
      </c>
      <c r="AN26" s="3"/>
      <c r="AO26" s="3" t="s">
        <v>12</v>
      </c>
      <c r="AP26" s="3" t="s">
        <v>4</v>
      </c>
      <c r="AQ26" s="3" t="s">
        <v>4</v>
      </c>
      <c r="AR26" s="3"/>
      <c r="AS26" s="3" t="s">
        <v>14</v>
      </c>
      <c r="AT26" s="3" t="s">
        <v>6</v>
      </c>
      <c r="AU26" s="3" t="s">
        <v>6</v>
      </c>
      <c r="AV26" s="3" t="s">
        <v>13</v>
      </c>
      <c r="AW26" s="3" t="s">
        <v>4</v>
      </c>
      <c r="AX26" s="3" t="s">
        <v>6</v>
      </c>
      <c r="AY26" s="3" t="s">
        <v>4</v>
      </c>
      <c r="AZ26" s="3" t="s">
        <v>6</v>
      </c>
      <c r="BA26" s="3" t="s">
        <v>13</v>
      </c>
      <c r="BB26" s="3" t="s">
        <v>6</v>
      </c>
      <c r="BC26" s="3" t="s">
        <v>6</v>
      </c>
      <c r="BD26" s="3" t="s">
        <v>6</v>
      </c>
      <c r="BE26" s="3"/>
      <c r="BF26" s="3" t="s">
        <v>3</v>
      </c>
      <c r="BG26" s="3" t="s">
        <v>3</v>
      </c>
      <c r="BH26" s="3" t="s">
        <v>16</v>
      </c>
      <c r="BI26" s="3"/>
      <c r="BJ26" s="3"/>
      <c r="BK26" s="3"/>
      <c r="BL26" s="3"/>
      <c r="BM26" s="3"/>
      <c r="BN26" s="3"/>
      <c r="BO26" s="4">
        <f>DATE(2026,3,23)+TIME(9,34,14)</f>
        <v>46104.39877314815</v>
      </c>
    </row>
    <row r="27" spans="1:67" ht="12.75">
      <c r="A27" s="5" t="s">
        <v>114</v>
      </c>
      <c r="B27" s="6"/>
      <c r="C27" s="6" t="s">
        <v>115</v>
      </c>
      <c r="D27" s="6" t="s">
        <v>19</v>
      </c>
      <c r="E27" s="6"/>
      <c r="F27" s="6" t="s">
        <v>3</v>
      </c>
      <c r="G27" s="6" t="s">
        <v>3</v>
      </c>
      <c r="H27" s="6" t="s">
        <v>3</v>
      </c>
      <c r="I27" s="6" t="s">
        <v>3</v>
      </c>
      <c r="J27" s="6" t="s">
        <v>5</v>
      </c>
      <c r="K27" s="6" t="s">
        <v>5</v>
      </c>
      <c r="L27" s="6" t="s">
        <v>5</v>
      </c>
      <c r="M27" s="6" t="s">
        <v>5</v>
      </c>
      <c r="N27" s="6" t="s">
        <v>6</v>
      </c>
      <c r="O27" s="6" t="s">
        <v>5</v>
      </c>
      <c r="P27" s="6" t="s">
        <v>5</v>
      </c>
      <c r="Q27" s="6" t="s">
        <v>4</v>
      </c>
      <c r="R27" s="6" t="s">
        <v>4</v>
      </c>
      <c r="S27" s="6" t="s">
        <v>4</v>
      </c>
      <c r="T27" s="6" t="s">
        <v>4</v>
      </c>
      <c r="U27" s="6" t="s">
        <v>4</v>
      </c>
      <c r="V27" s="6" t="s">
        <v>4</v>
      </c>
      <c r="W27" s="6" t="s">
        <v>4</v>
      </c>
      <c r="X27" s="6" t="s">
        <v>4</v>
      </c>
      <c r="Y27" s="6" t="s">
        <v>4</v>
      </c>
      <c r="Z27" s="6" t="s">
        <v>4</v>
      </c>
      <c r="AA27" s="6" t="s">
        <v>56</v>
      </c>
      <c r="AB27" s="6" t="s">
        <v>116</v>
      </c>
      <c r="AC27" s="6"/>
      <c r="AD27" s="6" t="s">
        <v>6</v>
      </c>
      <c r="AE27" s="6" t="s">
        <v>4</v>
      </c>
      <c r="AF27" s="6" t="s">
        <v>3</v>
      </c>
      <c r="AG27" s="6" t="s">
        <v>6</v>
      </c>
      <c r="AH27" s="6" t="s">
        <v>4</v>
      </c>
      <c r="AI27" s="6"/>
      <c r="AJ27" s="6" t="s">
        <v>4</v>
      </c>
      <c r="AK27" s="6" t="s">
        <v>3</v>
      </c>
      <c r="AL27" s="6" t="s">
        <v>3</v>
      </c>
      <c r="AM27" s="6" t="s">
        <v>4</v>
      </c>
      <c r="AN27" s="6"/>
      <c r="AO27" s="6" t="s">
        <v>6</v>
      </c>
      <c r="AP27" s="6" t="s">
        <v>11</v>
      </c>
      <c r="AQ27" s="6" t="s">
        <v>3</v>
      </c>
      <c r="AR27" s="6"/>
      <c r="AS27" s="6" t="s">
        <v>13</v>
      </c>
      <c r="AT27" s="6" t="s">
        <v>13</v>
      </c>
      <c r="AU27" s="6" t="s">
        <v>13</v>
      </c>
      <c r="AV27" s="6" t="s">
        <v>15</v>
      </c>
      <c r="AW27" s="6" t="s">
        <v>13</v>
      </c>
      <c r="AX27" s="6" t="s">
        <v>13</v>
      </c>
      <c r="AY27" s="6" t="s">
        <v>13</v>
      </c>
      <c r="AZ27" s="6" t="s">
        <v>4</v>
      </c>
      <c r="BA27" s="6" t="s">
        <v>13</v>
      </c>
      <c r="BB27" s="6" t="s">
        <v>13</v>
      </c>
      <c r="BC27" s="6" t="s">
        <v>13</v>
      </c>
      <c r="BD27" s="6" t="s">
        <v>13</v>
      </c>
      <c r="BE27" s="6"/>
      <c r="BF27" s="6" t="s">
        <v>6</v>
      </c>
      <c r="BG27" s="6" t="s">
        <v>6</v>
      </c>
      <c r="BH27" s="6" t="s">
        <v>16</v>
      </c>
      <c r="BI27" s="6"/>
      <c r="BJ27" s="6"/>
      <c r="BK27" s="6"/>
      <c r="BL27" s="6"/>
      <c r="BM27" s="6"/>
      <c r="BN27" s="6"/>
      <c r="BO27" s="7">
        <f>DATE(2026,4,1)+TIME(14,37,33)</f>
        <v>46113.60940972222</v>
      </c>
    </row>
    <row r="28" spans="1:67" ht="12.75">
      <c r="A28" s="2" t="s">
        <v>117</v>
      </c>
      <c r="B28" s="3"/>
      <c r="C28" s="3" t="s">
        <v>118</v>
      </c>
      <c r="D28" s="3" t="s">
        <v>2</v>
      </c>
      <c r="E28" s="3"/>
      <c r="F28" s="3" t="s">
        <v>3</v>
      </c>
      <c r="G28" s="3" t="s">
        <v>3</v>
      </c>
      <c r="H28" s="3" t="s">
        <v>3</v>
      </c>
      <c r="I28" s="3" t="s">
        <v>3</v>
      </c>
      <c r="J28" s="3" t="s">
        <v>20</v>
      </c>
      <c r="K28" s="3" t="s">
        <v>20</v>
      </c>
      <c r="L28" s="3" t="s">
        <v>4</v>
      </c>
      <c r="M28" s="3" t="s">
        <v>4</v>
      </c>
      <c r="N28" s="3" t="s">
        <v>6</v>
      </c>
      <c r="O28" s="3" t="s">
        <v>5</v>
      </c>
      <c r="P28" s="3" t="s">
        <v>5</v>
      </c>
      <c r="Q28" s="3" t="s">
        <v>7</v>
      </c>
      <c r="R28" s="3" t="s">
        <v>6</v>
      </c>
      <c r="S28" s="3" t="s">
        <v>4</v>
      </c>
      <c r="T28" s="3" t="s">
        <v>4</v>
      </c>
      <c r="U28" s="3" t="s">
        <v>4</v>
      </c>
      <c r="V28" s="3" t="s">
        <v>4</v>
      </c>
      <c r="W28" s="3" t="s">
        <v>4</v>
      </c>
      <c r="X28" s="3" t="s">
        <v>7</v>
      </c>
      <c r="Y28" s="3" t="s">
        <v>7</v>
      </c>
      <c r="Z28" s="3" t="s">
        <v>7</v>
      </c>
      <c r="AA28" s="3" t="s">
        <v>119</v>
      </c>
      <c r="AB28" s="3" t="s">
        <v>120</v>
      </c>
      <c r="AC28" s="3"/>
      <c r="AD28" s="3" t="s">
        <v>6</v>
      </c>
      <c r="AE28" s="3" t="s">
        <v>3</v>
      </c>
      <c r="AF28" s="3" t="s">
        <v>3</v>
      </c>
      <c r="AG28" s="3" t="s">
        <v>4</v>
      </c>
      <c r="AH28" s="3" t="s">
        <v>11</v>
      </c>
      <c r="AI28" s="3"/>
      <c r="AJ28" s="3" t="s">
        <v>11</v>
      </c>
      <c r="AK28" s="3" t="s">
        <v>11</v>
      </c>
      <c r="AL28" s="3" t="s">
        <v>4</v>
      </c>
      <c r="AM28" s="3" t="s">
        <v>6</v>
      </c>
      <c r="AN28" s="3"/>
      <c r="AO28" s="3" t="s">
        <v>4</v>
      </c>
      <c r="AP28" s="3" t="s">
        <v>3</v>
      </c>
      <c r="AQ28" s="3" t="s">
        <v>11</v>
      </c>
      <c r="AR28" s="3"/>
      <c r="AS28" s="3" t="s">
        <v>4</v>
      </c>
      <c r="AT28" s="3" t="s">
        <v>4</v>
      </c>
      <c r="AU28" s="3" t="s">
        <v>4</v>
      </c>
      <c r="AV28" s="3" t="s">
        <v>4</v>
      </c>
      <c r="AW28" s="3" t="s">
        <v>13</v>
      </c>
      <c r="AX28" s="3" t="s">
        <v>4</v>
      </c>
      <c r="AY28" s="3" t="s">
        <v>4</v>
      </c>
      <c r="AZ28" s="3" t="s">
        <v>4</v>
      </c>
      <c r="BA28" s="3" t="s">
        <v>13</v>
      </c>
      <c r="BB28" s="3" t="s">
        <v>4</v>
      </c>
      <c r="BC28" s="3" t="s">
        <v>4</v>
      </c>
      <c r="BD28" s="3" t="s">
        <v>13</v>
      </c>
      <c r="BE28" s="3"/>
      <c r="BF28" s="3" t="s">
        <v>6</v>
      </c>
      <c r="BG28" s="3" t="s">
        <v>6</v>
      </c>
      <c r="BH28" s="3" t="s">
        <v>16</v>
      </c>
      <c r="BI28" s="3"/>
      <c r="BJ28" s="3"/>
      <c r="BK28" s="3"/>
      <c r="BL28" s="3"/>
      <c r="BM28" s="3"/>
      <c r="BN28" s="3"/>
      <c r="BO28" s="4">
        <f>DATE(2026,3,9)+TIME(13,11,8)</f>
        <v>46090.54939814815</v>
      </c>
    </row>
    <row r="29" spans="1:67" ht="12.75">
      <c r="A29" s="5" t="s">
        <v>121</v>
      </c>
      <c r="B29" s="6"/>
      <c r="C29" s="6" t="s">
        <v>122</v>
      </c>
      <c r="D29" s="6" t="s">
        <v>19</v>
      </c>
      <c r="E29" s="6"/>
      <c r="F29" s="6" t="s">
        <v>4</v>
      </c>
      <c r="G29" s="6" t="s">
        <v>4</v>
      </c>
      <c r="H29" s="6" t="s">
        <v>3</v>
      </c>
      <c r="I29" s="6" t="s">
        <v>3</v>
      </c>
      <c r="J29" s="6" t="s">
        <v>5</v>
      </c>
      <c r="K29" s="6" t="s">
        <v>5</v>
      </c>
      <c r="L29" s="6" t="s">
        <v>5</v>
      </c>
      <c r="M29" s="6" t="s">
        <v>5</v>
      </c>
      <c r="N29" s="6" t="s">
        <v>6</v>
      </c>
      <c r="O29" s="6" t="s">
        <v>5</v>
      </c>
      <c r="P29" s="6" t="s">
        <v>20</v>
      </c>
      <c r="Q29" s="6" t="s">
        <v>8</v>
      </c>
      <c r="R29" s="6" t="s">
        <v>4</v>
      </c>
      <c r="S29" s="6" t="s">
        <v>8</v>
      </c>
      <c r="T29" s="6" t="s">
        <v>4</v>
      </c>
      <c r="U29" s="6" t="s">
        <v>4</v>
      </c>
      <c r="V29" s="6" t="s">
        <v>8</v>
      </c>
      <c r="W29" s="6" t="s">
        <v>7</v>
      </c>
      <c r="X29" s="6" t="s">
        <v>4</v>
      </c>
      <c r="Y29" s="6" t="s">
        <v>4</v>
      </c>
      <c r="Z29" s="6" t="s">
        <v>8</v>
      </c>
      <c r="AA29" s="6" t="s">
        <v>123</v>
      </c>
      <c r="AB29" s="6" t="s">
        <v>124</v>
      </c>
      <c r="AC29" s="6"/>
      <c r="AD29" s="6" t="s">
        <v>6</v>
      </c>
      <c r="AE29" s="6" t="s">
        <v>3</v>
      </c>
      <c r="AF29" s="6" t="s">
        <v>6</v>
      </c>
      <c r="AG29" s="6" t="s">
        <v>6</v>
      </c>
      <c r="AH29" s="6" t="s">
        <v>3</v>
      </c>
      <c r="AI29" s="6"/>
      <c r="AJ29" s="6" t="s">
        <v>6</v>
      </c>
      <c r="AK29" s="6" t="s">
        <v>4</v>
      </c>
      <c r="AL29" s="6" t="s">
        <v>3</v>
      </c>
      <c r="AM29" s="6" t="s">
        <v>6</v>
      </c>
      <c r="AN29" s="6"/>
      <c r="AO29" s="6" t="s">
        <v>6</v>
      </c>
      <c r="AP29" s="6" t="s">
        <v>6</v>
      </c>
      <c r="AQ29" s="6" t="s">
        <v>6</v>
      </c>
      <c r="AR29" s="6"/>
      <c r="AS29" s="6" t="s">
        <v>13</v>
      </c>
      <c r="AT29" s="6" t="s">
        <v>6</v>
      </c>
      <c r="AU29" s="6" t="s">
        <v>6</v>
      </c>
      <c r="AV29" s="6" t="s">
        <v>6</v>
      </c>
      <c r="AW29" s="6" t="s">
        <v>13</v>
      </c>
      <c r="AX29" s="6" t="s">
        <v>13</v>
      </c>
      <c r="AY29" s="6" t="s">
        <v>13</v>
      </c>
      <c r="AZ29" s="6" t="s">
        <v>13</v>
      </c>
      <c r="BA29" s="6" t="s">
        <v>13</v>
      </c>
      <c r="BB29" s="6" t="s">
        <v>13</v>
      </c>
      <c r="BC29" s="6" t="s">
        <v>13</v>
      </c>
      <c r="BD29" s="6" t="s">
        <v>13</v>
      </c>
      <c r="BE29" s="6"/>
      <c r="BF29" s="6" t="s">
        <v>6</v>
      </c>
      <c r="BG29" s="6" t="s">
        <v>6</v>
      </c>
      <c r="BH29" s="6" t="s">
        <v>16</v>
      </c>
      <c r="BI29" s="6"/>
      <c r="BJ29" s="6"/>
      <c r="BK29" s="6"/>
      <c r="BL29" s="6"/>
      <c r="BM29" s="6"/>
      <c r="BN29" s="6"/>
      <c r="BO29" s="7">
        <f>DATE(2026,3,9)+TIME(9,43,56)</f>
        <v>46090.40550925926</v>
      </c>
    </row>
    <row r="30" spans="1:67" ht="12.75">
      <c r="A30" s="2" t="s">
        <v>125</v>
      </c>
      <c r="B30" s="3"/>
      <c r="C30" s="3" t="s">
        <v>41</v>
      </c>
      <c r="D30" s="3" t="s">
        <v>27</v>
      </c>
      <c r="E30" s="3"/>
      <c r="F30" s="3" t="s">
        <v>12</v>
      </c>
      <c r="G30" s="3" t="s">
        <v>12</v>
      </c>
      <c r="H30" s="3" t="s">
        <v>6</v>
      </c>
      <c r="I30" s="3" t="s">
        <v>12</v>
      </c>
      <c r="J30" s="3" t="s">
        <v>55</v>
      </c>
      <c r="K30" s="3" t="s">
        <v>55</v>
      </c>
      <c r="L30" s="3" t="s">
        <v>37</v>
      </c>
      <c r="M30" s="3" t="s">
        <v>55</v>
      </c>
      <c r="N30" s="3" t="s">
        <v>55</v>
      </c>
      <c r="O30" s="3" t="s">
        <v>37</v>
      </c>
      <c r="P30" s="3" t="s">
        <v>55</v>
      </c>
      <c r="Q30" s="3" t="s">
        <v>7</v>
      </c>
      <c r="R30" s="3" t="s">
        <v>7</v>
      </c>
      <c r="S30" s="3" t="s">
        <v>7</v>
      </c>
      <c r="T30" s="3" t="s">
        <v>7</v>
      </c>
      <c r="U30" s="3" t="s">
        <v>21</v>
      </c>
      <c r="V30" s="3" t="s">
        <v>21</v>
      </c>
      <c r="W30" s="3" t="s">
        <v>21</v>
      </c>
      <c r="X30" s="3" t="s">
        <v>7</v>
      </c>
      <c r="Y30" s="3" t="s">
        <v>4</v>
      </c>
      <c r="Z30" s="3" t="s">
        <v>7</v>
      </c>
      <c r="AA30" s="3" t="s">
        <v>126</v>
      </c>
      <c r="AB30" s="3" t="s">
        <v>127</v>
      </c>
      <c r="AC30" s="3"/>
      <c r="AD30" s="3" t="s">
        <v>4</v>
      </c>
      <c r="AE30" s="3" t="s">
        <v>4</v>
      </c>
      <c r="AF30" s="3" t="s">
        <v>3</v>
      </c>
      <c r="AG30" s="3" t="s">
        <v>11</v>
      </c>
      <c r="AH30" s="3" t="s">
        <v>11</v>
      </c>
      <c r="AI30" s="3"/>
      <c r="AJ30" s="3" t="s">
        <v>11</v>
      </c>
      <c r="AK30" s="3" t="s">
        <v>3</v>
      </c>
      <c r="AL30" s="3" t="s">
        <v>12</v>
      </c>
      <c r="AM30" s="3" t="s">
        <v>54</v>
      </c>
      <c r="AN30" s="3"/>
      <c r="AO30" s="3" t="s">
        <v>11</v>
      </c>
      <c r="AP30" s="3" t="s">
        <v>11</v>
      </c>
      <c r="AQ30" s="3" t="s">
        <v>11</v>
      </c>
      <c r="AR30" s="3"/>
      <c r="AS30" s="3" t="s">
        <v>14</v>
      </c>
      <c r="AT30" s="3" t="s">
        <v>14</v>
      </c>
      <c r="AU30" s="3" t="s">
        <v>13</v>
      </c>
      <c r="AV30" s="3" t="s">
        <v>58</v>
      </c>
      <c r="AW30" s="3" t="s">
        <v>4</v>
      </c>
      <c r="AX30" s="3" t="s">
        <v>58</v>
      </c>
      <c r="AY30" s="3" t="s">
        <v>4</v>
      </c>
      <c r="AZ30" s="3" t="s">
        <v>4</v>
      </c>
      <c r="BA30" s="3" t="s">
        <v>14</v>
      </c>
      <c r="BB30" s="3" t="s">
        <v>14</v>
      </c>
      <c r="BC30" s="3" t="s">
        <v>14</v>
      </c>
      <c r="BD30" s="3" t="s">
        <v>14</v>
      </c>
      <c r="BE30" s="3"/>
      <c r="BF30" s="3" t="s">
        <v>6</v>
      </c>
      <c r="BG30" s="3" t="s">
        <v>6</v>
      </c>
      <c r="BH30" s="3" t="s">
        <v>16</v>
      </c>
      <c r="BI30" s="3"/>
      <c r="BJ30" s="3"/>
      <c r="BK30" s="3"/>
      <c r="BL30" s="3"/>
      <c r="BM30" s="3"/>
      <c r="BN30" s="3"/>
      <c r="BO30" s="4">
        <f>DATE(2026,3,9)+TIME(9,25,19)</f>
        <v>46090.39258101852</v>
      </c>
    </row>
    <row r="31" spans="1:67" ht="12.75">
      <c r="A31" s="5" t="s">
        <v>128</v>
      </c>
      <c r="B31" s="6"/>
      <c r="C31" s="6" t="s">
        <v>129</v>
      </c>
      <c r="D31" s="6" t="s">
        <v>19</v>
      </c>
      <c r="E31" s="6"/>
      <c r="F31" s="6" t="s">
        <v>3</v>
      </c>
      <c r="G31" s="6" t="s">
        <v>12</v>
      </c>
      <c r="H31" s="6" t="s">
        <v>12</v>
      </c>
      <c r="I31" s="6" t="s">
        <v>4</v>
      </c>
      <c r="J31" s="6" t="s">
        <v>20</v>
      </c>
      <c r="K31" s="6" t="s">
        <v>20</v>
      </c>
      <c r="L31" s="6" t="s">
        <v>6</v>
      </c>
      <c r="M31" s="6" t="s">
        <v>6</v>
      </c>
      <c r="N31" s="6" t="s">
        <v>6</v>
      </c>
      <c r="O31" s="6" t="s">
        <v>20</v>
      </c>
      <c r="P31" s="6" t="s">
        <v>20</v>
      </c>
      <c r="Q31" s="6" t="s">
        <v>8</v>
      </c>
      <c r="R31" s="6" t="s">
        <v>8</v>
      </c>
      <c r="S31" s="6" t="s">
        <v>8</v>
      </c>
      <c r="T31" s="6" t="s">
        <v>8</v>
      </c>
      <c r="U31" s="6" t="s">
        <v>8</v>
      </c>
      <c r="V31" s="6" t="s">
        <v>8</v>
      </c>
      <c r="W31" s="6" t="s">
        <v>8</v>
      </c>
      <c r="X31" s="6" t="s">
        <v>28</v>
      </c>
      <c r="Y31" s="6" t="s">
        <v>8</v>
      </c>
      <c r="Z31" s="6" t="s">
        <v>8</v>
      </c>
      <c r="AA31" s="6" t="s">
        <v>130</v>
      </c>
      <c r="AB31" s="6" t="s">
        <v>131</v>
      </c>
      <c r="AC31" s="6"/>
      <c r="AD31" s="6" t="s">
        <v>6</v>
      </c>
      <c r="AE31" s="6" t="s">
        <v>3</v>
      </c>
      <c r="AF31" s="6" t="s">
        <v>4</v>
      </c>
      <c r="AG31" s="6" t="s">
        <v>11</v>
      </c>
      <c r="AH31" s="6" t="s">
        <v>3</v>
      </c>
      <c r="AI31" s="6"/>
      <c r="AJ31" s="6" t="s">
        <v>3</v>
      </c>
      <c r="AK31" s="6" t="s">
        <v>11</v>
      </c>
      <c r="AL31" s="6" t="s">
        <v>6</v>
      </c>
      <c r="AM31" s="6" t="s">
        <v>3</v>
      </c>
      <c r="AN31" s="6"/>
      <c r="AO31" s="6" t="s">
        <v>12</v>
      </c>
      <c r="AP31" s="6" t="s">
        <v>6</v>
      </c>
      <c r="AQ31" s="6" t="s">
        <v>6</v>
      </c>
      <c r="AR31" s="6"/>
      <c r="AS31" s="6" t="s">
        <v>13</v>
      </c>
      <c r="AT31" s="6" t="s">
        <v>15</v>
      </c>
      <c r="AU31" s="6" t="s">
        <v>13</v>
      </c>
      <c r="AV31" s="6" t="s">
        <v>15</v>
      </c>
      <c r="AW31" s="6" t="s">
        <v>15</v>
      </c>
      <c r="AX31" s="6" t="s">
        <v>6</v>
      </c>
      <c r="AY31" s="6" t="s">
        <v>15</v>
      </c>
      <c r="AZ31" s="6" t="s">
        <v>15</v>
      </c>
      <c r="BA31" s="6" t="s">
        <v>4</v>
      </c>
      <c r="BB31" s="6" t="s">
        <v>15</v>
      </c>
      <c r="BC31" s="6" t="s">
        <v>15</v>
      </c>
      <c r="BD31" s="6" t="s">
        <v>15</v>
      </c>
      <c r="BE31" s="6"/>
      <c r="BF31" s="6" t="s">
        <v>12</v>
      </c>
      <c r="BG31" s="6" t="s">
        <v>12</v>
      </c>
      <c r="BH31" s="6" t="s">
        <v>16</v>
      </c>
      <c r="BI31" s="6"/>
      <c r="BJ31" s="6"/>
      <c r="BK31" s="6"/>
      <c r="BL31" s="6"/>
      <c r="BM31" s="6"/>
      <c r="BN31" s="6"/>
      <c r="BO31" s="7">
        <f>DATE(2026,4,2)+TIME(10,30,26)</f>
        <v>46114.43780092592</v>
      </c>
    </row>
    <row r="32" spans="1:67" ht="12.75">
      <c r="A32" s="2" t="s">
        <v>132</v>
      </c>
      <c r="B32" s="3"/>
      <c r="C32" s="3" t="s">
        <v>18</v>
      </c>
      <c r="D32" s="3" t="s">
        <v>2</v>
      </c>
      <c r="E32" s="3"/>
      <c r="F32" s="3" t="s">
        <v>3</v>
      </c>
      <c r="G32" s="3" t="s">
        <v>3</v>
      </c>
      <c r="H32" s="3" t="s">
        <v>4</v>
      </c>
      <c r="I32" s="3" t="s">
        <v>3</v>
      </c>
      <c r="J32" s="3" t="s">
        <v>5</v>
      </c>
      <c r="K32" s="3" t="s">
        <v>5</v>
      </c>
      <c r="L32" s="3" t="s">
        <v>5</v>
      </c>
      <c r="M32" s="3" t="s">
        <v>5</v>
      </c>
      <c r="N32" s="3" t="s">
        <v>5</v>
      </c>
      <c r="O32" s="3" t="s">
        <v>4</v>
      </c>
      <c r="P32" s="3" t="s">
        <v>4</v>
      </c>
      <c r="Q32" s="3" t="s">
        <v>7</v>
      </c>
      <c r="R32" s="3" t="s">
        <v>7</v>
      </c>
      <c r="S32" s="3" t="s">
        <v>4</v>
      </c>
      <c r="T32" s="3" t="s">
        <v>4</v>
      </c>
      <c r="U32" s="3" t="s">
        <v>7</v>
      </c>
      <c r="V32" s="3" t="s">
        <v>7</v>
      </c>
      <c r="W32" s="3" t="s">
        <v>21</v>
      </c>
      <c r="X32" s="3" t="s">
        <v>7</v>
      </c>
      <c r="Y32" s="3" t="s">
        <v>7</v>
      </c>
      <c r="Z32" s="3" t="s">
        <v>4</v>
      </c>
      <c r="AA32" s="3" t="s">
        <v>133</v>
      </c>
      <c r="AB32" s="3" t="s">
        <v>61</v>
      </c>
      <c r="AC32" s="3"/>
      <c r="AD32" s="3" t="s">
        <v>3</v>
      </c>
      <c r="AE32" s="3" t="s">
        <v>4</v>
      </c>
      <c r="AF32" s="3" t="s">
        <v>4</v>
      </c>
      <c r="AG32" s="3" t="s">
        <v>11</v>
      </c>
      <c r="AH32" s="3" t="s">
        <v>11</v>
      </c>
      <c r="AI32" s="3"/>
      <c r="AJ32" s="3" t="s">
        <v>4</v>
      </c>
      <c r="AK32" s="3" t="s">
        <v>11</v>
      </c>
      <c r="AL32" s="3" t="s">
        <v>3</v>
      </c>
      <c r="AM32" s="3" t="s">
        <v>4</v>
      </c>
      <c r="AN32" s="3"/>
      <c r="AO32" s="3" t="s">
        <v>4</v>
      </c>
      <c r="AP32" s="3" t="s">
        <v>4</v>
      </c>
      <c r="AQ32" s="3" t="s">
        <v>11</v>
      </c>
      <c r="AR32" s="3"/>
      <c r="AS32" s="3" t="s">
        <v>13</v>
      </c>
      <c r="AT32" s="3" t="s">
        <v>14</v>
      </c>
      <c r="AU32" s="3" t="s">
        <v>13</v>
      </c>
      <c r="AV32" s="3" t="s">
        <v>4</v>
      </c>
      <c r="AW32" s="3" t="s">
        <v>15</v>
      </c>
      <c r="AX32" s="3" t="s">
        <v>14</v>
      </c>
      <c r="AY32" s="3" t="s">
        <v>4</v>
      </c>
      <c r="AZ32" s="3" t="s">
        <v>4</v>
      </c>
      <c r="BA32" s="3" t="s">
        <v>15</v>
      </c>
      <c r="BB32" s="3" t="s">
        <v>4</v>
      </c>
      <c r="BC32" s="3" t="s">
        <v>4</v>
      </c>
      <c r="BD32" s="3" t="s">
        <v>4</v>
      </c>
      <c r="BE32" s="3"/>
      <c r="BF32" s="3" t="s">
        <v>4</v>
      </c>
      <c r="BG32" s="3" t="s">
        <v>4</v>
      </c>
      <c r="BH32" s="3" t="s">
        <v>24</v>
      </c>
      <c r="BI32" s="3" t="s">
        <v>134</v>
      </c>
      <c r="BJ32" s="3" t="s">
        <v>15</v>
      </c>
      <c r="BK32" s="3" t="s">
        <v>4</v>
      </c>
      <c r="BL32" s="3" t="s">
        <v>4</v>
      </c>
      <c r="BM32" s="3" t="s">
        <v>11</v>
      </c>
      <c r="BN32" s="3" t="s">
        <v>11</v>
      </c>
      <c r="BO32" s="4">
        <f>DATE(2026,4,2)+TIME(12,19,35)</f>
        <v>46114.51359953704</v>
      </c>
    </row>
    <row r="33" spans="1:67" ht="12.75">
      <c r="A33" s="5" t="s">
        <v>135</v>
      </c>
      <c r="B33" s="6"/>
      <c r="C33" s="6" t="s">
        <v>136</v>
      </c>
      <c r="D33" s="6" t="s">
        <v>2</v>
      </c>
      <c r="E33" s="6"/>
      <c r="F33" s="6" t="s">
        <v>3</v>
      </c>
      <c r="G33" s="6" t="s">
        <v>3</v>
      </c>
      <c r="H33" s="6" t="s">
        <v>54</v>
      </c>
      <c r="I33" s="6" t="s">
        <v>12</v>
      </c>
      <c r="J33" s="6" t="s">
        <v>5</v>
      </c>
      <c r="K33" s="6" t="s">
        <v>20</v>
      </c>
      <c r="L33" s="6" t="s">
        <v>5</v>
      </c>
      <c r="M33" s="6" t="s">
        <v>5</v>
      </c>
      <c r="N33" s="6" t="s">
        <v>20</v>
      </c>
      <c r="O33" s="6" t="s">
        <v>5</v>
      </c>
      <c r="P33" s="6" t="s">
        <v>5</v>
      </c>
      <c r="Q33" s="6" t="s">
        <v>21</v>
      </c>
      <c r="R33" s="6" t="s">
        <v>7</v>
      </c>
      <c r="S33" s="6" t="s">
        <v>7</v>
      </c>
      <c r="T33" s="6" t="s">
        <v>4</v>
      </c>
      <c r="U33" s="6" t="s">
        <v>4</v>
      </c>
      <c r="V33" s="6" t="s">
        <v>7</v>
      </c>
      <c r="W33" s="6" t="s">
        <v>21</v>
      </c>
      <c r="X33" s="6" t="s">
        <v>7</v>
      </c>
      <c r="Y33" s="6" t="s">
        <v>7</v>
      </c>
      <c r="Z33" s="6" t="s">
        <v>4</v>
      </c>
      <c r="AA33" s="6" t="s">
        <v>137</v>
      </c>
      <c r="AB33" s="6" t="s">
        <v>138</v>
      </c>
      <c r="AC33" s="6"/>
      <c r="AD33" s="6" t="s">
        <v>3</v>
      </c>
      <c r="AE33" s="6" t="s">
        <v>3</v>
      </c>
      <c r="AF33" s="6" t="s">
        <v>11</v>
      </c>
      <c r="AG33" s="6" t="s">
        <v>11</v>
      </c>
      <c r="AH33" s="6" t="s">
        <v>4</v>
      </c>
      <c r="AI33" s="6"/>
      <c r="AJ33" s="6" t="s">
        <v>3</v>
      </c>
      <c r="AK33" s="6" t="s">
        <v>11</v>
      </c>
      <c r="AL33" s="6" t="s">
        <v>11</v>
      </c>
      <c r="AM33" s="6" t="s">
        <v>4</v>
      </c>
      <c r="AN33" s="6"/>
      <c r="AO33" s="6" t="s">
        <v>4</v>
      </c>
      <c r="AP33" s="6" t="s">
        <v>11</v>
      </c>
      <c r="AQ33" s="6" t="s">
        <v>3</v>
      </c>
      <c r="AR33" s="6"/>
      <c r="AS33" s="6" t="s">
        <v>13</v>
      </c>
      <c r="AT33" s="6" t="s">
        <v>58</v>
      </c>
      <c r="AU33" s="6" t="s">
        <v>15</v>
      </c>
      <c r="AV33" s="6" t="s">
        <v>4</v>
      </c>
      <c r="AW33" s="6" t="s">
        <v>15</v>
      </c>
      <c r="AX33" s="6" t="s">
        <v>58</v>
      </c>
      <c r="AY33" s="6" t="s">
        <v>13</v>
      </c>
      <c r="AZ33" s="6" t="s">
        <v>13</v>
      </c>
      <c r="BA33" s="6" t="s">
        <v>13</v>
      </c>
      <c r="BB33" s="6" t="s">
        <v>13</v>
      </c>
      <c r="BC33" s="6" t="s">
        <v>13</v>
      </c>
      <c r="BD33" s="6" t="s">
        <v>13</v>
      </c>
      <c r="BE33" s="6"/>
      <c r="BF33" s="6" t="s">
        <v>12</v>
      </c>
      <c r="BG33" s="6" t="s">
        <v>12</v>
      </c>
      <c r="BH33" s="6" t="s">
        <v>24</v>
      </c>
      <c r="BI33" s="6" t="s">
        <v>136</v>
      </c>
      <c r="BJ33" s="6" t="s">
        <v>15</v>
      </c>
      <c r="BK33" s="6" t="s">
        <v>15</v>
      </c>
      <c r="BL33" s="6" t="s">
        <v>4</v>
      </c>
      <c r="BM33" s="6" t="s">
        <v>11</v>
      </c>
      <c r="BN33" s="6" t="s">
        <v>4</v>
      </c>
      <c r="BO33" s="7">
        <f>DATE(2026,3,11)+TIME(16,44,13)</f>
        <v>46092.69737268519</v>
      </c>
    </row>
    <row r="34" spans="1:67" ht="12.75">
      <c r="A34" s="2" t="s">
        <v>139</v>
      </c>
      <c r="B34" s="3"/>
      <c r="C34" s="3" t="s">
        <v>68</v>
      </c>
      <c r="D34" s="3" t="s">
        <v>2</v>
      </c>
      <c r="E34" s="3"/>
      <c r="F34" s="3" t="s">
        <v>4</v>
      </c>
      <c r="G34" s="3" t="s">
        <v>3</v>
      </c>
      <c r="H34" s="3" t="s">
        <v>3</v>
      </c>
      <c r="I34" s="3" t="s">
        <v>3</v>
      </c>
      <c r="J34" s="3" t="s">
        <v>20</v>
      </c>
      <c r="K34" s="3" t="s">
        <v>5</v>
      </c>
      <c r="L34" s="3" t="s">
        <v>4</v>
      </c>
      <c r="M34" s="3" t="s">
        <v>5</v>
      </c>
      <c r="N34" s="3" t="s">
        <v>37</v>
      </c>
      <c r="O34" s="3" t="s">
        <v>5</v>
      </c>
      <c r="P34" s="3" t="s">
        <v>6</v>
      </c>
      <c r="Q34" s="3" t="s">
        <v>28</v>
      </c>
      <c r="R34" s="3" t="s">
        <v>28</v>
      </c>
      <c r="S34" s="3" t="s">
        <v>28</v>
      </c>
      <c r="T34" s="3" t="s">
        <v>28</v>
      </c>
      <c r="U34" s="3" t="s">
        <v>8</v>
      </c>
      <c r="V34" s="3" t="s">
        <v>28</v>
      </c>
      <c r="W34" s="3" t="s">
        <v>8</v>
      </c>
      <c r="X34" s="3" t="s">
        <v>28</v>
      </c>
      <c r="Y34" s="3" t="s">
        <v>28</v>
      </c>
      <c r="Z34" s="3" t="s">
        <v>28</v>
      </c>
      <c r="AA34" s="3" t="s">
        <v>38</v>
      </c>
      <c r="AB34" s="3" t="s">
        <v>140</v>
      </c>
      <c r="AC34" s="3"/>
      <c r="AD34" s="3" t="s">
        <v>4</v>
      </c>
      <c r="AE34" s="3" t="s">
        <v>11</v>
      </c>
      <c r="AF34" s="3" t="s">
        <v>3</v>
      </c>
      <c r="AG34" s="3" t="s">
        <v>11</v>
      </c>
      <c r="AH34" s="3" t="s">
        <v>11</v>
      </c>
      <c r="AI34" s="3"/>
      <c r="AJ34" s="3" t="s">
        <v>4</v>
      </c>
      <c r="AK34" s="3" t="s">
        <v>3</v>
      </c>
      <c r="AL34" s="3" t="s">
        <v>11</v>
      </c>
      <c r="AM34" s="3" t="s">
        <v>4</v>
      </c>
      <c r="AN34" s="3"/>
      <c r="AO34" s="3" t="s">
        <v>3</v>
      </c>
      <c r="AP34" s="3" t="s">
        <v>11</v>
      </c>
      <c r="AQ34" s="3" t="s">
        <v>4</v>
      </c>
      <c r="AR34" s="3"/>
      <c r="AS34" s="3" t="s">
        <v>4</v>
      </c>
      <c r="AT34" s="3" t="s">
        <v>14</v>
      </c>
      <c r="AU34" s="3" t="s">
        <v>14</v>
      </c>
      <c r="AV34" s="3" t="s">
        <v>14</v>
      </c>
      <c r="AW34" s="3" t="s">
        <v>13</v>
      </c>
      <c r="AX34" s="3" t="s">
        <v>14</v>
      </c>
      <c r="AY34" s="3" t="s">
        <v>13</v>
      </c>
      <c r="AZ34" s="3" t="s">
        <v>13</v>
      </c>
      <c r="BA34" s="3" t="s">
        <v>15</v>
      </c>
      <c r="BB34" s="3" t="s">
        <v>4</v>
      </c>
      <c r="BC34" s="3" t="s">
        <v>4</v>
      </c>
      <c r="BD34" s="3" t="s">
        <v>4</v>
      </c>
      <c r="BE34" s="3"/>
      <c r="BF34" s="3" t="s">
        <v>3</v>
      </c>
      <c r="BG34" s="3" t="s">
        <v>6</v>
      </c>
      <c r="BH34" s="3" t="s">
        <v>16</v>
      </c>
      <c r="BI34" s="3"/>
      <c r="BJ34" s="3"/>
      <c r="BK34" s="3"/>
      <c r="BL34" s="3"/>
      <c r="BM34" s="3"/>
      <c r="BN34" s="3"/>
      <c r="BO34" s="4">
        <f>DATE(2026,3,31)+TIME(13,16,8)</f>
        <v>46112.55287037037</v>
      </c>
    </row>
    <row r="35" spans="1:67" ht="12.75">
      <c r="A35" s="5" t="s">
        <v>141</v>
      </c>
      <c r="B35" s="6"/>
      <c r="C35" s="6" t="s">
        <v>98</v>
      </c>
      <c r="D35" s="6" t="s">
        <v>2</v>
      </c>
      <c r="E35" s="6"/>
      <c r="F35" s="6" t="s">
        <v>12</v>
      </c>
      <c r="G35" s="6" t="s">
        <v>12</v>
      </c>
      <c r="H35" s="6" t="s">
        <v>12</v>
      </c>
      <c r="I35" s="6" t="s">
        <v>12</v>
      </c>
      <c r="J35" s="6" t="s">
        <v>5</v>
      </c>
      <c r="K35" s="6" t="s">
        <v>20</v>
      </c>
      <c r="L35" s="6" t="s">
        <v>6</v>
      </c>
      <c r="M35" s="6" t="s">
        <v>6</v>
      </c>
      <c r="N35" s="6" t="s">
        <v>6</v>
      </c>
      <c r="O35" s="6" t="s">
        <v>5</v>
      </c>
      <c r="P35" s="6" t="s">
        <v>4</v>
      </c>
      <c r="Q35" s="6" t="s">
        <v>4</v>
      </c>
      <c r="R35" s="6" t="s">
        <v>4</v>
      </c>
      <c r="S35" s="6" t="s">
        <v>28</v>
      </c>
      <c r="T35" s="6" t="s">
        <v>28</v>
      </c>
      <c r="U35" s="6" t="s">
        <v>8</v>
      </c>
      <c r="V35" s="6" t="s">
        <v>28</v>
      </c>
      <c r="W35" s="6" t="s">
        <v>8</v>
      </c>
      <c r="X35" s="6" t="s">
        <v>8</v>
      </c>
      <c r="Y35" s="6" t="s">
        <v>4</v>
      </c>
      <c r="Z35" s="6" t="s">
        <v>4</v>
      </c>
      <c r="AA35" s="6" t="s">
        <v>133</v>
      </c>
      <c r="AB35" s="6" t="s">
        <v>142</v>
      </c>
      <c r="AC35" s="6"/>
      <c r="AD35" s="6" t="s">
        <v>6</v>
      </c>
      <c r="AE35" s="6" t="s">
        <v>12</v>
      </c>
      <c r="AF35" s="6" t="s">
        <v>4</v>
      </c>
      <c r="AG35" s="6" t="s">
        <v>3</v>
      </c>
      <c r="AH35" s="6" t="s">
        <v>3</v>
      </c>
      <c r="AI35" s="6"/>
      <c r="AJ35" s="6" t="s">
        <v>4</v>
      </c>
      <c r="AK35" s="6" t="s">
        <v>4</v>
      </c>
      <c r="AL35" s="6" t="s">
        <v>3</v>
      </c>
      <c r="AM35" s="6" t="s">
        <v>6</v>
      </c>
      <c r="AN35" s="6"/>
      <c r="AO35" s="6" t="s">
        <v>6</v>
      </c>
      <c r="AP35" s="6" t="s">
        <v>11</v>
      </c>
      <c r="AQ35" s="6" t="s">
        <v>4</v>
      </c>
      <c r="AR35" s="6"/>
      <c r="AS35" s="6" t="s">
        <v>15</v>
      </c>
      <c r="AT35" s="6" t="s">
        <v>6</v>
      </c>
      <c r="AU35" s="6" t="s">
        <v>6</v>
      </c>
      <c r="AV35" s="6" t="s">
        <v>13</v>
      </c>
      <c r="AW35" s="6" t="s">
        <v>13</v>
      </c>
      <c r="AX35" s="6" t="s">
        <v>15</v>
      </c>
      <c r="AY35" s="6" t="s">
        <v>13</v>
      </c>
      <c r="AZ35" s="6" t="s">
        <v>6</v>
      </c>
      <c r="BA35" s="6" t="s">
        <v>13</v>
      </c>
      <c r="BB35" s="6" t="s">
        <v>6</v>
      </c>
      <c r="BC35" s="6" t="s">
        <v>13</v>
      </c>
      <c r="BD35" s="6" t="s">
        <v>13</v>
      </c>
      <c r="BE35" s="6"/>
      <c r="BF35" s="6" t="s">
        <v>6</v>
      </c>
      <c r="BG35" s="6" t="s">
        <v>6</v>
      </c>
      <c r="BH35" s="6" t="s">
        <v>16</v>
      </c>
      <c r="BI35" s="6"/>
      <c r="BJ35" s="6"/>
      <c r="BK35" s="6"/>
      <c r="BL35" s="6"/>
      <c r="BM35" s="6"/>
      <c r="BN35" s="6"/>
      <c r="BO35" s="7">
        <f>DATE(2026,3,9)+TIME(9,31,46)</f>
        <v>46090.39706018518</v>
      </c>
    </row>
    <row r="36" spans="1:67" ht="12.75">
      <c r="A36" s="2" t="s">
        <v>143</v>
      </c>
      <c r="B36" s="3"/>
      <c r="C36" s="3" t="s">
        <v>144</v>
      </c>
      <c r="D36" s="3" t="s">
        <v>49</v>
      </c>
      <c r="E36" s="3"/>
      <c r="F36" s="3" t="s">
        <v>11</v>
      </c>
      <c r="G36" s="3" t="s">
        <v>3</v>
      </c>
      <c r="H36" s="3" t="s">
        <v>3</v>
      </c>
      <c r="I36" s="3" t="s">
        <v>3</v>
      </c>
      <c r="J36" s="3" t="s">
        <v>20</v>
      </c>
      <c r="K36" s="3" t="s">
        <v>20</v>
      </c>
      <c r="L36" s="3" t="s">
        <v>20</v>
      </c>
      <c r="M36" s="3" t="s">
        <v>5</v>
      </c>
      <c r="N36" s="3" t="s">
        <v>20</v>
      </c>
      <c r="O36" s="3" t="s">
        <v>55</v>
      </c>
      <c r="P36" s="3" t="s">
        <v>20</v>
      </c>
      <c r="Q36" s="3" t="s">
        <v>28</v>
      </c>
      <c r="R36" s="3" t="s">
        <v>28</v>
      </c>
      <c r="S36" s="3" t="s">
        <v>8</v>
      </c>
      <c r="T36" s="3" t="s">
        <v>28</v>
      </c>
      <c r="U36" s="3" t="s">
        <v>8</v>
      </c>
      <c r="V36" s="3" t="s">
        <v>28</v>
      </c>
      <c r="W36" s="3" t="s">
        <v>7</v>
      </c>
      <c r="X36" s="3" t="s">
        <v>28</v>
      </c>
      <c r="Y36" s="3" t="s">
        <v>8</v>
      </c>
      <c r="Z36" s="3" t="s">
        <v>28</v>
      </c>
      <c r="AA36" s="3" t="s">
        <v>50</v>
      </c>
      <c r="AB36" s="3" t="s">
        <v>145</v>
      </c>
      <c r="AC36" s="3"/>
      <c r="AD36" s="3" t="s">
        <v>3</v>
      </c>
      <c r="AE36" s="3" t="s">
        <v>3</v>
      </c>
      <c r="AF36" s="3" t="s">
        <v>3</v>
      </c>
      <c r="AG36" s="3" t="s">
        <v>11</v>
      </c>
      <c r="AH36" s="3" t="s">
        <v>11</v>
      </c>
      <c r="AI36" s="3"/>
      <c r="AJ36" s="3" t="s">
        <v>54</v>
      </c>
      <c r="AK36" s="3" t="s">
        <v>3</v>
      </c>
      <c r="AL36" s="3" t="s">
        <v>12</v>
      </c>
      <c r="AM36" s="3" t="s">
        <v>11</v>
      </c>
      <c r="AN36" s="3"/>
      <c r="AO36" s="3" t="s">
        <v>3</v>
      </c>
      <c r="AP36" s="3" t="s">
        <v>11</v>
      </c>
      <c r="AQ36" s="3" t="s">
        <v>3</v>
      </c>
      <c r="AR36" s="3"/>
      <c r="AS36" s="3" t="s">
        <v>13</v>
      </c>
      <c r="AT36" s="3" t="s">
        <v>4</v>
      </c>
      <c r="AU36" s="3" t="s">
        <v>15</v>
      </c>
      <c r="AV36" s="3" t="s">
        <v>58</v>
      </c>
      <c r="AW36" s="3" t="s">
        <v>15</v>
      </c>
      <c r="AX36" s="3" t="s">
        <v>4</v>
      </c>
      <c r="AY36" s="3" t="s">
        <v>58</v>
      </c>
      <c r="AZ36" s="3" t="s">
        <v>14</v>
      </c>
      <c r="BA36" s="3" t="s">
        <v>14</v>
      </c>
      <c r="BB36" s="3" t="s">
        <v>14</v>
      </c>
      <c r="BC36" s="3" t="s">
        <v>14</v>
      </c>
      <c r="BD36" s="3" t="s">
        <v>13</v>
      </c>
      <c r="BE36" s="3"/>
      <c r="BF36" s="3" t="s">
        <v>12</v>
      </c>
      <c r="BG36" s="3" t="s">
        <v>3</v>
      </c>
      <c r="BH36" s="3" t="s">
        <v>16</v>
      </c>
      <c r="BI36" s="3"/>
      <c r="BJ36" s="3"/>
      <c r="BK36" s="3"/>
      <c r="BL36" s="3"/>
      <c r="BM36" s="3"/>
      <c r="BN36" s="3"/>
      <c r="BO36" s="4">
        <f>DATE(2026,3,10)+TIME(23,17,35)</f>
        <v>46091.97054398148</v>
      </c>
    </row>
    <row r="37" spans="1:67" ht="12.75">
      <c r="A37" s="5" t="s">
        <v>146</v>
      </c>
      <c r="B37" s="6"/>
      <c r="C37" s="6" t="s">
        <v>81</v>
      </c>
      <c r="D37" s="6" t="s">
        <v>19</v>
      </c>
      <c r="E37" s="6"/>
      <c r="F37" s="6" t="s">
        <v>11</v>
      </c>
      <c r="G37" s="6" t="s">
        <v>3</v>
      </c>
      <c r="H37" s="6" t="s">
        <v>6</v>
      </c>
      <c r="I37" s="6" t="s">
        <v>3</v>
      </c>
      <c r="J37" s="6" t="s">
        <v>5</v>
      </c>
      <c r="K37" s="6" t="s">
        <v>20</v>
      </c>
      <c r="L37" s="6" t="s">
        <v>20</v>
      </c>
      <c r="M37" s="6" t="s">
        <v>20</v>
      </c>
      <c r="N37" s="6" t="s">
        <v>20</v>
      </c>
      <c r="O37" s="6" t="s">
        <v>5</v>
      </c>
      <c r="P37" s="6" t="s">
        <v>5</v>
      </c>
      <c r="Q37" s="6" t="s">
        <v>7</v>
      </c>
      <c r="R37" s="6" t="s">
        <v>8</v>
      </c>
      <c r="S37" s="6" t="s">
        <v>28</v>
      </c>
      <c r="T37" s="6" t="s">
        <v>8</v>
      </c>
      <c r="U37" s="6" t="s">
        <v>28</v>
      </c>
      <c r="V37" s="6" t="s">
        <v>7</v>
      </c>
      <c r="W37" s="6" t="s">
        <v>8</v>
      </c>
      <c r="X37" s="6" t="s">
        <v>8</v>
      </c>
      <c r="Y37" s="6" t="s">
        <v>8</v>
      </c>
      <c r="Z37" s="6" t="s">
        <v>7</v>
      </c>
      <c r="AA37" s="6" t="s">
        <v>147</v>
      </c>
      <c r="AB37" s="6" t="s">
        <v>82</v>
      </c>
      <c r="AC37" s="6"/>
      <c r="AD37" s="6" t="s">
        <v>6</v>
      </c>
      <c r="AE37" s="6" t="s">
        <v>4</v>
      </c>
      <c r="AF37" s="6" t="s">
        <v>3</v>
      </c>
      <c r="AG37" s="6" t="s">
        <v>11</v>
      </c>
      <c r="AH37" s="6" t="s">
        <v>11</v>
      </c>
      <c r="AI37" s="6"/>
      <c r="AJ37" s="6" t="s">
        <v>11</v>
      </c>
      <c r="AK37" s="6" t="s">
        <v>3</v>
      </c>
      <c r="AL37" s="6" t="s">
        <v>6</v>
      </c>
      <c r="AM37" s="6" t="s">
        <v>11</v>
      </c>
      <c r="AN37" s="6"/>
      <c r="AO37" s="6" t="s">
        <v>3</v>
      </c>
      <c r="AP37" s="6" t="s">
        <v>3</v>
      </c>
      <c r="AQ37" s="6" t="s">
        <v>3</v>
      </c>
      <c r="AR37" s="6"/>
      <c r="AS37" s="6" t="s">
        <v>13</v>
      </c>
      <c r="AT37" s="6" t="s">
        <v>13</v>
      </c>
      <c r="AU37" s="6" t="s">
        <v>4</v>
      </c>
      <c r="AV37" s="6" t="s">
        <v>4</v>
      </c>
      <c r="AW37" s="6" t="s">
        <v>13</v>
      </c>
      <c r="AX37" s="6" t="s">
        <v>4</v>
      </c>
      <c r="AY37" s="6" t="s">
        <v>13</v>
      </c>
      <c r="AZ37" s="6" t="s">
        <v>14</v>
      </c>
      <c r="BA37" s="6" t="s">
        <v>13</v>
      </c>
      <c r="BB37" s="6" t="s">
        <v>4</v>
      </c>
      <c r="BC37" s="6" t="s">
        <v>4</v>
      </c>
      <c r="BD37" s="6" t="s">
        <v>4</v>
      </c>
      <c r="BE37" s="6"/>
      <c r="BF37" s="6" t="s">
        <v>3</v>
      </c>
      <c r="BG37" s="6" t="s">
        <v>3</v>
      </c>
      <c r="BH37" s="6" t="s">
        <v>24</v>
      </c>
      <c r="BI37" s="6" t="s">
        <v>81</v>
      </c>
      <c r="BJ37" s="6" t="s">
        <v>13</v>
      </c>
      <c r="BK37" s="6" t="s">
        <v>6</v>
      </c>
      <c r="BL37" s="6" t="s">
        <v>6</v>
      </c>
      <c r="BM37" s="6" t="s">
        <v>3</v>
      </c>
      <c r="BN37" s="6" t="s">
        <v>11</v>
      </c>
      <c r="BO37" s="7">
        <f>DATE(2026,3,30)+TIME(11,50,25)</f>
        <v>46111.49334490741</v>
      </c>
    </row>
    <row r="38" spans="1:67" ht="12.75">
      <c r="A38" s="2" t="s">
        <v>148</v>
      </c>
      <c r="B38" s="3"/>
      <c r="C38" s="3" t="s">
        <v>149</v>
      </c>
      <c r="D38" s="3" t="s">
        <v>2</v>
      </c>
      <c r="E38" s="3"/>
      <c r="F38" s="3" t="s">
        <v>3</v>
      </c>
      <c r="G38" s="3" t="s">
        <v>3</v>
      </c>
      <c r="H38" s="3" t="s">
        <v>6</v>
      </c>
      <c r="I38" s="3" t="s">
        <v>3</v>
      </c>
      <c r="J38" s="3" t="s">
        <v>5</v>
      </c>
      <c r="K38" s="3" t="s">
        <v>5</v>
      </c>
      <c r="L38" s="3" t="s">
        <v>55</v>
      </c>
      <c r="M38" s="3" t="s">
        <v>55</v>
      </c>
      <c r="N38" s="3" t="s">
        <v>6</v>
      </c>
      <c r="O38" s="3" t="s">
        <v>4</v>
      </c>
      <c r="P38" s="3" t="s">
        <v>5</v>
      </c>
      <c r="Q38" s="3" t="s">
        <v>8</v>
      </c>
      <c r="R38" s="3" t="s">
        <v>4</v>
      </c>
      <c r="S38" s="3" t="s">
        <v>4</v>
      </c>
      <c r="T38" s="3" t="s">
        <v>4</v>
      </c>
      <c r="U38" s="3" t="s">
        <v>8</v>
      </c>
      <c r="V38" s="3" t="s">
        <v>7</v>
      </c>
      <c r="W38" s="3" t="s">
        <v>6</v>
      </c>
      <c r="X38" s="3" t="s">
        <v>4</v>
      </c>
      <c r="Y38" s="3" t="s">
        <v>4</v>
      </c>
      <c r="Z38" s="3" t="s">
        <v>7</v>
      </c>
      <c r="AA38" s="3" t="s">
        <v>150</v>
      </c>
      <c r="AB38" s="3" t="s">
        <v>151</v>
      </c>
      <c r="AC38" s="3"/>
      <c r="AD38" s="3" t="s">
        <v>3</v>
      </c>
      <c r="AE38" s="3" t="s">
        <v>4</v>
      </c>
      <c r="AF38" s="3" t="s">
        <v>3</v>
      </c>
      <c r="AG38" s="3" t="s">
        <v>6</v>
      </c>
      <c r="AH38" s="3" t="s">
        <v>11</v>
      </c>
      <c r="AI38" s="3"/>
      <c r="AJ38" s="3" t="s">
        <v>11</v>
      </c>
      <c r="AK38" s="3" t="s">
        <v>11</v>
      </c>
      <c r="AL38" s="3" t="s">
        <v>3</v>
      </c>
      <c r="AM38" s="3" t="s">
        <v>6</v>
      </c>
      <c r="AN38" s="3"/>
      <c r="AO38" s="3" t="s">
        <v>3</v>
      </c>
      <c r="AP38" s="3" t="s">
        <v>11</v>
      </c>
      <c r="AQ38" s="3" t="s">
        <v>3</v>
      </c>
      <c r="AR38" s="3"/>
      <c r="AS38" s="3" t="s">
        <v>13</v>
      </c>
      <c r="AT38" s="3" t="s">
        <v>6</v>
      </c>
      <c r="AU38" s="3" t="s">
        <v>13</v>
      </c>
      <c r="AV38" s="3" t="s">
        <v>4</v>
      </c>
      <c r="AW38" s="3" t="s">
        <v>15</v>
      </c>
      <c r="AX38" s="3" t="s">
        <v>13</v>
      </c>
      <c r="AY38" s="3" t="s">
        <v>13</v>
      </c>
      <c r="AZ38" s="3" t="s">
        <v>4</v>
      </c>
      <c r="BA38" s="3" t="s">
        <v>15</v>
      </c>
      <c r="BB38" s="3" t="s">
        <v>6</v>
      </c>
      <c r="BC38" s="3" t="s">
        <v>15</v>
      </c>
      <c r="BD38" s="3" t="s">
        <v>4</v>
      </c>
      <c r="BE38" s="3"/>
      <c r="BF38" s="3" t="s">
        <v>4</v>
      </c>
      <c r="BG38" s="3" t="s">
        <v>4</v>
      </c>
      <c r="BH38" s="3" t="s">
        <v>16</v>
      </c>
      <c r="BI38" s="3"/>
      <c r="BJ38" s="3"/>
      <c r="BK38" s="3"/>
      <c r="BL38" s="3"/>
      <c r="BM38" s="3"/>
      <c r="BN38" s="3"/>
      <c r="BO38" s="4">
        <f>DATE(2026,3,23)+TIME(12,19,0)</f>
        <v>46104.513194444444</v>
      </c>
    </row>
    <row r="39" spans="1:67" ht="12.75">
      <c r="A39" s="5" t="s">
        <v>152</v>
      </c>
      <c r="B39" s="6"/>
      <c r="C39" s="6" t="s">
        <v>153</v>
      </c>
      <c r="D39" s="6" t="s">
        <v>2</v>
      </c>
      <c r="E39" s="6"/>
      <c r="F39" s="6" t="s">
        <v>12</v>
      </c>
      <c r="G39" s="6" t="s">
        <v>12</v>
      </c>
      <c r="H39" s="6" t="s">
        <v>12</v>
      </c>
      <c r="I39" s="6" t="s">
        <v>12</v>
      </c>
      <c r="J39" s="6" t="s">
        <v>20</v>
      </c>
      <c r="K39" s="6" t="s">
        <v>20</v>
      </c>
      <c r="L39" s="6" t="s">
        <v>20</v>
      </c>
      <c r="M39" s="6" t="s">
        <v>20</v>
      </c>
      <c r="N39" s="6" t="s">
        <v>20</v>
      </c>
      <c r="O39" s="6" t="s">
        <v>20</v>
      </c>
      <c r="P39" s="6" t="s">
        <v>20</v>
      </c>
      <c r="Q39" s="6" t="s">
        <v>8</v>
      </c>
      <c r="R39" s="6" t="s">
        <v>8</v>
      </c>
      <c r="S39" s="6" t="s">
        <v>8</v>
      </c>
      <c r="T39" s="6" t="s">
        <v>28</v>
      </c>
      <c r="U39" s="6" t="s">
        <v>8</v>
      </c>
      <c r="V39" s="6" t="s">
        <v>28</v>
      </c>
      <c r="W39" s="6" t="s">
        <v>8</v>
      </c>
      <c r="X39" s="6" t="s">
        <v>8</v>
      </c>
      <c r="Y39" s="6" t="s">
        <v>8</v>
      </c>
      <c r="Z39" s="6" t="s">
        <v>28</v>
      </c>
      <c r="AA39" s="6" t="s">
        <v>73</v>
      </c>
      <c r="AB39" s="6" t="s">
        <v>154</v>
      </c>
      <c r="AC39" s="6"/>
      <c r="AD39" s="6" t="s">
        <v>12</v>
      </c>
      <c r="AE39" s="6" t="s">
        <v>12</v>
      </c>
      <c r="AF39" s="6" t="s">
        <v>12</v>
      </c>
      <c r="AG39" s="6" t="s">
        <v>3</v>
      </c>
      <c r="AH39" s="6" t="s">
        <v>12</v>
      </c>
      <c r="AI39" s="6"/>
      <c r="AJ39" s="6" t="s">
        <v>3</v>
      </c>
      <c r="AK39" s="6" t="s">
        <v>12</v>
      </c>
      <c r="AL39" s="6" t="s">
        <v>11</v>
      </c>
      <c r="AM39" s="6" t="s">
        <v>3</v>
      </c>
      <c r="AN39" s="6"/>
      <c r="AO39" s="6" t="s">
        <v>3</v>
      </c>
      <c r="AP39" s="6" t="s">
        <v>11</v>
      </c>
      <c r="AQ39" s="6" t="s">
        <v>12</v>
      </c>
      <c r="AR39" s="6"/>
      <c r="AS39" s="6" t="s">
        <v>15</v>
      </c>
      <c r="AT39" s="6" t="s">
        <v>15</v>
      </c>
      <c r="AU39" s="6" t="s">
        <v>4</v>
      </c>
      <c r="AV39" s="6" t="s">
        <v>4</v>
      </c>
      <c r="AW39" s="6" t="s">
        <v>15</v>
      </c>
      <c r="AX39" s="6" t="s">
        <v>15</v>
      </c>
      <c r="AY39" s="6" t="s">
        <v>4</v>
      </c>
      <c r="AZ39" s="6" t="s">
        <v>14</v>
      </c>
      <c r="BA39" s="6" t="s">
        <v>4</v>
      </c>
      <c r="BB39" s="6" t="s">
        <v>58</v>
      </c>
      <c r="BC39" s="6" t="s">
        <v>4</v>
      </c>
      <c r="BD39" s="6" t="s">
        <v>58</v>
      </c>
      <c r="BE39" s="6"/>
      <c r="BF39" s="6" t="s">
        <v>12</v>
      </c>
      <c r="BG39" s="6" t="s">
        <v>12</v>
      </c>
      <c r="BH39" s="6" t="s">
        <v>16</v>
      </c>
      <c r="BI39" s="6"/>
      <c r="BJ39" s="6"/>
      <c r="BK39" s="6"/>
      <c r="BL39" s="6"/>
      <c r="BM39" s="6"/>
      <c r="BN39" s="6"/>
      <c r="BO39" s="7">
        <f>DATE(2026,3,31)+TIME(8,46,56)</f>
        <v>46112.36592592593</v>
      </c>
    </row>
    <row r="40" spans="1:67" ht="12.75">
      <c r="A40" s="2" t="s">
        <v>155</v>
      </c>
      <c r="B40" s="3"/>
      <c r="C40" s="3" t="s">
        <v>156</v>
      </c>
      <c r="D40" s="3" t="s">
        <v>2</v>
      </c>
      <c r="E40" s="3"/>
      <c r="F40" s="3" t="s">
        <v>3</v>
      </c>
      <c r="G40" s="3" t="s">
        <v>3</v>
      </c>
      <c r="H40" s="3" t="s">
        <v>12</v>
      </c>
      <c r="I40" s="3" t="s">
        <v>12</v>
      </c>
      <c r="J40" s="3" t="s">
        <v>20</v>
      </c>
      <c r="K40" s="3" t="s">
        <v>20</v>
      </c>
      <c r="L40" s="3" t="s">
        <v>20</v>
      </c>
      <c r="M40" s="3" t="s">
        <v>20</v>
      </c>
      <c r="N40" s="3" t="s">
        <v>20</v>
      </c>
      <c r="O40" s="3" t="s">
        <v>20</v>
      </c>
      <c r="P40" s="3" t="s">
        <v>20</v>
      </c>
      <c r="Q40" s="3" t="s">
        <v>8</v>
      </c>
      <c r="R40" s="3" t="s">
        <v>4</v>
      </c>
      <c r="S40" s="3" t="s">
        <v>4</v>
      </c>
      <c r="T40" s="3" t="s">
        <v>4</v>
      </c>
      <c r="U40" s="3" t="s">
        <v>4</v>
      </c>
      <c r="V40" s="3" t="s">
        <v>8</v>
      </c>
      <c r="W40" s="3" t="s">
        <v>8</v>
      </c>
      <c r="X40" s="3" t="s">
        <v>4</v>
      </c>
      <c r="Y40" s="3" t="s">
        <v>7</v>
      </c>
      <c r="Z40" s="3" t="s">
        <v>8</v>
      </c>
      <c r="AA40" s="3" t="s">
        <v>137</v>
      </c>
      <c r="AB40" s="3" t="s">
        <v>157</v>
      </c>
      <c r="AC40" s="3"/>
      <c r="AD40" s="3" t="s">
        <v>11</v>
      </c>
      <c r="AE40" s="3" t="s">
        <v>4</v>
      </c>
      <c r="AF40" s="3" t="s">
        <v>12</v>
      </c>
      <c r="AG40" s="3" t="s">
        <v>11</v>
      </c>
      <c r="AH40" s="3" t="s">
        <v>11</v>
      </c>
      <c r="AI40" s="3"/>
      <c r="AJ40" s="3" t="s">
        <v>11</v>
      </c>
      <c r="AK40" s="3" t="s">
        <v>11</v>
      </c>
      <c r="AL40" s="3" t="s">
        <v>3</v>
      </c>
      <c r="AM40" s="3" t="s">
        <v>11</v>
      </c>
      <c r="AN40" s="3"/>
      <c r="AO40" s="3" t="s">
        <v>3</v>
      </c>
      <c r="AP40" s="3" t="s">
        <v>3</v>
      </c>
      <c r="AQ40" s="3" t="s">
        <v>12</v>
      </c>
      <c r="AR40" s="3"/>
      <c r="AS40" s="3" t="s">
        <v>15</v>
      </c>
      <c r="AT40" s="3" t="s">
        <v>13</v>
      </c>
      <c r="AU40" s="3" t="s">
        <v>13</v>
      </c>
      <c r="AV40" s="3" t="s">
        <v>4</v>
      </c>
      <c r="AW40" s="3" t="s">
        <v>15</v>
      </c>
      <c r="AX40" s="3" t="s">
        <v>4</v>
      </c>
      <c r="AY40" s="3" t="s">
        <v>15</v>
      </c>
      <c r="AZ40" s="3" t="s">
        <v>4</v>
      </c>
      <c r="BA40" s="3" t="s">
        <v>15</v>
      </c>
      <c r="BB40" s="3" t="s">
        <v>4</v>
      </c>
      <c r="BC40" s="3" t="s">
        <v>4</v>
      </c>
      <c r="BD40" s="3" t="s">
        <v>15</v>
      </c>
      <c r="BE40" s="3"/>
      <c r="BF40" s="3" t="s">
        <v>3</v>
      </c>
      <c r="BG40" s="3" t="s">
        <v>3</v>
      </c>
      <c r="BH40" s="3" t="s">
        <v>16</v>
      </c>
      <c r="BI40" s="3"/>
      <c r="BJ40" s="3"/>
      <c r="BK40" s="3"/>
      <c r="BL40" s="3"/>
      <c r="BM40" s="3"/>
      <c r="BN40" s="3"/>
      <c r="BO40" s="4">
        <f>DATE(2026,4,1)+TIME(16,1,52)</f>
        <v>46113.667962962965</v>
      </c>
    </row>
    <row r="41" spans="1:67" ht="12.75">
      <c r="A41" s="5" t="s">
        <v>158</v>
      </c>
      <c r="B41" s="6"/>
      <c r="C41" s="6" t="s">
        <v>44</v>
      </c>
      <c r="D41" s="6" t="s">
        <v>19</v>
      </c>
      <c r="E41" s="6"/>
      <c r="F41" s="6" t="s">
        <v>12</v>
      </c>
      <c r="G41" s="6" t="s">
        <v>12</v>
      </c>
      <c r="H41" s="6" t="s">
        <v>12</v>
      </c>
      <c r="I41" s="6" t="s">
        <v>12</v>
      </c>
      <c r="J41" s="6" t="s">
        <v>20</v>
      </c>
      <c r="K41" s="6" t="s">
        <v>20</v>
      </c>
      <c r="L41" s="6" t="s">
        <v>20</v>
      </c>
      <c r="M41" s="6" t="s">
        <v>20</v>
      </c>
      <c r="N41" s="6" t="s">
        <v>5</v>
      </c>
      <c r="O41" s="6" t="s">
        <v>20</v>
      </c>
      <c r="P41" s="6" t="s">
        <v>5</v>
      </c>
      <c r="Q41" s="6" t="s">
        <v>4</v>
      </c>
      <c r="R41" s="6" t="s">
        <v>8</v>
      </c>
      <c r="S41" s="6" t="s">
        <v>4</v>
      </c>
      <c r="T41" s="6" t="s">
        <v>8</v>
      </c>
      <c r="U41" s="6" t="s">
        <v>7</v>
      </c>
      <c r="V41" s="6" t="s">
        <v>7</v>
      </c>
      <c r="W41" s="6" t="s">
        <v>4</v>
      </c>
      <c r="X41" s="6" t="s">
        <v>8</v>
      </c>
      <c r="Y41" s="6" t="s">
        <v>4</v>
      </c>
      <c r="Z41" s="6" t="s">
        <v>4</v>
      </c>
      <c r="AA41" s="6" t="s">
        <v>159</v>
      </c>
      <c r="AB41" s="6" t="s">
        <v>160</v>
      </c>
      <c r="AC41" s="6"/>
      <c r="AD41" s="6" t="s">
        <v>4</v>
      </c>
      <c r="AE41" s="6" t="s">
        <v>4</v>
      </c>
      <c r="AF41" s="6" t="s">
        <v>12</v>
      </c>
      <c r="AG41" s="6" t="s">
        <v>4</v>
      </c>
      <c r="AH41" s="6" t="s">
        <v>4</v>
      </c>
      <c r="AI41" s="6"/>
      <c r="AJ41" s="6" t="s">
        <v>3</v>
      </c>
      <c r="AK41" s="6" t="s">
        <v>3</v>
      </c>
      <c r="AL41" s="6" t="s">
        <v>3</v>
      </c>
      <c r="AM41" s="6" t="s">
        <v>6</v>
      </c>
      <c r="AN41" s="6"/>
      <c r="AO41" s="6" t="s">
        <v>3</v>
      </c>
      <c r="AP41" s="6" t="s">
        <v>4</v>
      </c>
      <c r="AQ41" s="6" t="s">
        <v>4</v>
      </c>
      <c r="AR41" s="6"/>
      <c r="AS41" s="6" t="s">
        <v>15</v>
      </c>
      <c r="AT41" s="6" t="s">
        <v>13</v>
      </c>
      <c r="AU41" s="6" t="s">
        <v>13</v>
      </c>
      <c r="AV41" s="6" t="s">
        <v>15</v>
      </c>
      <c r="AW41" s="6" t="s">
        <v>15</v>
      </c>
      <c r="AX41" s="6" t="s">
        <v>13</v>
      </c>
      <c r="AY41" s="6" t="s">
        <v>15</v>
      </c>
      <c r="AZ41" s="6" t="s">
        <v>13</v>
      </c>
      <c r="BA41" s="6" t="s">
        <v>15</v>
      </c>
      <c r="BB41" s="6" t="s">
        <v>13</v>
      </c>
      <c r="BC41" s="6" t="s">
        <v>13</v>
      </c>
      <c r="BD41" s="6" t="s">
        <v>13</v>
      </c>
      <c r="BE41" s="6"/>
      <c r="BF41" s="6" t="s">
        <v>3</v>
      </c>
      <c r="BG41" s="6" t="s">
        <v>4</v>
      </c>
      <c r="BH41" s="6" t="s">
        <v>16</v>
      </c>
      <c r="BI41" s="6"/>
      <c r="BJ41" s="6"/>
      <c r="BK41" s="6"/>
      <c r="BL41" s="6"/>
      <c r="BM41" s="6"/>
      <c r="BN41" s="6"/>
      <c r="BO41" s="7">
        <f>DATE(2026,4,2)+TIME(19,0,46)</f>
        <v>46114.79219907407</v>
      </c>
    </row>
    <row r="42" spans="1:67" ht="12.75">
      <c r="A42" s="2" t="s">
        <v>161</v>
      </c>
      <c r="B42" s="3"/>
      <c r="C42" s="3" t="s">
        <v>162</v>
      </c>
      <c r="D42" s="3" t="s">
        <v>2</v>
      </c>
      <c r="E42" s="3"/>
      <c r="F42" s="3" t="s">
        <v>11</v>
      </c>
      <c r="G42" s="3" t="s">
        <v>3</v>
      </c>
      <c r="H42" s="3" t="s">
        <v>3</v>
      </c>
      <c r="I42" s="3" t="s">
        <v>4</v>
      </c>
      <c r="J42" s="3" t="s">
        <v>5</v>
      </c>
      <c r="K42" s="3" t="s">
        <v>20</v>
      </c>
      <c r="L42" s="3" t="s">
        <v>20</v>
      </c>
      <c r="M42" s="3" t="s">
        <v>20</v>
      </c>
      <c r="N42" s="3" t="s">
        <v>6</v>
      </c>
      <c r="O42" s="3" t="s">
        <v>37</v>
      </c>
      <c r="P42" s="3" t="s">
        <v>5</v>
      </c>
      <c r="Q42" s="3" t="s">
        <v>8</v>
      </c>
      <c r="R42" s="3" t="s">
        <v>4</v>
      </c>
      <c r="S42" s="3" t="s">
        <v>4</v>
      </c>
      <c r="T42" s="3" t="s">
        <v>28</v>
      </c>
      <c r="U42" s="3" t="s">
        <v>4</v>
      </c>
      <c r="V42" s="3" t="s">
        <v>4</v>
      </c>
      <c r="W42" s="3" t="s">
        <v>28</v>
      </c>
      <c r="X42" s="3" t="s">
        <v>4</v>
      </c>
      <c r="Y42" s="3" t="s">
        <v>4</v>
      </c>
      <c r="Z42" s="3" t="s">
        <v>4</v>
      </c>
      <c r="AA42" s="3" t="s">
        <v>133</v>
      </c>
      <c r="AB42" s="3" t="s">
        <v>163</v>
      </c>
      <c r="AC42" s="3"/>
      <c r="AD42" s="3" t="s">
        <v>3</v>
      </c>
      <c r="AE42" s="3" t="s">
        <v>12</v>
      </c>
      <c r="AF42" s="3" t="s">
        <v>11</v>
      </c>
      <c r="AG42" s="3" t="s">
        <v>4</v>
      </c>
      <c r="AH42" s="3" t="s">
        <v>3</v>
      </c>
      <c r="AI42" s="3"/>
      <c r="AJ42" s="3" t="s">
        <v>11</v>
      </c>
      <c r="AK42" s="3" t="s">
        <v>4</v>
      </c>
      <c r="AL42" s="3" t="s">
        <v>4</v>
      </c>
      <c r="AM42" s="3" t="s">
        <v>6</v>
      </c>
      <c r="AN42" s="3"/>
      <c r="AO42" s="3" t="s">
        <v>54</v>
      </c>
      <c r="AP42" s="3" t="s">
        <v>54</v>
      </c>
      <c r="AQ42" s="3" t="s">
        <v>3</v>
      </c>
      <c r="AR42" s="3"/>
      <c r="AS42" s="3" t="s">
        <v>13</v>
      </c>
      <c r="AT42" s="3" t="s">
        <v>4</v>
      </c>
      <c r="AU42" s="3" t="s">
        <v>13</v>
      </c>
      <c r="AV42" s="3" t="s">
        <v>4</v>
      </c>
      <c r="AW42" s="3" t="s">
        <v>13</v>
      </c>
      <c r="AX42" s="3" t="s">
        <v>13</v>
      </c>
      <c r="AY42" s="3" t="s">
        <v>58</v>
      </c>
      <c r="AZ42" s="3" t="s">
        <v>14</v>
      </c>
      <c r="BA42" s="3" t="s">
        <v>14</v>
      </c>
      <c r="BB42" s="3" t="s">
        <v>6</v>
      </c>
      <c r="BC42" s="3" t="s">
        <v>14</v>
      </c>
      <c r="BD42" s="3" t="s">
        <v>14</v>
      </c>
      <c r="BE42" s="3"/>
      <c r="BF42" s="3" t="s">
        <v>6</v>
      </c>
      <c r="BG42" s="3" t="s">
        <v>6</v>
      </c>
      <c r="BH42" s="3" t="s">
        <v>16</v>
      </c>
      <c r="BI42" s="3"/>
      <c r="BJ42" s="3"/>
      <c r="BK42" s="3"/>
      <c r="BL42" s="3"/>
      <c r="BM42" s="3"/>
      <c r="BN42" s="3"/>
      <c r="BO42" s="4">
        <f>DATE(2026,3,20)+TIME(12,4,56)</f>
        <v>46101.50342592593</v>
      </c>
    </row>
    <row r="43" spans="1:67" ht="12.75">
      <c r="A43" s="5" t="s">
        <v>164</v>
      </c>
      <c r="B43" s="6"/>
      <c r="C43" s="6" t="s">
        <v>165</v>
      </c>
      <c r="D43" s="6" t="s">
        <v>19</v>
      </c>
      <c r="E43" s="6"/>
      <c r="F43" s="6" t="s">
        <v>3</v>
      </c>
      <c r="G43" s="6" t="s">
        <v>3</v>
      </c>
      <c r="H43" s="6" t="s">
        <v>4</v>
      </c>
      <c r="I43" s="6" t="s">
        <v>3</v>
      </c>
      <c r="J43" s="6" t="s">
        <v>20</v>
      </c>
      <c r="K43" s="6" t="s">
        <v>20</v>
      </c>
      <c r="L43" s="6" t="s">
        <v>4</v>
      </c>
      <c r="M43" s="6" t="s">
        <v>4</v>
      </c>
      <c r="N43" s="6" t="s">
        <v>4</v>
      </c>
      <c r="O43" s="6" t="s">
        <v>5</v>
      </c>
      <c r="P43" s="6" t="s">
        <v>5</v>
      </c>
      <c r="Q43" s="6" t="s">
        <v>7</v>
      </c>
      <c r="R43" s="6" t="s">
        <v>7</v>
      </c>
      <c r="S43" s="6" t="s">
        <v>7</v>
      </c>
      <c r="T43" s="6" t="s">
        <v>7</v>
      </c>
      <c r="U43" s="6" t="s">
        <v>4</v>
      </c>
      <c r="V43" s="6" t="s">
        <v>7</v>
      </c>
      <c r="W43" s="6" t="s">
        <v>7</v>
      </c>
      <c r="X43" s="6" t="s">
        <v>4</v>
      </c>
      <c r="Y43" s="6" t="s">
        <v>4</v>
      </c>
      <c r="Z43" s="6" t="s">
        <v>7</v>
      </c>
      <c r="AA43" s="6" t="s">
        <v>119</v>
      </c>
      <c r="AB43" s="6" t="s">
        <v>116</v>
      </c>
      <c r="AC43" s="6"/>
      <c r="AD43" s="6" t="s">
        <v>4</v>
      </c>
      <c r="AE43" s="6" t="s">
        <v>3</v>
      </c>
      <c r="AF43" s="6" t="s">
        <v>3</v>
      </c>
      <c r="AG43" s="6" t="s">
        <v>3</v>
      </c>
      <c r="AH43" s="6" t="s">
        <v>4</v>
      </c>
      <c r="AI43" s="6"/>
      <c r="AJ43" s="6" t="s">
        <v>11</v>
      </c>
      <c r="AK43" s="6" t="s">
        <v>3</v>
      </c>
      <c r="AL43" s="6" t="s">
        <v>4</v>
      </c>
      <c r="AM43" s="6" t="s">
        <v>11</v>
      </c>
      <c r="AN43" s="6"/>
      <c r="AO43" s="6" t="s">
        <v>6</v>
      </c>
      <c r="AP43" s="6" t="s">
        <v>11</v>
      </c>
      <c r="AQ43" s="6" t="s">
        <v>11</v>
      </c>
      <c r="AR43" s="6"/>
      <c r="AS43" s="6" t="s">
        <v>4</v>
      </c>
      <c r="AT43" s="6" t="s">
        <v>6</v>
      </c>
      <c r="AU43" s="6" t="s">
        <v>6</v>
      </c>
      <c r="AV43" s="6" t="s">
        <v>6</v>
      </c>
      <c r="AW43" s="6" t="s">
        <v>4</v>
      </c>
      <c r="AX43" s="6" t="s">
        <v>13</v>
      </c>
      <c r="AY43" s="6" t="s">
        <v>15</v>
      </c>
      <c r="AZ43" s="6" t="s">
        <v>4</v>
      </c>
      <c r="BA43" s="6" t="s">
        <v>4</v>
      </c>
      <c r="BB43" s="6" t="s">
        <v>4</v>
      </c>
      <c r="BC43" s="6" t="s">
        <v>13</v>
      </c>
      <c r="BD43" s="6" t="s">
        <v>13</v>
      </c>
      <c r="BE43" s="6"/>
      <c r="BF43" s="6" t="s">
        <v>3</v>
      </c>
      <c r="BG43" s="6" t="s">
        <v>3</v>
      </c>
      <c r="BH43" s="6" t="s">
        <v>16</v>
      </c>
      <c r="BI43" s="6"/>
      <c r="BJ43" s="6"/>
      <c r="BK43" s="6"/>
      <c r="BL43" s="6"/>
      <c r="BM43" s="6"/>
      <c r="BN43" s="6"/>
      <c r="BO43" s="7">
        <f>DATE(2026,3,9)+TIME(9,30,22)</f>
        <v>46090.39608796296</v>
      </c>
    </row>
    <row r="44" spans="1:67" ht="12.75">
      <c r="A44" s="2" t="s">
        <v>166</v>
      </c>
      <c r="B44" s="3"/>
      <c r="C44" s="3" t="s">
        <v>167</v>
      </c>
      <c r="D44" s="3" t="s">
        <v>2</v>
      </c>
      <c r="E44" s="3"/>
      <c r="F44" s="3" t="s">
        <v>3</v>
      </c>
      <c r="G44" s="3" t="s">
        <v>3</v>
      </c>
      <c r="H44" s="3" t="s">
        <v>3</v>
      </c>
      <c r="I44" s="3" t="s">
        <v>3</v>
      </c>
      <c r="J44" s="3" t="s">
        <v>55</v>
      </c>
      <c r="K44" s="3" t="s">
        <v>55</v>
      </c>
      <c r="L44" s="3" t="s">
        <v>4</v>
      </c>
      <c r="M44" s="3" t="s">
        <v>55</v>
      </c>
      <c r="N44" s="3" t="s">
        <v>6</v>
      </c>
      <c r="O44" s="3" t="s">
        <v>4</v>
      </c>
      <c r="P44" s="3" t="s">
        <v>4</v>
      </c>
      <c r="Q44" s="3" t="s">
        <v>7</v>
      </c>
      <c r="R44" s="3" t="s">
        <v>4</v>
      </c>
      <c r="S44" s="3" t="s">
        <v>4</v>
      </c>
      <c r="T44" s="3" t="s">
        <v>4</v>
      </c>
      <c r="U44" s="3" t="s">
        <v>4</v>
      </c>
      <c r="V44" s="3" t="s">
        <v>7</v>
      </c>
      <c r="W44" s="3" t="s">
        <v>4</v>
      </c>
      <c r="X44" s="3" t="s">
        <v>4</v>
      </c>
      <c r="Y44" s="3" t="s">
        <v>4</v>
      </c>
      <c r="Z44" s="3" t="s">
        <v>4</v>
      </c>
      <c r="AA44" s="3" t="s">
        <v>29</v>
      </c>
      <c r="AB44" s="3" t="s">
        <v>61</v>
      </c>
      <c r="AC44" s="3"/>
      <c r="AD44" s="3" t="s">
        <v>3</v>
      </c>
      <c r="AE44" s="3" t="s">
        <v>4</v>
      </c>
      <c r="AF44" s="3" t="s">
        <v>3</v>
      </c>
      <c r="AG44" s="3" t="s">
        <v>11</v>
      </c>
      <c r="AH44" s="3" t="s">
        <v>11</v>
      </c>
      <c r="AI44" s="3"/>
      <c r="AJ44" s="3" t="s">
        <v>54</v>
      </c>
      <c r="AK44" s="3" t="s">
        <v>4</v>
      </c>
      <c r="AL44" s="3" t="s">
        <v>3</v>
      </c>
      <c r="AM44" s="3" t="s">
        <v>3</v>
      </c>
      <c r="AN44" s="3"/>
      <c r="AO44" s="3" t="s">
        <v>3</v>
      </c>
      <c r="AP44" s="3" t="s">
        <v>4</v>
      </c>
      <c r="AQ44" s="3" t="s">
        <v>4</v>
      </c>
      <c r="AR44" s="3"/>
      <c r="AS44" s="3" t="s">
        <v>4</v>
      </c>
      <c r="AT44" s="3" t="s">
        <v>6</v>
      </c>
      <c r="AU44" s="3" t="s">
        <v>6</v>
      </c>
      <c r="AV44" s="3" t="s">
        <v>4</v>
      </c>
      <c r="AW44" s="3" t="s">
        <v>13</v>
      </c>
      <c r="AX44" s="3" t="s">
        <v>13</v>
      </c>
      <c r="AY44" s="3" t="s">
        <v>13</v>
      </c>
      <c r="AZ44" s="3" t="s">
        <v>4</v>
      </c>
      <c r="BA44" s="3" t="s">
        <v>4</v>
      </c>
      <c r="BB44" s="3" t="s">
        <v>6</v>
      </c>
      <c r="BC44" s="3" t="s">
        <v>6</v>
      </c>
      <c r="BD44" s="3" t="s">
        <v>4</v>
      </c>
      <c r="BE44" s="3"/>
      <c r="BF44" s="3" t="s">
        <v>4</v>
      </c>
      <c r="BG44" s="3" t="s">
        <v>11</v>
      </c>
      <c r="BH44" s="3" t="s">
        <v>16</v>
      </c>
      <c r="BI44" s="3"/>
      <c r="BJ44" s="3"/>
      <c r="BK44" s="3"/>
      <c r="BL44" s="3"/>
      <c r="BM44" s="3"/>
      <c r="BN44" s="3"/>
      <c r="BO44" s="4">
        <f>DATE(2026,4,7)+TIME(13,54,55)</f>
        <v>46119.57980324074</v>
      </c>
    </row>
    <row r="45" spans="1:67" ht="12.75">
      <c r="A45" s="5" t="s">
        <v>168</v>
      </c>
      <c r="B45" s="6"/>
      <c r="C45" s="6" t="s">
        <v>169</v>
      </c>
      <c r="D45" s="6" t="s">
        <v>19</v>
      </c>
      <c r="E45" s="6"/>
      <c r="F45" s="6" t="s">
        <v>11</v>
      </c>
      <c r="G45" s="6" t="s">
        <v>3</v>
      </c>
      <c r="H45" s="6" t="s">
        <v>12</v>
      </c>
      <c r="I45" s="6" t="s">
        <v>12</v>
      </c>
      <c r="J45" s="6" t="s">
        <v>20</v>
      </c>
      <c r="K45" s="6" t="s">
        <v>20</v>
      </c>
      <c r="L45" s="6" t="s">
        <v>6</v>
      </c>
      <c r="M45" s="6" t="s">
        <v>6</v>
      </c>
      <c r="N45" s="6" t="s">
        <v>20</v>
      </c>
      <c r="O45" s="6" t="s">
        <v>20</v>
      </c>
      <c r="P45" s="6" t="s">
        <v>20</v>
      </c>
      <c r="Q45" s="6" t="s">
        <v>7</v>
      </c>
      <c r="R45" s="6" t="s">
        <v>4</v>
      </c>
      <c r="S45" s="6" t="s">
        <v>7</v>
      </c>
      <c r="T45" s="6" t="s">
        <v>7</v>
      </c>
      <c r="U45" s="6" t="s">
        <v>7</v>
      </c>
      <c r="V45" s="6" t="s">
        <v>7</v>
      </c>
      <c r="W45" s="6" t="s">
        <v>21</v>
      </c>
      <c r="X45" s="6" t="s">
        <v>7</v>
      </c>
      <c r="Y45" s="6" t="s">
        <v>7</v>
      </c>
      <c r="Z45" s="6" t="s">
        <v>4</v>
      </c>
      <c r="AA45" s="6" t="s">
        <v>170</v>
      </c>
      <c r="AB45" s="6" t="s">
        <v>171</v>
      </c>
      <c r="AC45" s="6"/>
      <c r="AD45" s="6" t="s">
        <v>3</v>
      </c>
      <c r="AE45" s="6" t="s">
        <v>11</v>
      </c>
      <c r="AF45" s="6" t="s">
        <v>3</v>
      </c>
      <c r="AG45" s="6" t="s">
        <v>6</v>
      </c>
      <c r="AH45" s="6" t="s">
        <v>3</v>
      </c>
      <c r="AI45" s="6"/>
      <c r="AJ45" s="6" t="s">
        <v>3</v>
      </c>
      <c r="AK45" s="6" t="s">
        <v>3</v>
      </c>
      <c r="AL45" s="6" t="s">
        <v>3</v>
      </c>
      <c r="AM45" s="6" t="s">
        <v>6</v>
      </c>
      <c r="AN45" s="6"/>
      <c r="AO45" s="6" t="s">
        <v>6</v>
      </c>
      <c r="AP45" s="6" t="s">
        <v>11</v>
      </c>
      <c r="AQ45" s="6" t="s">
        <v>3</v>
      </c>
      <c r="AR45" s="6"/>
      <c r="AS45" s="6" t="s">
        <v>4</v>
      </c>
      <c r="AT45" s="6" t="s">
        <v>4</v>
      </c>
      <c r="AU45" s="6" t="s">
        <v>4</v>
      </c>
      <c r="AV45" s="6" t="s">
        <v>4</v>
      </c>
      <c r="AW45" s="6" t="s">
        <v>13</v>
      </c>
      <c r="AX45" s="6" t="s">
        <v>13</v>
      </c>
      <c r="AY45" s="6" t="s">
        <v>14</v>
      </c>
      <c r="AZ45" s="6" t="s">
        <v>4</v>
      </c>
      <c r="BA45" s="6" t="s">
        <v>14</v>
      </c>
      <c r="BB45" s="6" t="s">
        <v>4</v>
      </c>
      <c r="BC45" s="6" t="s">
        <v>15</v>
      </c>
      <c r="BD45" s="6" t="s">
        <v>14</v>
      </c>
      <c r="BE45" s="6"/>
      <c r="BF45" s="6" t="s">
        <v>6</v>
      </c>
      <c r="BG45" s="6" t="s">
        <v>6</v>
      </c>
      <c r="BH45" s="6" t="s">
        <v>16</v>
      </c>
      <c r="BI45" s="6"/>
      <c r="BJ45" s="6"/>
      <c r="BK45" s="6"/>
      <c r="BL45" s="6"/>
      <c r="BM45" s="6"/>
      <c r="BN45" s="6"/>
      <c r="BO45" s="7">
        <f>DATE(2026,4,1)+TIME(9,2,16)</f>
        <v>46113.37657407407</v>
      </c>
    </row>
    <row r="46" spans="1:67" ht="12.75">
      <c r="A46" s="2" t="s">
        <v>172</v>
      </c>
      <c r="B46" s="3"/>
      <c r="C46" s="3" t="s">
        <v>173</v>
      </c>
      <c r="D46" s="3" t="s">
        <v>2</v>
      </c>
      <c r="E46" s="3"/>
      <c r="F46" s="3" t="s">
        <v>3</v>
      </c>
      <c r="G46" s="3" t="s">
        <v>6</v>
      </c>
      <c r="H46" s="3" t="s">
        <v>3</v>
      </c>
      <c r="I46" s="3" t="s">
        <v>3</v>
      </c>
      <c r="J46" s="3" t="s">
        <v>20</v>
      </c>
      <c r="K46" s="3" t="s">
        <v>5</v>
      </c>
      <c r="L46" s="3" t="s">
        <v>4</v>
      </c>
      <c r="M46" s="3" t="s">
        <v>4</v>
      </c>
      <c r="N46" s="3" t="s">
        <v>37</v>
      </c>
      <c r="O46" s="3" t="s">
        <v>4</v>
      </c>
      <c r="P46" s="3" t="s">
        <v>5</v>
      </c>
      <c r="Q46" s="3" t="s">
        <v>6</v>
      </c>
      <c r="R46" s="3" t="s">
        <v>6</v>
      </c>
      <c r="S46" s="3" t="s">
        <v>6</v>
      </c>
      <c r="T46" s="3" t="s">
        <v>6</v>
      </c>
      <c r="U46" s="3" t="s">
        <v>6</v>
      </c>
      <c r="V46" s="3" t="s">
        <v>6</v>
      </c>
      <c r="W46" s="3" t="s">
        <v>6</v>
      </c>
      <c r="X46" s="3" t="s">
        <v>6</v>
      </c>
      <c r="Y46" s="3" t="s">
        <v>6</v>
      </c>
      <c r="Z46" s="3" t="s">
        <v>6</v>
      </c>
      <c r="AA46" s="3" t="s">
        <v>6</v>
      </c>
      <c r="AB46" s="3" t="s">
        <v>174</v>
      </c>
      <c r="AC46" s="3"/>
      <c r="AD46" s="3" t="s">
        <v>3</v>
      </c>
      <c r="AE46" s="3" t="s">
        <v>12</v>
      </c>
      <c r="AF46" s="3" t="s">
        <v>11</v>
      </c>
      <c r="AG46" s="3" t="s">
        <v>6</v>
      </c>
      <c r="AH46" s="3" t="s">
        <v>3</v>
      </c>
      <c r="AI46" s="3"/>
      <c r="AJ46" s="3" t="s">
        <v>12</v>
      </c>
      <c r="AK46" s="3" t="s">
        <v>3</v>
      </c>
      <c r="AL46" s="3" t="s">
        <v>11</v>
      </c>
      <c r="AM46" s="3" t="s">
        <v>3</v>
      </c>
      <c r="AN46" s="3"/>
      <c r="AO46" s="3" t="s">
        <v>3</v>
      </c>
      <c r="AP46" s="3" t="s">
        <v>3</v>
      </c>
      <c r="AQ46" s="3" t="s">
        <v>4</v>
      </c>
      <c r="AR46" s="3"/>
      <c r="AS46" s="3" t="s">
        <v>15</v>
      </c>
      <c r="AT46" s="3" t="s">
        <v>13</v>
      </c>
      <c r="AU46" s="3" t="s">
        <v>4</v>
      </c>
      <c r="AV46" s="3" t="s">
        <v>13</v>
      </c>
      <c r="AW46" s="3" t="s">
        <v>13</v>
      </c>
      <c r="AX46" s="3" t="s">
        <v>4</v>
      </c>
      <c r="AY46" s="3" t="s">
        <v>4</v>
      </c>
      <c r="AZ46" s="3" t="s">
        <v>4</v>
      </c>
      <c r="BA46" s="3" t="s">
        <v>13</v>
      </c>
      <c r="BB46" s="3" t="s">
        <v>13</v>
      </c>
      <c r="BC46" s="3" t="s">
        <v>15</v>
      </c>
      <c r="BD46" s="3" t="s">
        <v>15</v>
      </c>
      <c r="BE46" s="3"/>
      <c r="BF46" s="3" t="s">
        <v>6</v>
      </c>
      <c r="BG46" s="3" t="s">
        <v>6</v>
      </c>
      <c r="BH46" s="3" t="s">
        <v>16</v>
      </c>
      <c r="BI46" s="3"/>
      <c r="BJ46" s="3"/>
      <c r="BK46" s="3"/>
      <c r="BL46" s="3"/>
      <c r="BM46" s="3"/>
      <c r="BN46" s="3"/>
      <c r="BO46" s="4">
        <f>DATE(2026,3,9)+TIME(10,43,50)</f>
        <v>46090.44710648148</v>
      </c>
    </row>
    <row r="47" spans="1:67" ht="12.75">
      <c r="A47" s="5" t="s">
        <v>175</v>
      </c>
      <c r="B47" s="6"/>
      <c r="C47" s="6" t="s">
        <v>176</v>
      </c>
      <c r="D47" s="6" t="s">
        <v>19</v>
      </c>
      <c r="E47" s="6"/>
      <c r="F47" s="6" t="s">
        <v>3</v>
      </c>
      <c r="G47" s="6" t="s">
        <v>3</v>
      </c>
      <c r="H47" s="6" t="s">
        <v>11</v>
      </c>
      <c r="I47" s="6" t="s">
        <v>3</v>
      </c>
      <c r="J47" s="6" t="s">
        <v>20</v>
      </c>
      <c r="K47" s="6" t="s">
        <v>20</v>
      </c>
      <c r="L47" s="6" t="s">
        <v>6</v>
      </c>
      <c r="M47" s="6" t="s">
        <v>6</v>
      </c>
      <c r="N47" s="6" t="s">
        <v>6</v>
      </c>
      <c r="O47" s="6" t="s">
        <v>20</v>
      </c>
      <c r="P47" s="6" t="s">
        <v>20</v>
      </c>
      <c r="Q47" s="6" t="s">
        <v>8</v>
      </c>
      <c r="R47" s="6" t="s">
        <v>28</v>
      </c>
      <c r="S47" s="6" t="s">
        <v>8</v>
      </c>
      <c r="T47" s="6" t="s">
        <v>8</v>
      </c>
      <c r="U47" s="6" t="s">
        <v>8</v>
      </c>
      <c r="V47" s="6" t="s">
        <v>8</v>
      </c>
      <c r="W47" s="6" t="s">
        <v>8</v>
      </c>
      <c r="X47" s="6" t="s">
        <v>8</v>
      </c>
      <c r="Y47" s="6" t="s">
        <v>8</v>
      </c>
      <c r="Z47" s="6" t="s">
        <v>28</v>
      </c>
      <c r="AA47" s="6" t="s">
        <v>177</v>
      </c>
      <c r="AB47" s="6" t="s">
        <v>61</v>
      </c>
      <c r="AC47" s="6"/>
      <c r="AD47" s="6" t="s">
        <v>4</v>
      </c>
      <c r="AE47" s="6" t="s">
        <v>11</v>
      </c>
      <c r="AF47" s="6" t="s">
        <v>3</v>
      </c>
      <c r="AG47" s="6" t="s">
        <v>4</v>
      </c>
      <c r="AH47" s="6" t="s">
        <v>11</v>
      </c>
      <c r="AI47" s="6"/>
      <c r="AJ47" s="6" t="s">
        <v>11</v>
      </c>
      <c r="AK47" s="6" t="s">
        <v>3</v>
      </c>
      <c r="AL47" s="6" t="s">
        <v>6</v>
      </c>
      <c r="AM47" s="6" t="s">
        <v>6</v>
      </c>
      <c r="AN47" s="6"/>
      <c r="AO47" s="6" t="s">
        <v>6</v>
      </c>
      <c r="AP47" s="6" t="s">
        <v>3</v>
      </c>
      <c r="AQ47" s="6" t="s">
        <v>11</v>
      </c>
      <c r="AR47" s="6"/>
      <c r="AS47" s="6" t="s">
        <v>6</v>
      </c>
      <c r="AT47" s="6" t="s">
        <v>6</v>
      </c>
      <c r="AU47" s="6" t="s">
        <v>13</v>
      </c>
      <c r="AV47" s="6" t="s">
        <v>6</v>
      </c>
      <c r="AW47" s="6" t="s">
        <v>13</v>
      </c>
      <c r="AX47" s="6" t="s">
        <v>6</v>
      </c>
      <c r="AY47" s="6" t="s">
        <v>13</v>
      </c>
      <c r="AZ47" s="6" t="s">
        <v>4</v>
      </c>
      <c r="BA47" s="6" t="s">
        <v>4</v>
      </c>
      <c r="BB47" s="6" t="s">
        <v>4</v>
      </c>
      <c r="BC47" s="6" t="s">
        <v>4</v>
      </c>
      <c r="BD47" s="6" t="s">
        <v>4</v>
      </c>
      <c r="BE47" s="6"/>
      <c r="BF47" s="6" t="s">
        <v>6</v>
      </c>
      <c r="BG47" s="6" t="s">
        <v>6</v>
      </c>
      <c r="BH47" s="6" t="s">
        <v>16</v>
      </c>
      <c r="BI47" s="6"/>
      <c r="BJ47" s="6"/>
      <c r="BK47" s="6"/>
      <c r="BL47" s="6"/>
      <c r="BM47" s="6"/>
      <c r="BN47" s="6"/>
      <c r="BO47" s="7">
        <f>DATE(2026,4,1)+TIME(6,29,14)</f>
        <v>46113.27030092593</v>
      </c>
    </row>
    <row r="48" spans="1:67" ht="12.75">
      <c r="A48" s="2" t="s">
        <v>178</v>
      </c>
      <c r="B48" s="3"/>
      <c r="C48" s="3" t="s">
        <v>179</v>
      </c>
      <c r="D48" s="3" t="s">
        <v>19</v>
      </c>
      <c r="E48" s="3"/>
      <c r="F48" s="3" t="s">
        <v>12</v>
      </c>
      <c r="G48" s="3" t="s">
        <v>12</v>
      </c>
      <c r="H48" s="3" t="s">
        <v>12</v>
      </c>
      <c r="I48" s="3" t="s">
        <v>12</v>
      </c>
      <c r="J48" s="3" t="s">
        <v>20</v>
      </c>
      <c r="K48" s="3" t="s">
        <v>20</v>
      </c>
      <c r="L48" s="3" t="s">
        <v>20</v>
      </c>
      <c r="M48" s="3" t="s">
        <v>20</v>
      </c>
      <c r="N48" s="3" t="s">
        <v>20</v>
      </c>
      <c r="O48" s="3" t="s">
        <v>20</v>
      </c>
      <c r="P48" s="3" t="s">
        <v>6</v>
      </c>
      <c r="Q48" s="3" t="s">
        <v>7</v>
      </c>
      <c r="R48" s="3" t="s">
        <v>7</v>
      </c>
      <c r="S48" s="3" t="s">
        <v>21</v>
      </c>
      <c r="T48" s="3" t="s">
        <v>8</v>
      </c>
      <c r="U48" s="3" t="s">
        <v>7</v>
      </c>
      <c r="V48" s="3" t="s">
        <v>21</v>
      </c>
      <c r="W48" s="3" t="s">
        <v>21</v>
      </c>
      <c r="X48" s="3" t="s">
        <v>21</v>
      </c>
      <c r="Y48" s="3" t="s">
        <v>4</v>
      </c>
      <c r="Z48" s="3" t="s">
        <v>21</v>
      </c>
      <c r="AA48" s="3" t="s">
        <v>33</v>
      </c>
      <c r="AB48" s="3" t="s">
        <v>180</v>
      </c>
      <c r="AC48" s="3"/>
      <c r="AD48" s="3" t="s">
        <v>3</v>
      </c>
      <c r="AE48" s="3" t="s">
        <v>3</v>
      </c>
      <c r="AF48" s="3" t="s">
        <v>3</v>
      </c>
      <c r="AG48" s="3" t="s">
        <v>3</v>
      </c>
      <c r="AH48" s="3" t="s">
        <v>3</v>
      </c>
      <c r="AI48" s="3"/>
      <c r="AJ48" s="3" t="s">
        <v>11</v>
      </c>
      <c r="AK48" s="3" t="s">
        <v>3</v>
      </c>
      <c r="AL48" s="3" t="s">
        <v>12</v>
      </c>
      <c r="AM48" s="3" t="s">
        <v>11</v>
      </c>
      <c r="AN48" s="3"/>
      <c r="AO48" s="3" t="s">
        <v>11</v>
      </c>
      <c r="AP48" s="3" t="s">
        <v>11</v>
      </c>
      <c r="AQ48" s="3" t="s">
        <v>12</v>
      </c>
      <c r="AR48" s="3"/>
      <c r="AS48" s="3" t="s">
        <v>6</v>
      </c>
      <c r="AT48" s="3" t="s">
        <v>6</v>
      </c>
      <c r="AU48" s="3" t="s">
        <v>6</v>
      </c>
      <c r="AV48" s="3" t="s">
        <v>6</v>
      </c>
      <c r="AW48" s="3" t="s">
        <v>15</v>
      </c>
      <c r="AX48" s="3" t="s">
        <v>15</v>
      </c>
      <c r="AY48" s="3" t="s">
        <v>15</v>
      </c>
      <c r="AZ48" s="3" t="s">
        <v>15</v>
      </c>
      <c r="BA48" s="3" t="s">
        <v>15</v>
      </c>
      <c r="BB48" s="3" t="s">
        <v>6</v>
      </c>
      <c r="BC48" s="3" t="s">
        <v>6</v>
      </c>
      <c r="BD48" s="3" t="s">
        <v>15</v>
      </c>
      <c r="BE48" s="3"/>
      <c r="BF48" s="3" t="s">
        <v>54</v>
      </c>
      <c r="BG48" s="3" t="s">
        <v>54</v>
      </c>
      <c r="BH48" s="3" t="s">
        <v>24</v>
      </c>
      <c r="BI48" s="3" t="s">
        <v>181</v>
      </c>
      <c r="BJ48" s="3" t="s">
        <v>15</v>
      </c>
      <c r="BK48" s="3" t="s">
        <v>15</v>
      </c>
      <c r="BL48" s="3" t="s">
        <v>4</v>
      </c>
      <c r="BM48" s="3" t="s">
        <v>3</v>
      </c>
      <c r="BN48" s="3" t="s">
        <v>3</v>
      </c>
      <c r="BO48" s="4">
        <f>DATE(2026,3,31)+TIME(16,5,1)</f>
        <v>46112.67015046296</v>
      </c>
    </row>
    <row r="49" spans="1:67" ht="12.75">
      <c r="A49" s="5" t="s">
        <v>182</v>
      </c>
      <c r="B49" s="6"/>
      <c r="C49" s="6" t="s">
        <v>122</v>
      </c>
      <c r="D49" s="6" t="s">
        <v>2</v>
      </c>
      <c r="E49" s="6"/>
      <c r="F49" s="6" t="s">
        <v>3</v>
      </c>
      <c r="G49" s="6" t="s">
        <v>3</v>
      </c>
      <c r="H49" s="6" t="s">
        <v>3</v>
      </c>
      <c r="I49" s="6" t="s">
        <v>12</v>
      </c>
      <c r="J49" s="6" t="s">
        <v>20</v>
      </c>
      <c r="K49" s="6" t="s">
        <v>5</v>
      </c>
      <c r="L49" s="6" t="s">
        <v>5</v>
      </c>
      <c r="M49" s="6" t="s">
        <v>5</v>
      </c>
      <c r="N49" s="6" t="s">
        <v>5</v>
      </c>
      <c r="O49" s="6" t="s">
        <v>5</v>
      </c>
      <c r="P49" s="6" t="s">
        <v>20</v>
      </c>
      <c r="Q49" s="6" t="s">
        <v>4</v>
      </c>
      <c r="R49" s="6" t="s">
        <v>4</v>
      </c>
      <c r="S49" s="6" t="s">
        <v>4</v>
      </c>
      <c r="T49" s="6" t="s">
        <v>8</v>
      </c>
      <c r="U49" s="6" t="s">
        <v>4</v>
      </c>
      <c r="V49" s="6" t="s">
        <v>4</v>
      </c>
      <c r="W49" s="6" t="s">
        <v>4</v>
      </c>
      <c r="X49" s="6" t="s">
        <v>8</v>
      </c>
      <c r="Y49" s="6" t="s">
        <v>8</v>
      </c>
      <c r="Z49" s="6" t="s">
        <v>8</v>
      </c>
      <c r="AA49" s="6" t="s">
        <v>56</v>
      </c>
      <c r="AB49" s="6" t="s">
        <v>183</v>
      </c>
      <c r="AC49" s="6"/>
      <c r="AD49" s="6" t="s">
        <v>6</v>
      </c>
      <c r="AE49" s="6" t="s">
        <v>3</v>
      </c>
      <c r="AF49" s="6" t="s">
        <v>3</v>
      </c>
      <c r="AG49" s="6" t="s">
        <v>11</v>
      </c>
      <c r="AH49" s="6" t="s">
        <v>4</v>
      </c>
      <c r="AI49" s="6"/>
      <c r="AJ49" s="6" t="s">
        <v>3</v>
      </c>
      <c r="AK49" s="6" t="s">
        <v>3</v>
      </c>
      <c r="AL49" s="6" t="s">
        <v>4</v>
      </c>
      <c r="AM49" s="6" t="s">
        <v>4</v>
      </c>
      <c r="AN49" s="6"/>
      <c r="AO49" s="6" t="s">
        <v>3</v>
      </c>
      <c r="AP49" s="6" t="s">
        <v>3</v>
      </c>
      <c r="AQ49" s="6" t="s">
        <v>3</v>
      </c>
      <c r="AR49" s="6"/>
      <c r="AS49" s="6" t="s">
        <v>13</v>
      </c>
      <c r="AT49" s="6" t="s">
        <v>6</v>
      </c>
      <c r="AU49" s="6" t="s">
        <v>6</v>
      </c>
      <c r="AV49" s="6" t="s">
        <v>13</v>
      </c>
      <c r="AW49" s="6" t="s">
        <v>13</v>
      </c>
      <c r="AX49" s="6" t="s">
        <v>13</v>
      </c>
      <c r="AY49" s="6" t="s">
        <v>13</v>
      </c>
      <c r="AZ49" s="6" t="s">
        <v>6</v>
      </c>
      <c r="BA49" s="6" t="s">
        <v>4</v>
      </c>
      <c r="BB49" s="6" t="s">
        <v>6</v>
      </c>
      <c r="BC49" s="6" t="s">
        <v>13</v>
      </c>
      <c r="BD49" s="6" t="s">
        <v>13</v>
      </c>
      <c r="BE49" s="6"/>
      <c r="BF49" s="6" t="s">
        <v>3</v>
      </c>
      <c r="BG49" s="6" t="s">
        <v>3</v>
      </c>
      <c r="BH49" s="6" t="s">
        <v>16</v>
      </c>
      <c r="BI49" s="6"/>
      <c r="BJ49" s="6"/>
      <c r="BK49" s="6"/>
      <c r="BL49" s="6"/>
      <c r="BM49" s="6"/>
      <c r="BN49" s="6"/>
      <c r="BO49" s="7">
        <f>DATE(2026,4,9)+TIME(0,27,1)</f>
        <v>46121.01876157407</v>
      </c>
    </row>
    <row r="50" spans="1:67" ht="12.75">
      <c r="A50" s="2" t="s">
        <v>184</v>
      </c>
      <c r="B50" s="3"/>
      <c r="C50" s="3" t="s">
        <v>185</v>
      </c>
      <c r="D50" s="3" t="s">
        <v>2</v>
      </c>
      <c r="E50" s="3"/>
      <c r="F50" s="3" t="s">
        <v>3</v>
      </c>
      <c r="G50" s="3" t="s">
        <v>4</v>
      </c>
      <c r="H50" s="3" t="s">
        <v>11</v>
      </c>
      <c r="I50" s="3" t="s">
        <v>4</v>
      </c>
      <c r="J50" s="3" t="s">
        <v>5</v>
      </c>
      <c r="K50" s="3" t="s">
        <v>20</v>
      </c>
      <c r="L50" s="3" t="s">
        <v>4</v>
      </c>
      <c r="M50" s="3" t="s">
        <v>5</v>
      </c>
      <c r="N50" s="3" t="s">
        <v>5</v>
      </c>
      <c r="O50" s="3" t="s">
        <v>5</v>
      </c>
      <c r="P50" s="3" t="s">
        <v>20</v>
      </c>
      <c r="Q50" s="3" t="s">
        <v>28</v>
      </c>
      <c r="R50" s="3" t="s">
        <v>28</v>
      </c>
      <c r="S50" s="3" t="s">
        <v>28</v>
      </c>
      <c r="T50" s="3" t="s">
        <v>28</v>
      </c>
      <c r="U50" s="3" t="s">
        <v>8</v>
      </c>
      <c r="V50" s="3" t="s">
        <v>8</v>
      </c>
      <c r="W50" s="3" t="s">
        <v>8</v>
      </c>
      <c r="X50" s="3" t="s">
        <v>8</v>
      </c>
      <c r="Y50" s="3" t="s">
        <v>28</v>
      </c>
      <c r="Z50" s="3" t="s">
        <v>28</v>
      </c>
      <c r="AA50" s="3" t="s">
        <v>56</v>
      </c>
      <c r="AB50" s="3" t="s">
        <v>92</v>
      </c>
      <c r="AC50" s="3"/>
      <c r="AD50" s="3" t="s">
        <v>4</v>
      </c>
      <c r="AE50" s="3" t="s">
        <v>11</v>
      </c>
      <c r="AF50" s="3" t="s">
        <v>12</v>
      </c>
      <c r="AG50" s="3" t="s">
        <v>3</v>
      </c>
      <c r="AH50" s="3" t="s">
        <v>3</v>
      </c>
      <c r="AI50" s="3"/>
      <c r="AJ50" s="3" t="s">
        <v>11</v>
      </c>
      <c r="AK50" s="3" t="s">
        <v>4</v>
      </c>
      <c r="AL50" s="3" t="s">
        <v>11</v>
      </c>
      <c r="AM50" s="3" t="s">
        <v>4</v>
      </c>
      <c r="AN50" s="3"/>
      <c r="AO50" s="3" t="s">
        <v>3</v>
      </c>
      <c r="AP50" s="3" t="s">
        <v>3</v>
      </c>
      <c r="AQ50" s="3" t="s">
        <v>3</v>
      </c>
      <c r="AR50" s="3"/>
      <c r="AS50" s="3" t="s">
        <v>15</v>
      </c>
      <c r="AT50" s="3" t="s">
        <v>15</v>
      </c>
      <c r="AU50" s="3" t="s">
        <v>15</v>
      </c>
      <c r="AV50" s="3" t="s">
        <v>13</v>
      </c>
      <c r="AW50" s="3" t="s">
        <v>15</v>
      </c>
      <c r="AX50" s="3" t="s">
        <v>15</v>
      </c>
      <c r="AY50" s="3" t="s">
        <v>4</v>
      </c>
      <c r="AZ50" s="3" t="s">
        <v>4</v>
      </c>
      <c r="BA50" s="3" t="s">
        <v>13</v>
      </c>
      <c r="BB50" s="3" t="s">
        <v>4</v>
      </c>
      <c r="BC50" s="3" t="s">
        <v>13</v>
      </c>
      <c r="BD50" s="3" t="s">
        <v>13</v>
      </c>
      <c r="BE50" s="3"/>
      <c r="BF50" s="3" t="s">
        <v>4</v>
      </c>
      <c r="BG50" s="3" t="s">
        <v>4</v>
      </c>
      <c r="BH50" s="3" t="s">
        <v>16</v>
      </c>
      <c r="BI50" s="3"/>
      <c r="BJ50" s="3"/>
      <c r="BK50" s="3"/>
      <c r="BL50" s="3"/>
      <c r="BM50" s="3"/>
      <c r="BN50" s="3"/>
      <c r="BO50" s="4">
        <f>DATE(2026,3,27)+TIME(20,46,50)</f>
        <v>46108.86585648148</v>
      </c>
    </row>
    <row r="51" spans="1:67" ht="12.75">
      <c r="A51" s="5" t="s">
        <v>186</v>
      </c>
      <c r="B51" s="6"/>
      <c r="C51" s="6" t="s">
        <v>187</v>
      </c>
      <c r="D51" s="6" t="s">
        <v>2</v>
      </c>
      <c r="E51" s="6"/>
      <c r="F51" s="6" t="s">
        <v>4</v>
      </c>
      <c r="G51" s="6" t="s">
        <v>3</v>
      </c>
      <c r="H51" s="6" t="s">
        <v>3</v>
      </c>
      <c r="I51" s="6" t="s">
        <v>12</v>
      </c>
      <c r="J51" s="6" t="s">
        <v>20</v>
      </c>
      <c r="K51" s="6" t="s">
        <v>5</v>
      </c>
      <c r="L51" s="6" t="s">
        <v>5</v>
      </c>
      <c r="M51" s="6" t="s">
        <v>5</v>
      </c>
      <c r="N51" s="6" t="s">
        <v>20</v>
      </c>
      <c r="O51" s="6" t="s">
        <v>5</v>
      </c>
      <c r="P51" s="6" t="s">
        <v>5</v>
      </c>
      <c r="Q51" s="6" t="s">
        <v>4</v>
      </c>
      <c r="R51" s="6" t="s">
        <v>7</v>
      </c>
      <c r="S51" s="6" t="s">
        <v>8</v>
      </c>
      <c r="T51" s="6" t="s">
        <v>28</v>
      </c>
      <c r="U51" s="6" t="s">
        <v>8</v>
      </c>
      <c r="V51" s="6" t="s">
        <v>8</v>
      </c>
      <c r="W51" s="6" t="s">
        <v>4</v>
      </c>
      <c r="X51" s="6" t="s">
        <v>4</v>
      </c>
      <c r="Y51" s="6" t="s">
        <v>21</v>
      </c>
      <c r="Z51" s="6" t="s">
        <v>7</v>
      </c>
      <c r="AA51" s="6" t="s">
        <v>147</v>
      </c>
      <c r="AB51" s="6" t="s">
        <v>188</v>
      </c>
      <c r="AC51" s="6"/>
      <c r="AD51" s="6" t="s">
        <v>3</v>
      </c>
      <c r="AE51" s="6" t="s">
        <v>4</v>
      </c>
      <c r="AF51" s="6" t="s">
        <v>3</v>
      </c>
      <c r="AG51" s="6" t="s">
        <v>4</v>
      </c>
      <c r="AH51" s="6" t="s">
        <v>4</v>
      </c>
      <c r="AI51" s="6"/>
      <c r="AJ51" s="6" t="s">
        <v>4</v>
      </c>
      <c r="AK51" s="6" t="s">
        <v>4</v>
      </c>
      <c r="AL51" s="6" t="s">
        <v>3</v>
      </c>
      <c r="AM51" s="6" t="s">
        <v>6</v>
      </c>
      <c r="AN51" s="6"/>
      <c r="AO51" s="6" t="s">
        <v>6</v>
      </c>
      <c r="AP51" s="6" t="s">
        <v>4</v>
      </c>
      <c r="AQ51" s="6" t="s">
        <v>3</v>
      </c>
      <c r="AR51" s="6"/>
      <c r="AS51" s="6" t="s">
        <v>13</v>
      </c>
      <c r="AT51" s="6" t="s">
        <v>6</v>
      </c>
      <c r="AU51" s="6" t="s">
        <v>6</v>
      </c>
      <c r="AV51" s="6" t="s">
        <v>6</v>
      </c>
      <c r="AW51" s="6" t="s">
        <v>15</v>
      </c>
      <c r="AX51" s="6" t="s">
        <v>13</v>
      </c>
      <c r="AY51" s="6" t="s">
        <v>13</v>
      </c>
      <c r="AZ51" s="6" t="s">
        <v>4</v>
      </c>
      <c r="BA51" s="6" t="s">
        <v>13</v>
      </c>
      <c r="BB51" s="6" t="s">
        <v>4</v>
      </c>
      <c r="BC51" s="6" t="s">
        <v>13</v>
      </c>
      <c r="BD51" s="6" t="s">
        <v>4</v>
      </c>
      <c r="BE51" s="6"/>
      <c r="BF51" s="6" t="s">
        <v>6</v>
      </c>
      <c r="BG51" s="6" t="s">
        <v>6</v>
      </c>
      <c r="BH51" s="6" t="s">
        <v>16</v>
      </c>
      <c r="BI51" s="6"/>
      <c r="BJ51" s="6"/>
      <c r="BK51" s="6"/>
      <c r="BL51" s="6"/>
      <c r="BM51" s="6"/>
      <c r="BN51" s="6"/>
      <c r="BO51" s="7">
        <f>DATE(2026,3,31)+TIME(9,3,33)</f>
        <v>46112.37746527778</v>
      </c>
    </row>
    <row r="52" spans="1:67" ht="12.75">
      <c r="A52" s="2" t="s">
        <v>189</v>
      </c>
      <c r="B52" s="3"/>
      <c r="C52" s="3" t="s">
        <v>181</v>
      </c>
      <c r="D52" s="3" t="s">
        <v>27</v>
      </c>
      <c r="E52" s="3"/>
      <c r="F52" s="3" t="s">
        <v>4</v>
      </c>
      <c r="G52" s="3" t="s">
        <v>11</v>
      </c>
      <c r="H52" s="3" t="s">
        <v>11</v>
      </c>
      <c r="I52" s="3" t="s">
        <v>3</v>
      </c>
      <c r="J52" s="3" t="s">
        <v>4</v>
      </c>
      <c r="K52" s="3" t="s">
        <v>4</v>
      </c>
      <c r="L52" s="3" t="s">
        <v>4</v>
      </c>
      <c r="M52" s="3" t="s">
        <v>5</v>
      </c>
      <c r="N52" s="3" t="s">
        <v>4</v>
      </c>
      <c r="O52" s="3" t="s">
        <v>55</v>
      </c>
      <c r="P52" s="3" t="s">
        <v>55</v>
      </c>
      <c r="Q52" s="3" t="s">
        <v>8</v>
      </c>
      <c r="R52" s="3" t="s">
        <v>8</v>
      </c>
      <c r="S52" s="3" t="s">
        <v>6</v>
      </c>
      <c r="T52" s="3" t="s">
        <v>8</v>
      </c>
      <c r="U52" s="3" t="s">
        <v>28</v>
      </c>
      <c r="V52" s="3" t="s">
        <v>28</v>
      </c>
      <c r="W52" s="3" t="s">
        <v>6</v>
      </c>
      <c r="X52" s="3" t="s">
        <v>6</v>
      </c>
      <c r="Y52" s="3" t="s">
        <v>6</v>
      </c>
      <c r="Z52" s="3" t="s">
        <v>28</v>
      </c>
      <c r="AA52" s="3" t="s">
        <v>69</v>
      </c>
      <c r="AB52" s="3" t="s">
        <v>190</v>
      </c>
      <c r="AC52" s="3"/>
      <c r="AD52" s="3" t="s">
        <v>3</v>
      </c>
      <c r="AE52" s="3" t="s">
        <v>11</v>
      </c>
      <c r="AF52" s="3" t="s">
        <v>11</v>
      </c>
      <c r="AG52" s="3" t="s">
        <v>11</v>
      </c>
      <c r="AH52" s="3" t="s">
        <v>11</v>
      </c>
      <c r="AI52" s="3"/>
      <c r="AJ52" s="3" t="s">
        <v>11</v>
      </c>
      <c r="AK52" s="3" t="s">
        <v>11</v>
      </c>
      <c r="AL52" s="3" t="s">
        <v>11</v>
      </c>
      <c r="AM52" s="3" t="s">
        <v>3</v>
      </c>
      <c r="AN52" s="3"/>
      <c r="AO52" s="3" t="s">
        <v>3</v>
      </c>
      <c r="AP52" s="3" t="s">
        <v>11</v>
      </c>
      <c r="AQ52" s="3" t="s">
        <v>3</v>
      </c>
      <c r="AR52" s="3"/>
      <c r="AS52" s="3" t="s">
        <v>14</v>
      </c>
      <c r="AT52" s="3" t="s">
        <v>14</v>
      </c>
      <c r="AU52" s="3" t="s">
        <v>4</v>
      </c>
      <c r="AV52" s="3" t="s">
        <v>13</v>
      </c>
      <c r="AW52" s="3" t="s">
        <v>13</v>
      </c>
      <c r="AX52" s="3" t="s">
        <v>13</v>
      </c>
      <c r="AY52" s="3" t="s">
        <v>13</v>
      </c>
      <c r="AZ52" s="3" t="s">
        <v>4</v>
      </c>
      <c r="BA52" s="3" t="s">
        <v>4</v>
      </c>
      <c r="BB52" s="3" t="s">
        <v>4</v>
      </c>
      <c r="BC52" s="3" t="s">
        <v>4</v>
      </c>
      <c r="BD52" s="3" t="s">
        <v>4</v>
      </c>
      <c r="BE52" s="3"/>
      <c r="BF52" s="3" t="s">
        <v>3</v>
      </c>
      <c r="BG52" s="3" t="s">
        <v>3</v>
      </c>
      <c r="BH52" s="3" t="s">
        <v>16</v>
      </c>
      <c r="BI52" s="3"/>
      <c r="BJ52" s="3"/>
      <c r="BK52" s="3"/>
      <c r="BL52" s="3"/>
      <c r="BM52" s="3"/>
      <c r="BN52" s="3"/>
      <c r="BO52" s="4">
        <f>DATE(2026,3,28)+TIME(22,24,14)</f>
        <v>46109.93349537037</v>
      </c>
    </row>
    <row r="53" spans="1:67" ht="12.75">
      <c r="A53" s="5" t="s">
        <v>191</v>
      </c>
      <c r="B53" s="6"/>
      <c r="C53" s="6" t="s">
        <v>192</v>
      </c>
      <c r="D53" s="6" t="s">
        <v>2</v>
      </c>
      <c r="E53" s="6"/>
      <c r="F53" s="6" t="s">
        <v>12</v>
      </c>
      <c r="G53" s="6" t="s">
        <v>12</v>
      </c>
      <c r="H53" s="6" t="s">
        <v>3</v>
      </c>
      <c r="I53" s="6" t="s">
        <v>12</v>
      </c>
      <c r="J53" s="6" t="s">
        <v>20</v>
      </c>
      <c r="K53" s="6" t="s">
        <v>5</v>
      </c>
      <c r="L53" s="6" t="s">
        <v>20</v>
      </c>
      <c r="M53" s="6" t="s">
        <v>20</v>
      </c>
      <c r="N53" s="6" t="s">
        <v>20</v>
      </c>
      <c r="O53" s="6" t="s">
        <v>37</v>
      </c>
      <c r="P53" s="6" t="s">
        <v>5</v>
      </c>
      <c r="Q53" s="6" t="s">
        <v>8</v>
      </c>
      <c r="R53" s="6" t="s">
        <v>8</v>
      </c>
      <c r="S53" s="6" t="s">
        <v>28</v>
      </c>
      <c r="T53" s="6" t="s">
        <v>28</v>
      </c>
      <c r="U53" s="6" t="s">
        <v>4</v>
      </c>
      <c r="V53" s="6" t="s">
        <v>4</v>
      </c>
      <c r="W53" s="6" t="s">
        <v>7</v>
      </c>
      <c r="X53" s="6" t="s">
        <v>4</v>
      </c>
      <c r="Y53" s="6" t="s">
        <v>4</v>
      </c>
      <c r="Z53" s="6" t="s">
        <v>7</v>
      </c>
      <c r="AA53" s="6" t="s">
        <v>22</v>
      </c>
      <c r="AB53" s="6" t="s">
        <v>61</v>
      </c>
      <c r="AC53" s="6"/>
      <c r="AD53" s="6" t="s">
        <v>3</v>
      </c>
      <c r="AE53" s="6" t="s">
        <v>11</v>
      </c>
      <c r="AF53" s="6" t="s">
        <v>4</v>
      </c>
      <c r="AG53" s="6" t="s">
        <v>54</v>
      </c>
      <c r="AH53" s="6" t="s">
        <v>11</v>
      </c>
      <c r="AI53" s="6"/>
      <c r="AJ53" s="6" t="s">
        <v>11</v>
      </c>
      <c r="AK53" s="6" t="s">
        <v>11</v>
      </c>
      <c r="AL53" s="6" t="s">
        <v>3</v>
      </c>
      <c r="AM53" s="6" t="s">
        <v>4</v>
      </c>
      <c r="AN53" s="6"/>
      <c r="AO53" s="6" t="s">
        <v>12</v>
      </c>
      <c r="AP53" s="6" t="s">
        <v>11</v>
      </c>
      <c r="AQ53" s="6" t="s">
        <v>11</v>
      </c>
      <c r="AR53" s="6"/>
      <c r="AS53" s="6" t="s">
        <v>4</v>
      </c>
      <c r="AT53" s="6" t="s">
        <v>6</v>
      </c>
      <c r="AU53" s="6" t="s">
        <v>15</v>
      </c>
      <c r="AV53" s="6" t="s">
        <v>15</v>
      </c>
      <c r="AW53" s="6" t="s">
        <v>15</v>
      </c>
      <c r="AX53" s="6" t="s">
        <v>6</v>
      </c>
      <c r="AY53" s="6" t="s">
        <v>15</v>
      </c>
      <c r="AZ53" s="6" t="s">
        <v>13</v>
      </c>
      <c r="BA53" s="6" t="s">
        <v>15</v>
      </c>
      <c r="BB53" s="6" t="s">
        <v>15</v>
      </c>
      <c r="BC53" s="6" t="s">
        <v>15</v>
      </c>
      <c r="BD53" s="6" t="s">
        <v>15</v>
      </c>
      <c r="BE53" s="6"/>
      <c r="BF53" s="6" t="s">
        <v>12</v>
      </c>
      <c r="BG53" s="6" t="s">
        <v>4</v>
      </c>
      <c r="BH53" s="6" t="s">
        <v>16</v>
      </c>
      <c r="BI53" s="6"/>
      <c r="BJ53" s="6"/>
      <c r="BK53" s="6"/>
      <c r="BL53" s="6"/>
      <c r="BM53" s="6"/>
      <c r="BN53" s="6"/>
      <c r="BO53" s="7">
        <f>DATE(2026,3,23)+TIME(14,46,33)</f>
        <v>46104.61565972222</v>
      </c>
    </row>
    <row r="54" spans="1:67" ht="12.75">
      <c r="A54" s="2" t="s">
        <v>193</v>
      </c>
      <c r="B54" s="3"/>
      <c r="C54" s="3" t="s">
        <v>79</v>
      </c>
      <c r="D54" s="3" t="s">
        <v>49</v>
      </c>
      <c r="E54" s="3"/>
      <c r="F54" s="3" t="s">
        <v>3</v>
      </c>
      <c r="G54" s="3" t="s">
        <v>12</v>
      </c>
      <c r="H54" s="3" t="s">
        <v>12</v>
      </c>
      <c r="I54" s="3" t="s">
        <v>12</v>
      </c>
      <c r="J54" s="3" t="s">
        <v>20</v>
      </c>
      <c r="K54" s="3" t="s">
        <v>20</v>
      </c>
      <c r="L54" s="3" t="s">
        <v>20</v>
      </c>
      <c r="M54" s="3" t="s">
        <v>20</v>
      </c>
      <c r="N54" s="3" t="s">
        <v>20</v>
      </c>
      <c r="O54" s="3" t="s">
        <v>20</v>
      </c>
      <c r="P54" s="3" t="s">
        <v>20</v>
      </c>
      <c r="Q54" s="3" t="s">
        <v>4</v>
      </c>
      <c r="R54" s="3" t="s">
        <v>4</v>
      </c>
      <c r="S54" s="3" t="s">
        <v>4</v>
      </c>
      <c r="T54" s="3" t="s">
        <v>4</v>
      </c>
      <c r="U54" s="3" t="s">
        <v>4</v>
      </c>
      <c r="V54" s="3" t="s">
        <v>8</v>
      </c>
      <c r="W54" s="3" t="s">
        <v>4</v>
      </c>
      <c r="X54" s="3" t="s">
        <v>4</v>
      </c>
      <c r="Y54" s="3" t="s">
        <v>8</v>
      </c>
      <c r="Z54" s="3" t="s">
        <v>4</v>
      </c>
      <c r="AA54" s="3" t="s">
        <v>194</v>
      </c>
      <c r="AB54" s="3" t="s">
        <v>195</v>
      </c>
      <c r="AC54" s="3"/>
      <c r="AD54" s="3" t="s">
        <v>4</v>
      </c>
      <c r="AE54" s="3" t="s">
        <v>3</v>
      </c>
      <c r="AF54" s="3" t="s">
        <v>3</v>
      </c>
      <c r="AG54" s="3" t="s">
        <v>4</v>
      </c>
      <c r="AH54" s="3" t="s">
        <v>4</v>
      </c>
      <c r="AI54" s="3"/>
      <c r="AJ54" s="3" t="s">
        <v>4</v>
      </c>
      <c r="AK54" s="3" t="s">
        <v>3</v>
      </c>
      <c r="AL54" s="3" t="s">
        <v>3</v>
      </c>
      <c r="AM54" s="3" t="s">
        <v>4</v>
      </c>
      <c r="AN54" s="3"/>
      <c r="AO54" s="3" t="s">
        <v>4</v>
      </c>
      <c r="AP54" s="3" t="s">
        <v>3</v>
      </c>
      <c r="AQ54" s="3" t="s">
        <v>3</v>
      </c>
      <c r="AR54" s="3"/>
      <c r="AS54" s="3" t="s">
        <v>13</v>
      </c>
      <c r="AT54" s="3" t="s">
        <v>14</v>
      </c>
      <c r="AU54" s="3" t="s">
        <v>4</v>
      </c>
      <c r="AV54" s="3" t="s">
        <v>4</v>
      </c>
      <c r="AW54" s="3" t="s">
        <v>15</v>
      </c>
      <c r="AX54" s="3" t="s">
        <v>6</v>
      </c>
      <c r="AY54" s="3" t="s">
        <v>15</v>
      </c>
      <c r="AZ54" s="3" t="s">
        <v>13</v>
      </c>
      <c r="BA54" s="3" t="s">
        <v>15</v>
      </c>
      <c r="BB54" s="3" t="s">
        <v>6</v>
      </c>
      <c r="BC54" s="3" t="s">
        <v>13</v>
      </c>
      <c r="BD54" s="3" t="s">
        <v>13</v>
      </c>
      <c r="BE54" s="3"/>
      <c r="BF54" s="3" t="s">
        <v>12</v>
      </c>
      <c r="BG54" s="3" t="s">
        <v>12</v>
      </c>
      <c r="BH54" s="3" t="s">
        <v>16</v>
      </c>
      <c r="BI54" s="3"/>
      <c r="BJ54" s="3"/>
      <c r="BK54" s="3"/>
      <c r="BL54" s="3"/>
      <c r="BM54" s="3"/>
      <c r="BN54" s="3"/>
      <c r="BO54" s="4">
        <f>DATE(2026,3,23)+TIME(10,47,6)</f>
        <v>46104.449375</v>
      </c>
    </row>
    <row r="55" spans="1:67" ht="12.75">
      <c r="A55" s="5" t="s">
        <v>196</v>
      </c>
      <c r="B55" s="6"/>
      <c r="C55" s="6" t="s">
        <v>197</v>
      </c>
      <c r="D55" s="6" t="s">
        <v>19</v>
      </c>
      <c r="E55" s="6"/>
      <c r="F55" s="6" t="s">
        <v>3</v>
      </c>
      <c r="G55" s="6" t="s">
        <v>3</v>
      </c>
      <c r="H55" s="6" t="s">
        <v>3</v>
      </c>
      <c r="I55" s="6" t="s">
        <v>3</v>
      </c>
      <c r="J55" s="6" t="s">
        <v>5</v>
      </c>
      <c r="K55" s="6" t="s">
        <v>5</v>
      </c>
      <c r="L55" s="6" t="s">
        <v>37</v>
      </c>
      <c r="M55" s="6" t="s">
        <v>37</v>
      </c>
      <c r="N55" s="6" t="s">
        <v>37</v>
      </c>
      <c r="O55" s="6" t="s">
        <v>5</v>
      </c>
      <c r="P55" s="6" t="s">
        <v>5</v>
      </c>
      <c r="Q55" s="6" t="s">
        <v>21</v>
      </c>
      <c r="R55" s="6" t="s">
        <v>21</v>
      </c>
      <c r="S55" s="6" t="s">
        <v>7</v>
      </c>
      <c r="T55" s="6" t="s">
        <v>4</v>
      </c>
      <c r="U55" s="6" t="s">
        <v>7</v>
      </c>
      <c r="V55" s="6" t="s">
        <v>7</v>
      </c>
      <c r="W55" s="6" t="s">
        <v>7</v>
      </c>
      <c r="X55" s="6" t="s">
        <v>7</v>
      </c>
      <c r="Y55" s="6" t="s">
        <v>7</v>
      </c>
      <c r="Z55" s="6" t="s">
        <v>21</v>
      </c>
      <c r="AA55" s="6" t="s">
        <v>198</v>
      </c>
      <c r="AB55" s="6" t="s">
        <v>199</v>
      </c>
      <c r="AC55" s="6"/>
      <c r="AD55" s="6" t="s">
        <v>3</v>
      </c>
      <c r="AE55" s="6" t="s">
        <v>4</v>
      </c>
      <c r="AF55" s="6" t="s">
        <v>4</v>
      </c>
      <c r="AG55" s="6" t="s">
        <v>4</v>
      </c>
      <c r="AH55" s="6" t="s">
        <v>4</v>
      </c>
      <c r="AI55" s="6"/>
      <c r="AJ55" s="6" t="s">
        <v>3</v>
      </c>
      <c r="AK55" s="6" t="s">
        <v>3</v>
      </c>
      <c r="AL55" s="6" t="s">
        <v>4</v>
      </c>
      <c r="AM55" s="6" t="s">
        <v>4</v>
      </c>
      <c r="AN55" s="6"/>
      <c r="AO55" s="6" t="s">
        <v>6</v>
      </c>
      <c r="AP55" s="6" t="s">
        <v>11</v>
      </c>
      <c r="AQ55" s="6" t="s">
        <v>3</v>
      </c>
      <c r="AR55" s="6"/>
      <c r="AS55" s="6" t="s">
        <v>15</v>
      </c>
      <c r="AT55" s="6" t="s">
        <v>6</v>
      </c>
      <c r="AU55" s="6" t="s">
        <v>6</v>
      </c>
      <c r="AV55" s="6" t="s">
        <v>6</v>
      </c>
      <c r="AW55" s="6" t="s">
        <v>15</v>
      </c>
      <c r="AX55" s="6" t="s">
        <v>15</v>
      </c>
      <c r="AY55" s="6" t="s">
        <v>13</v>
      </c>
      <c r="AZ55" s="6" t="s">
        <v>13</v>
      </c>
      <c r="BA55" s="6" t="s">
        <v>13</v>
      </c>
      <c r="BB55" s="6" t="s">
        <v>13</v>
      </c>
      <c r="BC55" s="6" t="s">
        <v>13</v>
      </c>
      <c r="BD55" s="6" t="s">
        <v>13</v>
      </c>
      <c r="BE55" s="6"/>
      <c r="BF55" s="6" t="s">
        <v>6</v>
      </c>
      <c r="BG55" s="6" t="s">
        <v>6</v>
      </c>
      <c r="BH55" s="6" t="s">
        <v>16</v>
      </c>
      <c r="BI55" s="6"/>
      <c r="BJ55" s="6"/>
      <c r="BK55" s="6"/>
      <c r="BL55" s="6"/>
      <c r="BM55" s="6"/>
      <c r="BN55" s="6"/>
      <c r="BO55" s="7">
        <f>DATE(2026,3,9)+TIME(9,12,51)</f>
        <v>46090.38392361111</v>
      </c>
    </row>
    <row r="56" spans="1:67" ht="12.75">
      <c r="A56" s="2" t="s">
        <v>200</v>
      </c>
      <c r="B56" s="3"/>
      <c r="C56" s="3" t="s">
        <v>81</v>
      </c>
      <c r="D56" s="3" t="s">
        <v>64</v>
      </c>
      <c r="E56" s="3"/>
      <c r="F56" s="3" t="s">
        <v>4</v>
      </c>
      <c r="G56" s="3" t="s">
        <v>4</v>
      </c>
      <c r="H56" s="3" t="s">
        <v>4</v>
      </c>
      <c r="I56" s="3" t="s">
        <v>4</v>
      </c>
      <c r="J56" s="3" t="s">
        <v>4</v>
      </c>
      <c r="K56" s="3" t="s">
        <v>4</v>
      </c>
      <c r="L56" s="3" t="s">
        <v>4</v>
      </c>
      <c r="M56" s="3" t="s">
        <v>4</v>
      </c>
      <c r="N56" s="3" t="s">
        <v>4</v>
      </c>
      <c r="O56" s="3" t="s">
        <v>4</v>
      </c>
      <c r="P56" s="3" t="s">
        <v>4</v>
      </c>
      <c r="Q56" s="3" t="s">
        <v>4</v>
      </c>
      <c r="R56" s="3" t="s">
        <v>4</v>
      </c>
      <c r="S56" s="3" t="s">
        <v>4</v>
      </c>
      <c r="T56" s="3" t="s">
        <v>4</v>
      </c>
      <c r="U56" s="3" t="s">
        <v>4</v>
      </c>
      <c r="V56" s="3" t="s">
        <v>4</v>
      </c>
      <c r="W56" s="3" t="s">
        <v>4</v>
      </c>
      <c r="X56" s="3" t="s">
        <v>4</v>
      </c>
      <c r="Y56" s="3" t="s">
        <v>4</v>
      </c>
      <c r="Z56" s="3" t="s">
        <v>4</v>
      </c>
      <c r="AA56" s="3" t="s">
        <v>133</v>
      </c>
      <c r="AB56" s="3" t="s">
        <v>201</v>
      </c>
      <c r="AC56" s="3"/>
      <c r="AD56" s="3" t="s">
        <v>4</v>
      </c>
      <c r="AE56" s="3" t="s">
        <v>4</v>
      </c>
      <c r="AF56" s="3" t="s">
        <v>4</v>
      </c>
      <c r="AG56" s="3" t="s">
        <v>4</v>
      </c>
      <c r="AH56" s="3" t="s">
        <v>4</v>
      </c>
      <c r="AI56" s="3"/>
      <c r="AJ56" s="3" t="s">
        <v>11</v>
      </c>
      <c r="AK56" s="3" t="s">
        <v>11</v>
      </c>
      <c r="AL56" s="3" t="s">
        <v>12</v>
      </c>
      <c r="AM56" s="3" t="s">
        <v>4</v>
      </c>
      <c r="AN56" s="3"/>
      <c r="AO56" s="3" t="s">
        <v>11</v>
      </c>
      <c r="AP56" s="3" t="s">
        <v>4</v>
      </c>
      <c r="AQ56" s="3" t="s">
        <v>4</v>
      </c>
      <c r="AR56" s="3"/>
      <c r="AS56" s="3" t="s">
        <v>4</v>
      </c>
      <c r="AT56" s="3" t="s">
        <v>4</v>
      </c>
      <c r="AU56" s="3" t="s">
        <v>4</v>
      </c>
      <c r="AV56" s="3" t="s">
        <v>14</v>
      </c>
      <c r="AW56" s="3" t="s">
        <v>4</v>
      </c>
      <c r="AX56" s="3" t="s">
        <v>14</v>
      </c>
      <c r="AY56" s="3" t="s">
        <v>4</v>
      </c>
      <c r="AZ56" s="3" t="s">
        <v>4</v>
      </c>
      <c r="BA56" s="3" t="s">
        <v>4</v>
      </c>
      <c r="BB56" s="3" t="s">
        <v>4</v>
      </c>
      <c r="BC56" s="3" t="s">
        <v>4</v>
      </c>
      <c r="BD56" s="3" t="s">
        <v>4</v>
      </c>
      <c r="BE56" s="3"/>
      <c r="BF56" s="3" t="s">
        <v>4</v>
      </c>
      <c r="BG56" s="3" t="s">
        <v>4</v>
      </c>
      <c r="BH56" s="3" t="s">
        <v>16</v>
      </c>
      <c r="BI56" s="3"/>
      <c r="BJ56" s="3"/>
      <c r="BK56" s="3"/>
      <c r="BL56" s="3"/>
      <c r="BM56" s="3"/>
      <c r="BN56" s="3"/>
      <c r="BO56" s="4">
        <f>DATE(2026,3,30)+TIME(9,10,47)</f>
        <v>46111.38248842592</v>
      </c>
    </row>
    <row r="57" spans="1:67" ht="12.75">
      <c r="A57" s="5" t="s">
        <v>202</v>
      </c>
      <c r="B57" s="6"/>
      <c r="C57" s="6" t="s">
        <v>129</v>
      </c>
      <c r="D57" s="6" t="s">
        <v>2</v>
      </c>
      <c r="E57" s="6"/>
      <c r="F57" s="6" t="s">
        <v>12</v>
      </c>
      <c r="G57" s="6" t="s">
        <v>12</v>
      </c>
      <c r="H57" s="6" t="s">
        <v>12</v>
      </c>
      <c r="I57" s="6" t="s">
        <v>4</v>
      </c>
      <c r="J57" s="6" t="s">
        <v>5</v>
      </c>
      <c r="K57" s="6" t="s">
        <v>20</v>
      </c>
      <c r="L57" s="6" t="s">
        <v>6</v>
      </c>
      <c r="M57" s="6" t="s">
        <v>6</v>
      </c>
      <c r="N57" s="6" t="s">
        <v>6</v>
      </c>
      <c r="O57" s="6" t="s">
        <v>20</v>
      </c>
      <c r="P57" s="6" t="s">
        <v>5</v>
      </c>
      <c r="Q57" s="6" t="s">
        <v>21</v>
      </c>
      <c r="R57" s="6" t="s">
        <v>7</v>
      </c>
      <c r="S57" s="6" t="s">
        <v>7</v>
      </c>
      <c r="T57" s="6" t="s">
        <v>7</v>
      </c>
      <c r="U57" s="6" t="s">
        <v>7</v>
      </c>
      <c r="V57" s="6" t="s">
        <v>7</v>
      </c>
      <c r="W57" s="6" t="s">
        <v>21</v>
      </c>
      <c r="X57" s="6" t="s">
        <v>4</v>
      </c>
      <c r="Y57" s="6" t="s">
        <v>4</v>
      </c>
      <c r="Z57" s="6" t="s">
        <v>21</v>
      </c>
      <c r="AA57" s="6" t="s">
        <v>22</v>
      </c>
      <c r="AB57" s="6" t="s">
        <v>203</v>
      </c>
      <c r="AC57" s="6"/>
      <c r="AD57" s="6" t="s">
        <v>6</v>
      </c>
      <c r="AE57" s="6" t="s">
        <v>4</v>
      </c>
      <c r="AF57" s="6" t="s">
        <v>6</v>
      </c>
      <c r="AG57" s="6" t="s">
        <v>6</v>
      </c>
      <c r="AH57" s="6" t="s">
        <v>6</v>
      </c>
      <c r="AI57" s="6"/>
      <c r="AJ57" s="6" t="s">
        <v>12</v>
      </c>
      <c r="AK57" s="6" t="s">
        <v>3</v>
      </c>
      <c r="AL57" s="6" t="s">
        <v>3</v>
      </c>
      <c r="AM57" s="6" t="s">
        <v>4</v>
      </c>
      <c r="AN57" s="6"/>
      <c r="AO57" s="6" t="s">
        <v>6</v>
      </c>
      <c r="AP57" s="6" t="s">
        <v>11</v>
      </c>
      <c r="AQ57" s="6" t="s">
        <v>4</v>
      </c>
      <c r="AR57" s="6"/>
      <c r="AS57" s="6" t="s">
        <v>15</v>
      </c>
      <c r="AT57" s="6" t="s">
        <v>6</v>
      </c>
      <c r="AU57" s="6" t="s">
        <v>15</v>
      </c>
      <c r="AV57" s="6" t="s">
        <v>15</v>
      </c>
      <c r="AW57" s="6" t="s">
        <v>15</v>
      </c>
      <c r="AX57" s="6" t="s">
        <v>6</v>
      </c>
      <c r="AY57" s="6" t="s">
        <v>15</v>
      </c>
      <c r="AZ57" s="6" t="s">
        <v>6</v>
      </c>
      <c r="BA57" s="6" t="s">
        <v>15</v>
      </c>
      <c r="BB57" s="6" t="s">
        <v>6</v>
      </c>
      <c r="BC57" s="6" t="s">
        <v>15</v>
      </c>
      <c r="BD57" s="6" t="s">
        <v>13</v>
      </c>
      <c r="BE57" s="6"/>
      <c r="BF57" s="6" t="s">
        <v>3</v>
      </c>
      <c r="BG57" s="6" t="s">
        <v>6</v>
      </c>
      <c r="BH57" s="6" t="s">
        <v>16</v>
      </c>
      <c r="BI57" s="6"/>
      <c r="BJ57" s="6"/>
      <c r="BK57" s="6"/>
      <c r="BL57" s="6"/>
      <c r="BM57" s="6"/>
      <c r="BN57" s="6"/>
      <c r="BO57" s="7">
        <f>DATE(2026,4,3)+TIME(0,29,42)</f>
        <v>46115.020625</v>
      </c>
    </row>
    <row r="58" spans="1:67" ht="12.75">
      <c r="A58" s="2" t="s">
        <v>204</v>
      </c>
      <c r="B58" s="3"/>
      <c r="C58" s="3" t="s">
        <v>205</v>
      </c>
      <c r="D58" s="3" t="s">
        <v>2</v>
      </c>
      <c r="E58" s="3"/>
      <c r="F58" s="3" t="s">
        <v>3</v>
      </c>
      <c r="G58" s="3" t="s">
        <v>3</v>
      </c>
      <c r="H58" s="3" t="s">
        <v>3</v>
      </c>
      <c r="I58" s="3" t="s">
        <v>3</v>
      </c>
      <c r="J58" s="3" t="s">
        <v>20</v>
      </c>
      <c r="K58" s="3" t="s">
        <v>20</v>
      </c>
      <c r="L58" s="3" t="s">
        <v>20</v>
      </c>
      <c r="M58" s="3" t="s">
        <v>5</v>
      </c>
      <c r="N58" s="3" t="s">
        <v>20</v>
      </c>
      <c r="O58" s="3" t="s">
        <v>20</v>
      </c>
      <c r="P58" s="3" t="s">
        <v>5</v>
      </c>
      <c r="Q58" s="3" t="s">
        <v>8</v>
      </c>
      <c r="R58" s="3" t="s">
        <v>7</v>
      </c>
      <c r="S58" s="3" t="s">
        <v>7</v>
      </c>
      <c r="T58" s="3" t="s">
        <v>8</v>
      </c>
      <c r="U58" s="3" t="s">
        <v>8</v>
      </c>
      <c r="V58" s="3" t="s">
        <v>8</v>
      </c>
      <c r="W58" s="3" t="s">
        <v>8</v>
      </c>
      <c r="X58" s="3" t="s">
        <v>7</v>
      </c>
      <c r="Y58" s="3" t="s">
        <v>4</v>
      </c>
      <c r="Z58" s="3" t="s">
        <v>8</v>
      </c>
      <c r="AA58" s="3" t="s">
        <v>50</v>
      </c>
      <c r="AB58" s="3" t="s">
        <v>206</v>
      </c>
      <c r="AC58" s="3"/>
      <c r="AD58" s="3" t="s">
        <v>3</v>
      </c>
      <c r="AE58" s="3" t="s">
        <v>3</v>
      </c>
      <c r="AF58" s="3" t="s">
        <v>3</v>
      </c>
      <c r="AG58" s="3" t="s">
        <v>3</v>
      </c>
      <c r="AH58" s="3" t="s">
        <v>3</v>
      </c>
      <c r="AI58" s="3"/>
      <c r="AJ58" s="3" t="s">
        <v>3</v>
      </c>
      <c r="AK58" s="3" t="s">
        <v>3</v>
      </c>
      <c r="AL58" s="3" t="s">
        <v>3</v>
      </c>
      <c r="AM58" s="3" t="s">
        <v>3</v>
      </c>
      <c r="AN58" s="3"/>
      <c r="AO58" s="3" t="s">
        <v>3</v>
      </c>
      <c r="AP58" s="3" t="s">
        <v>3</v>
      </c>
      <c r="AQ58" s="3" t="s">
        <v>3</v>
      </c>
      <c r="AR58" s="3"/>
      <c r="AS58" s="3" t="s">
        <v>13</v>
      </c>
      <c r="AT58" s="3" t="s">
        <v>4</v>
      </c>
      <c r="AU58" s="3" t="s">
        <v>4</v>
      </c>
      <c r="AV58" s="3" t="s">
        <v>4</v>
      </c>
      <c r="AW58" s="3" t="s">
        <v>13</v>
      </c>
      <c r="AX58" s="3" t="s">
        <v>4</v>
      </c>
      <c r="AY58" s="3" t="s">
        <v>13</v>
      </c>
      <c r="AZ58" s="3" t="s">
        <v>4</v>
      </c>
      <c r="BA58" s="3" t="s">
        <v>4</v>
      </c>
      <c r="BB58" s="3" t="s">
        <v>4</v>
      </c>
      <c r="BC58" s="3" t="s">
        <v>4</v>
      </c>
      <c r="BD58" s="3" t="s">
        <v>4</v>
      </c>
      <c r="BE58" s="3"/>
      <c r="BF58" s="3" t="s">
        <v>3</v>
      </c>
      <c r="BG58" s="3" t="s">
        <v>4</v>
      </c>
      <c r="BH58" s="3" t="s">
        <v>16</v>
      </c>
      <c r="BI58" s="3"/>
      <c r="BJ58" s="3"/>
      <c r="BK58" s="3"/>
      <c r="BL58" s="3"/>
      <c r="BM58" s="3"/>
      <c r="BN58" s="3"/>
      <c r="BO58" s="4">
        <f>DATE(2026,4,1)+TIME(11,56,29)</f>
        <v>46113.49755787037</v>
      </c>
    </row>
    <row r="59" spans="1:67" ht="12.75">
      <c r="A59" s="5" t="s">
        <v>207</v>
      </c>
      <c r="B59" s="6"/>
      <c r="C59" s="6" t="s">
        <v>208</v>
      </c>
      <c r="D59" s="6" t="s">
        <v>49</v>
      </c>
      <c r="E59" s="6"/>
      <c r="F59" s="6" t="s">
        <v>11</v>
      </c>
      <c r="G59" s="6" t="s">
        <v>11</v>
      </c>
      <c r="H59" s="6" t="s">
        <v>11</v>
      </c>
      <c r="I59" s="6" t="s">
        <v>4</v>
      </c>
      <c r="J59" s="6" t="s">
        <v>5</v>
      </c>
      <c r="K59" s="6" t="s">
        <v>20</v>
      </c>
      <c r="L59" s="6" t="s">
        <v>5</v>
      </c>
      <c r="M59" s="6" t="s">
        <v>4</v>
      </c>
      <c r="N59" s="6" t="s">
        <v>4</v>
      </c>
      <c r="O59" s="6" t="s">
        <v>55</v>
      </c>
      <c r="P59" s="6" t="s">
        <v>55</v>
      </c>
      <c r="Q59" s="6" t="s">
        <v>28</v>
      </c>
      <c r="R59" s="6" t="s">
        <v>28</v>
      </c>
      <c r="S59" s="6" t="s">
        <v>28</v>
      </c>
      <c r="T59" s="6" t="s">
        <v>28</v>
      </c>
      <c r="U59" s="6" t="s">
        <v>8</v>
      </c>
      <c r="V59" s="6" t="s">
        <v>28</v>
      </c>
      <c r="W59" s="6" t="s">
        <v>7</v>
      </c>
      <c r="X59" s="6" t="s">
        <v>28</v>
      </c>
      <c r="Y59" s="6" t="s">
        <v>28</v>
      </c>
      <c r="Z59" s="6" t="s">
        <v>7</v>
      </c>
      <c r="AA59" s="6" t="s">
        <v>22</v>
      </c>
      <c r="AB59" s="6" t="s">
        <v>61</v>
      </c>
      <c r="AC59" s="6"/>
      <c r="AD59" s="6" t="s">
        <v>3</v>
      </c>
      <c r="AE59" s="6" t="s">
        <v>4</v>
      </c>
      <c r="AF59" s="6" t="s">
        <v>12</v>
      </c>
      <c r="AG59" s="6" t="s">
        <v>54</v>
      </c>
      <c r="AH59" s="6" t="s">
        <v>54</v>
      </c>
      <c r="AI59" s="6"/>
      <c r="AJ59" s="6" t="s">
        <v>4</v>
      </c>
      <c r="AK59" s="6" t="s">
        <v>3</v>
      </c>
      <c r="AL59" s="6" t="s">
        <v>3</v>
      </c>
      <c r="AM59" s="6" t="s">
        <v>54</v>
      </c>
      <c r="AN59" s="6"/>
      <c r="AO59" s="6" t="s">
        <v>4</v>
      </c>
      <c r="AP59" s="6" t="s">
        <v>4</v>
      </c>
      <c r="AQ59" s="6" t="s">
        <v>4</v>
      </c>
      <c r="AR59" s="6"/>
      <c r="AS59" s="6" t="s">
        <v>58</v>
      </c>
      <c r="AT59" s="6" t="s">
        <v>58</v>
      </c>
      <c r="AU59" s="6" t="s">
        <v>58</v>
      </c>
      <c r="AV59" s="6" t="s">
        <v>4</v>
      </c>
      <c r="AW59" s="6" t="s">
        <v>13</v>
      </c>
      <c r="AX59" s="6" t="s">
        <v>58</v>
      </c>
      <c r="AY59" s="6" t="s">
        <v>15</v>
      </c>
      <c r="AZ59" s="6" t="s">
        <v>58</v>
      </c>
      <c r="BA59" s="6" t="s">
        <v>15</v>
      </c>
      <c r="BB59" s="6" t="s">
        <v>58</v>
      </c>
      <c r="BC59" s="6" t="s">
        <v>14</v>
      </c>
      <c r="BD59" s="6" t="s">
        <v>4</v>
      </c>
      <c r="BE59" s="6"/>
      <c r="BF59" s="6" t="s">
        <v>4</v>
      </c>
      <c r="BG59" s="6" t="s">
        <v>6</v>
      </c>
      <c r="BH59" s="6" t="s">
        <v>16</v>
      </c>
      <c r="BI59" s="6"/>
      <c r="BJ59" s="6"/>
      <c r="BK59" s="6"/>
      <c r="BL59" s="6"/>
      <c r="BM59" s="6"/>
      <c r="BN59" s="6"/>
      <c r="BO59" s="7">
        <f>DATE(2026,4,1)+TIME(11,17,32)</f>
        <v>46113.470509259256</v>
      </c>
    </row>
    <row r="60" spans="1:67" ht="12.75">
      <c r="A60" s="2" t="s">
        <v>209</v>
      </c>
      <c r="B60" s="3"/>
      <c r="C60" s="3" t="s">
        <v>134</v>
      </c>
      <c r="D60" s="3" t="s">
        <v>2</v>
      </c>
      <c r="E60" s="3"/>
      <c r="F60" s="3" t="s">
        <v>3</v>
      </c>
      <c r="G60" s="3" t="s">
        <v>3</v>
      </c>
      <c r="H60" s="3" t="s">
        <v>6</v>
      </c>
      <c r="I60" s="3" t="s">
        <v>3</v>
      </c>
      <c r="J60" s="3" t="s">
        <v>5</v>
      </c>
      <c r="K60" s="3" t="s">
        <v>20</v>
      </c>
      <c r="L60" s="3" t="s">
        <v>20</v>
      </c>
      <c r="M60" s="3" t="s">
        <v>5</v>
      </c>
      <c r="N60" s="3" t="s">
        <v>20</v>
      </c>
      <c r="O60" s="3" t="s">
        <v>20</v>
      </c>
      <c r="P60" s="3" t="s">
        <v>5</v>
      </c>
      <c r="Q60" s="3" t="s">
        <v>8</v>
      </c>
      <c r="R60" s="3" t="s">
        <v>8</v>
      </c>
      <c r="S60" s="3" t="s">
        <v>28</v>
      </c>
      <c r="T60" s="3" t="s">
        <v>28</v>
      </c>
      <c r="U60" s="3" t="s">
        <v>8</v>
      </c>
      <c r="V60" s="3" t="s">
        <v>8</v>
      </c>
      <c r="W60" s="3" t="s">
        <v>28</v>
      </c>
      <c r="X60" s="3" t="s">
        <v>8</v>
      </c>
      <c r="Y60" s="3" t="s">
        <v>8</v>
      </c>
      <c r="Z60" s="3" t="s">
        <v>8</v>
      </c>
      <c r="AA60" s="3" t="s">
        <v>6</v>
      </c>
      <c r="AB60" s="3" t="s">
        <v>210</v>
      </c>
      <c r="AC60" s="3"/>
      <c r="AD60" s="3" t="s">
        <v>3</v>
      </c>
      <c r="AE60" s="3" t="s">
        <v>4</v>
      </c>
      <c r="AF60" s="3" t="s">
        <v>3</v>
      </c>
      <c r="AG60" s="3" t="s">
        <v>4</v>
      </c>
      <c r="AH60" s="3" t="s">
        <v>4</v>
      </c>
      <c r="AI60" s="3"/>
      <c r="AJ60" s="3" t="s">
        <v>3</v>
      </c>
      <c r="AK60" s="3" t="s">
        <v>4</v>
      </c>
      <c r="AL60" s="3" t="s">
        <v>3</v>
      </c>
      <c r="AM60" s="3" t="s">
        <v>11</v>
      </c>
      <c r="AN60" s="3"/>
      <c r="AO60" s="3" t="s">
        <v>3</v>
      </c>
      <c r="AP60" s="3" t="s">
        <v>4</v>
      </c>
      <c r="AQ60" s="3" t="s">
        <v>3</v>
      </c>
      <c r="AR60" s="3"/>
      <c r="AS60" s="3" t="s">
        <v>13</v>
      </c>
      <c r="AT60" s="3" t="s">
        <v>6</v>
      </c>
      <c r="AU60" s="3" t="s">
        <v>6</v>
      </c>
      <c r="AV60" s="3" t="s">
        <v>6</v>
      </c>
      <c r="AW60" s="3" t="s">
        <v>13</v>
      </c>
      <c r="AX60" s="3" t="s">
        <v>13</v>
      </c>
      <c r="AY60" s="3" t="s">
        <v>4</v>
      </c>
      <c r="AZ60" s="3" t="s">
        <v>6</v>
      </c>
      <c r="BA60" s="3" t="s">
        <v>14</v>
      </c>
      <c r="BB60" s="3" t="s">
        <v>6</v>
      </c>
      <c r="BC60" s="3" t="s">
        <v>6</v>
      </c>
      <c r="BD60" s="3" t="s">
        <v>6</v>
      </c>
      <c r="BE60" s="3"/>
      <c r="BF60" s="3" t="s">
        <v>3</v>
      </c>
      <c r="BG60" s="3" t="s">
        <v>3</v>
      </c>
      <c r="BH60" s="3" t="s">
        <v>24</v>
      </c>
      <c r="BI60" s="3" t="s">
        <v>134</v>
      </c>
      <c r="BJ60" s="3" t="s">
        <v>15</v>
      </c>
      <c r="BK60" s="3" t="s">
        <v>6</v>
      </c>
      <c r="BL60" s="3" t="s">
        <v>6</v>
      </c>
      <c r="BM60" s="3" t="s">
        <v>3</v>
      </c>
      <c r="BN60" s="3" t="s">
        <v>3</v>
      </c>
      <c r="BO60" s="4">
        <f>DATE(2026,3,23)+TIME(9,41,20)</f>
        <v>46104.403703703705</v>
      </c>
    </row>
    <row r="61" spans="1:67" ht="12.75">
      <c r="A61" s="5" t="s">
        <v>211</v>
      </c>
      <c r="B61" s="6"/>
      <c r="C61" s="6" t="s">
        <v>212</v>
      </c>
      <c r="D61" s="6" t="s">
        <v>19</v>
      </c>
      <c r="E61" s="6"/>
      <c r="F61" s="6" t="s">
        <v>12</v>
      </c>
      <c r="G61" s="6" t="s">
        <v>12</v>
      </c>
      <c r="H61" s="6" t="s">
        <v>3</v>
      </c>
      <c r="I61" s="6" t="s">
        <v>12</v>
      </c>
      <c r="J61" s="6" t="s">
        <v>20</v>
      </c>
      <c r="K61" s="6" t="s">
        <v>20</v>
      </c>
      <c r="L61" s="6" t="s">
        <v>20</v>
      </c>
      <c r="M61" s="6" t="s">
        <v>6</v>
      </c>
      <c r="N61" s="6" t="s">
        <v>20</v>
      </c>
      <c r="O61" s="6" t="s">
        <v>5</v>
      </c>
      <c r="P61" s="6" t="s">
        <v>20</v>
      </c>
      <c r="Q61" s="6" t="s">
        <v>8</v>
      </c>
      <c r="R61" s="6" t="s">
        <v>7</v>
      </c>
      <c r="S61" s="6" t="s">
        <v>7</v>
      </c>
      <c r="T61" s="6" t="s">
        <v>8</v>
      </c>
      <c r="U61" s="6" t="s">
        <v>28</v>
      </c>
      <c r="V61" s="6" t="s">
        <v>28</v>
      </c>
      <c r="W61" s="6" t="s">
        <v>28</v>
      </c>
      <c r="X61" s="6" t="s">
        <v>28</v>
      </c>
      <c r="Y61" s="6" t="s">
        <v>8</v>
      </c>
      <c r="Z61" s="6" t="s">
        <v>28</v>
      </c>
      <c r="AA61" s="6" t="s">
        <v>213</v>
      </c>
      <c r="AB61" s="6" t="s">
        <v>145</v>
      </c>
      <c r="AC61" s="6"/>
      <c r="AD61" s="6" t="s">
        <v>3</v>
      </c>
      <c r="AE61" s="6" t="s">
        <v>6</v>
      </c>
      <c r="AF61" s="6" t="s">
        <v>6</v>
      </c>
      <c r="AG61" s="6" t="s">
        <v>6</v>
      </c>
      <c r="AH61" s="6" t="s">
        <v>6</v>
      </c>
      <c r="AI61" s="6"/>
      <c r="AJ61" s="6" t="s">
        <v>3</v>
      </c>
      <c r="AK61" s="6" t="s">
        <v>6</v>
      </c>
      <c r="AL61" s="6" t="s">
        <v>3</v>
      </c>
      <c r="AM61" s="6" t="s">
        <v>6</v>
      </c>
      <c r="AN61" s="6"/>
      <c r="AO61" s="6" t="s">
        <v>6</v>
      </c>
      <c r="AP61" s="6" t="s">
        <v>11</v>
      </c>
      <c r="AQ61" s="6" t="s">
        <v>6</v>
      </c>
      <c r="AR61" s="6"/>
      <c r="AS61" s="6" t="s">
        <v>15</v>
      </c>
      <c r="AT61" s="6" t="s">
        <v>4</v>
      </c>
      <c r="AU61" s="6" t="s">
        <v>4</v>
      </c>
      <c r="AV61" s="6" t="s">
        <v>4</v>
      </c>
      <c r="AW61" s="6" t="s">
        <v>4</v>
      </c>
      <c r="AX61" s="6" t="s">
        <v>15</v>
      </c>
      <c r="AY61" s="6" t="s">
        <v>13</v>
      </c>
      <c r="AZ61" s="6" t="s">
        <v>13</v>
      </c>
      <c r="BA61" s="6" t="s">
        <v>13</v>
      </c>
      <c r="BB61" s="6" t="s">
        <v>6</v>
      </c>
      <c r="BC61" s="6" t="s">
        <v>13</v>
      </c>
      <c r="BD61" s="6" t="s">
        <v>15</v>
      </c>
      <c r="BE61" s="6"/>
      <c r="BF61" s="6" t="s">
        <v>4</v>
      </c>
      <c r="BG61" s="6" t="s">
        <v>11</v>
      </c>
      <c r="BH61" s="6" t="s">
        <v>16</v>
      </c>
      <c r="BI61" s="6"/>
      <c r="BJ61" s="6"/>
      <c r="BK61" s="6"/>
      <c r="BL61" s="6"/>
      <c r="BM61" s="6"/>
      <c r="BN61" s="6"/>
      <c r="BO61" s="7">
        <f>DATE(2026,3,16)+TIME(14,45,23)</f>
        <v>46097.614849537036</v>
      </c>
    </row>
    <row r="62" spans="1:67" ht="12.75">
      <c r="A62" s="2" t="s">
        <v>214</v>
      </c>
      <c r="B62" s="3"/>
      <c r="C62" s="3" t="s">
        <v>215</v>
      </c>
      <c r="D62" s="3" t="s">
        <v>64</v>
      </c>
      <c r="E62" s="3"/>
      <c r="F62" s="3" t="s">
        <v>4</v>
      </c>
      <c r="G62" s="3" t="s">
        <v>4</v>
      </c>
      <c r="H62" s="3" t="s">
        <v>4</v>
      </c>
      <c r="I62" s="3" t="s">
        <v>4</v>
      </c>
      <c r="J62" s="3" t="s">
        <v>4</v>
      </c>
      <c r="K62" s="3" t="s">
        <v>4</v>
      </c>
      <c r="L62" s="3" t="s">
        <v>4</v>
      </c>
      <c r="M62" s="3" t="s">
        <v>4</v>
      </c>
      <c r="N62" s="3" t="s">
        <v>4</v>
      </c>
      <c r="O62" s="3" t="s">
        <v>4</v>
      </c>
      <c r="P62" s="3" t="s">
        <v>4</v>
      </c>
      <c r="Q62" s="3" t="s">
        <v>4</v>
      </c>
      <c r="R62" s="3" t="s">
        <v>4</v>
      </c>
      <c r="S62" s="3" t="s">
        <v>4</v>
      </c>
      <c r="T62" s="3" t="s">
        <v>4</v>
      </c>
      <c r="U62" s="3" t="s">
        <v>4</v>
      </c>
      <c r="V62" s="3" t="s">
        <v>4</v>
      </c>
      <c r="W62" s="3" t="s">
        <v>4</v>
      </c>
      <c r="X62" s="3" t="s">
        <v>4</v>
      </c>
      <c r="Y62" s="3" t="s">
        <v>4</v>
      </c>
      <c r="Z62" s="3" t="s">
        <v>4</v>
      </c>
      <c r="AA62" s="3" t="s">
        <v>6</v>
      </c>
      <c r="AB62" s="3" t="s">
        <v>6</v>
      </c>
      <c r="AC62" s="3"/>
      <c r="AD62" s="3" t="s">
        <v>4</v>
      </c>
      <c r="AE62" s="3" t="s">
        <v>4</v>
      </c>
      <c r="AF62" s="3" t="s">
        <v>4</v>
      </c>
      <c r="AG62" s="3" t="s">
        <v>4</v>
      </c>
      <c r="AH62" s="3" t="s">
        <v>4</v>
      </c>
      <c r="AI62" s="3"/>
      <c r="AJ62" s="3" t="s">
        <v>4</v>
      </c>
      <c r="AK62" s="3" t="s">
        <v>4</v>
      </c>
      <c r="AL62" s="3" t="s">
        <v>4</v>
      </c>
      <c r="AM62" s="3" t="s">
        <v>4</v>
      </c>
      <c r="AN62" s="3"/>
      <c r="AO62" s="3" t="s">
        <v>4</v>
      </c>
      <c r="AP62" s="3" t="s">
        <v>4</v>
      </c>
      <c r="AQ62" s="3" t="s">
        <v>4</v>
      </c>
      <c r="AR62" s="3"/>
      <c r="AS62" s="3" t="s">
        <v>4</v>
      </c>
      <c r="AT62" s="3" t="s">
        <v>4</v>
      </c>
      <c r="AU62" s="3" t="s">
        <v>4</v>
      </c>
      <c r="AV62" s="3" t="s">
        <v>4</v>
      </c>
      <c r="AW62" s="3" t="s">
        <v>4</v>
      </c>
      <c r="AX62" s="3" t="s">
        <v>4</v>
      </c>
      <c r="AY62" s="3" t="s">
        <v>4</v>
      </c>
      <c r="AZ62" s="3" t="s">
        <v>4</v>
      </c>
      <c r="BA62" s="3" t="s">
        <v>4</v>
      </c>
      <c r="BB62" s="3" t="s">
        <v>4</v>
      </c>
      <c r="BC62" s="3" t="s">
        <v>4</v>
      </c>
      <c r="BD62" s="3" t="s">
        <v>4</v>
      </c>
      <c r="BE62" s="3"/>
      <c r="BF62" s="3" t="s">
        <v>4</v>
      </c>
      <c r="BG62" s="3" t="s">
        <v>4</v>
      </c>
      <c r="BH62" s="3" t="s">
        <v>16</v>
      </c>
      <c r="BI62" s="3"/>
      <c r="BJ62" s="3"/>
      <c r="BK62" s="3"/>
      <c r="BL62" s="3"/>
      <c r="BM62" s="3"/>
      <c r="BN62" s="3"/>
      <c r="BO62" s="4">
        <f>DATE(2026,3,9)+TIME(9,57,8)</f>
        <v>46090.414675925924</v>
      </c>
    </row>
  </sheetData>
  <hyperlinks>
    <hyperlink ref="A2" r:id="rId1" display="8GLL00GNE"/>
    <hyperlink ref="A3" r:id="rId2" display="ON6YGRO5W"/>
    <hyperlink ref="A4" r:id="rId3" display="0W5DJOMKQ"/>
    <hyperlink ref="A5" r:id="rId4" display="K6QJW8LZU"/>
    <hyperlink ref="A6" r:id="rId5" display="91EN7KOJP"/>
    <hyperlink ref="A7" r:id="rId6" display="YEJW7MNMR"/>
    <hyperlink ref="A8" r:id="rId7" display="JQ8G054GZ"/>
    <hyperlink ref="A9" r:id="rId8" display="196LKG52J"/>
    <hyperlink ref="A10" r:id="rId9" display="0W5DJOEKX"/>
    <hyperlink ref="A11" r:id="rId10" display="8GWJDRY5E"/>
    <hyperlink ref="A12" r:id="rId11" display="0W5DJODKO"/>
    <hyperlink ref="A13" r:id="rId12" display="WMJLO7L2V"/>
    <hyperlink ref="A14" r:id="rId13" display="6WL17P17S"/>
    <hyperlink ref="A15" r:id="rId14" display="91EN7K4KV"/>
    <hyperlink ref="A16" r:id="rId15" display="7N0G7D9PW"/>
    <hyperlink ref="A17" r:id="rId16" display="5EDOM475S"/>
    <hyperlink ref="A18" r:id="rId17" display="JQ8G05LKY"/>
    <hyperlink ref="A19" r:id="rId18" display="QMR790JOE"/>
    <hyperlink ref="A20" r:id="rId19" display="6WL17P47P"/>
    <hyperlink ref="A21" r:id="rId20" display="DG7L56YOF"/>
    <hyperlink ref="A22" r:id="rId21" display="91EN7KQKM"/>
    <hyperlink ref="A23" r:id="rId22" display="7N0G7DKPK"/>
    <hyperlink ref="A24" r:id="rId23" display="5EDOM4K5K"/>
    <hyperlink ref="A25" r:id="rId24" display="2940GN75Y"/>
    <hyperlink ref="A26" r:id="rId25" display="0W5DJOYGV"/>
    <hyperlink ref="A27" r:id="rId26" display="QMR7908OL"/>
    <hyperlink ref="A28" r:id="rId27" display="4N5EG8R6Q"/>
    <hyperlink ref="A29" r:id="rId28" display="5EDOM4R5P"/>
    <hyperlink ref="A30" r:id="rId29" display="2940GNR5D"/>
    <hyperlink ref="A31" r:id="rId30" display="WMJLO7K2F"/>
    <hyperlink ref="A32" r:id="rId31" display="RR24GEK9G"/>
    <hyperlink ref="A33" r:id="rId32" display="DG7L56R9C"/>
    <hyperlink ref="A34" r:id="rId33" display="YEJW7MDKW"/>
    <hyperlink ref="A35" r:id="rId34" display="2940GNPMP"/>
    <hyperlink ref="A36" r:id="rId35" display="JQ8G05ROW"/>
    <hyperlink ref="A37" r:id="rId36" display="196LKGPJS"/>
    <hyperlink ref="A38" r:id="rId37" display="K6QJW8R7P"/>
    <hyperlink ref="A39" r:id="rId38" display="4N5EG8M2B"/>
    <hyperlink ref="A40" r:id="rId39" display="2940GNMMG"/>
    <hyperlink ref="A41" r:id="rId40" display="ON6YGRQ7C"/>
    <hyperlink ref="A42" r:id="rId41" display="RR24GEZ9A"/>
    <hyperlink ref="A43" r:id="rId42" display="7N0G7DJ9U"/>
    <hyperlink ref="A44" r:id="rId43" display="5EDOM41WK"/>
    <hyperlink ref="A45" r:id="rId44" display="E470YL9DZ"/>
    <hyperlink ref="A46" r:id="rId45" display="0W5DJOLJC"/>
    <hyperlink ref="A47" r:id="rId46" display="QMR7902QR"/>
    <hyperlink ref="A48" r:id="rId47" display="8GWJDR8KF"/>
    <hyperlink ref="A49" r:id="rId48" display="ZMKE5ZWEH"/>
    <hyperlink ref="A50" r:id="rId49" display="4N5EG8Y0B"/>
    <hyperlink ref="A51" r:id="rId50" display="7N0G7DY6N"/>
    <hyperlink ref="A52" r:id="rId51" display="GM7EKOZ7Y"/>
    <hyperlink ref="A53" r:id="rId52" display="P628MKPYE"/>
    <hyperlink ref="A54" r:id="rId53" display="E470YLK1Z"/>
    <hyperlink ref="A55" r:id="rId54" display="L28NE46DW"/>
    <hyperlink ref="A56" r:id="rId55" display="K6QJW8OLP"/>
    <hyperlink ref="A57" r:id="rId56" display="6WL17PJ9H"/>
    <hyperlink ref="A58" r:id="rId57" display="YEJW7M26U"/>
    <hyperlink ref="A59" r:id="rId58" display="GM7EKOL7R"/>
    <hyperlink ref="A60" r:id="rId59" display="196LKGWKF"/>
    <hyperlink ref="A61" r:id="rId60" display="L28NE41DL"/>
    <hyperlink ref="A62" r:id="rId61" display="P628MKEYA"/>
  </hyperlinks>
  <pageMargins left="0.75" right="0.75" top="1" bottom="1" header="0.5" footer="0.5"/>
  <tableParts>
    <tablePart r:id="rId62"/>
  </tablePart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Answer Details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