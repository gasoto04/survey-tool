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Answer Details" sheetId="2" r:id="rId3"/>
  </sheets>
  <definedNames/>
  <calcPr fullCalcOnLoad="1"/>
</workbook>
</file>

<file path=xl/calcChain.xml><?xml version="1.0" encoding="utf-8"?>
<calcChain xmlns="http://schemas.openxmlformats.org/spreadsheetml/2006/main">
  <c r="BC2" i="2" l="1"/>
</calcChain>
</file>

<file path=xl/sharedStrings.xml><?xml version="1.0" encoding="utf-8"?>
<sst xmlns="http://schemas.openxmlformats.org/spreadsheetml/2006/main" count="1088" uniqueCount="141">
  <si>
    <t>7NZ0E427H</t>
  </si>
  <si>
    <t>Nicaragua</t>
  </si>
  <si>
    <t>Central Bank</t>
  </si>
  <si>
    <t>Agree</t>
  </si>
  <si>
    <t>Neutral</t>
  </si>
  <si>
    <t>Important</t>
  </si>
  <si>
    <t>Somewhat complex</t>
  </si>
  <si>
    <t>Differences in views on the macroeconomic framework, Differences in the assessment of access to foreign currency (e.g. remittances, exports projections), Recommendations that did not fully reflect your country’s specific circumstances</t>
  </si>
  <si>
    <t>Relevant</t>
  </si>
  <si>
    <t>Yes</t>
  </si>
  <si>
    <t>7NZ7WL04T</t>
  </si>
  <si>
    <t>Congo, Democratic Republic of</t>
  </si>
  <si>
    <t>Other (please specify) : Executive Director's Office</t>
  </si>
  <si>
    <t>Strongly agree</t>
  </si>
  <si>
    <t>Very Important</t>
  </si>
  <si>
    <t>Not complex at all</t>
  </si>
  <si>
    <t>I don't know</t>
  </si>
  <si>
    <t>Disagree</t>
  </si>
  <si>
    <t>No</t>
  </si>
  <si>
    <t>K6YDG15LM</t>
  </si>
  <si>
    <t>Cambodia</t>
  </si>
  <si>
    <t>Ministry of Finance</t>
  </si>
  <si>
    <t>Somewhat important</t>
  </si>
  <si>
    <t>Not important</t>
  </si>
  <si>
    <t>Complex</t>
  </si>
  <si>
    <t>Very complex</t>
  </si>
  <si>
    <t>Other (please specify) : No Discussion on Assumptions</t>
  </si>
  <si>
    <t>DGM42QM9Q</t>
  </si>
  <si>
    <t>Liberia</t>
  </si>
  <si>
    <t>Differences in the characterization of your country’s debt profile (e.g., domestic debt, new borrowing sources, SOEs, contingent liabilities)</t>
  </si>
  <si>
    <t>Very relevant</t>
  </si>
  <si>
    <t>YE8L6P8PC</t>
  </si>
  <si>
    <t>Malawi</t>
  </si>
  <si>
    <t>Differences in views on the macroeconomic framework, Differences in assumptions on borrowing costs (e.g., interest rates, maturity, grace periods), Differences in the characterization of your country’s debt profile (e.g., domestic debt, new borrowing sources, SOEs, contingent liabilities)</t>
  </si>
  <si>
    <t>Strongly disagree</t>
  </si>
  <si>
    <t>8GL29K9KD</t>
  </si>
  <si>
    <t>Tanzania</t>
  </si>
  <si>
    <t>Other (please specify) : No disagreement in the recent years Debt Sustainability</t>
  </si>
  <si>
    <t>P6ELR7J7U</t>
  </si>
  <si>
    <t>Lao P.D.R.</t>
  </si>
  <si>
    <t>Debt Agency (part of the Ministry of Finance)</t>
  </si>
  <si>
    <t>Differences in assumptions on borrowing costs (e.g., interest rates, maturity, grace periods), Differences in the characterization of your country’s debt profile (e.g., domestic debt, new borrowing sources, SOEs, contingent liabilities)</t>
  </si>
  <si>
    <t>E4DJ8D91W</t>
  </si>
  <si>
    <t>Ethiopia</t>
  </si>
  <si>
    <t>Differences in views on the macroeconomic framework, Recommendations that did not fully reflect your country’s specific circumstances, Recommendations that appeared inconsistent with other elements of Staff advice, Recommendations that did not sufficiently take domestic socio political and/or capacity constraints into account</t>
  </si>
  <si>
    <t>WMJ8YJRNA</t>
  </si>
  <si>
    <t>Moldova</t>
  </si>
  <si>
    <t>Differences in views on the macroeconomic framework, Recommendations that did not sufficiently take domestic socio political and/or capacity constraints into account</t>
  </si>
  <si>
    <t>WMJGMLQ2H</t>
  </si>
  <si>
    <t>Benin</t>
  </si>
  <si>
    <t>Differences in views on the macroeconomic framework, Differences in assumptions on borrowing costs (e.g., interest rates, maturity, grace periods), Differences in the characterization of your country’s debt profile (e.g., domestic debt, new borrowing sources, SOEs, contingent liabilities), Recommendations that did not sufficiently take domestic socio political and/or capacity constraints into account</t>
  </si>
  <si>
    <t>L28Y54YYJ</t>
  </si>
  <si>
    <t>Kiribati</t>
  </si>
  <si>
    <t>Differences in assumptions on borrowing costs (e.g., interest rates, maturity, grace periods), Differences in the characterization of your country’s debt profile (e.g., domestic debt, new borrowing sources, SOEs, contingent liabilities), Differences in the assessment of access to foreign currency (e.g. remittances, exports projections), Recommendations that did not fully reflect your country’s specific circumstances, Recommendations that did not sufficiently take domestic socio political and/or capacity constraints into account, Other (please specify) : Debt carrying capacity or threshold to contingent liabilities and SOEs.</t>
  </si>
  <si>
    <t>Not relevant</t>
  </si>
  <si>
    <t>K6Q5285RP</t>
  </si>
  <si>
    <t>7N056D57D</t>
  </si>
  <si>
    <t>Madagascar</t>
  </si>
  <si>
    <t>Differences in views on the macroeconomic framework</t>
  </si>
  <si>
    <t>2941MN19M</t>
  </si>
  <si>
    <t>Kenya</t>
  </si>
  <si>
    <t>Differences in views on the macroeconomic framework, Differences in the assessment of access to foreign currency (e.g. remittances, exports projections), Recommendations that did not sufficiently take domestic socio political and/or capacity constraints into account</t>
  </si>
  <si>
    <t>196OMGL5G</t>
  </si>
  <si>
    <t>Tuvalu</t>
  </si>
  <si>
    <t>ON64QRY4A</t>
  </si>
  <si>
    <t>Burundi</t>
  </si>
  <si>
    <t>Differences in views on the macroeconomic framework, Differences in the characterization of your country’s debt profile (e.g., domestic debt, new borrowing sources, SOEs, contingent liabilities), Differences in the assessment of access to foreign currency (e.g. remittances, exports projections), Recommendations that did not fully reflect your country’s specific circumstances, Recommendations that appeared inconsistent with other elements of Staff advice, Recommendations that did not sufficiently take domestic socio political and/or capacity constraints into account</t>
  </si>
  <si>
    <t>QMRP407KV</t>
  </si>
  <si>
    <t>Differences in views on the macroeconomic framework, Differences in assumptions on borrowing costs (e.g., interest rates, maturity, grace periods), Differences in the characterization of your country’s debt profile (e.g., domestic debt, new borrowing sources, SOEs, contingent liabilities), Recommendations that appeared inconsistent with other elements of Staff advice, Recommendations that did not sufficiently take domestic socio political and/or capacity constraints into account</t>
  </si>
  <si>
    <t>DG7EW6LZN</t>
  </si>
  <si>
    <t>Zimbabwe</t>
  </si>
  <si>
    <t>Differences in views on the macroeconomic framework, Differences in assumptions on borrowing costs (e.g., interest rates, maturity, grace periods), Recommendations that did not fully reflect your country’s specific circumstances</t>
  </si>
  <si>
    <t>4N5JM8E5H</t>
  </si>
  <si>
    <t>Tonga</t>
  </si>
  <si>
    <t>Recommendations that did not sufficiently take domestic socio political and/or capacity constraints into account</t>
  </si>
  <si>
    <t>7N056DG7X</t>
  </si>
  <si>
    <t>Ghana</t>
  </si>
  <si>
    <t>Differences in the characterization of your country’s debt profile (e.g., domestic debt, new borrowing sources, SOEs, contingent liabilities), Recommendations that did not fully reflect your country’s specific circumstances</t>
  </si>
  <si>
    <t>YEJOQM5PW</t>
  </si>
  <si>
    <t>Mozambique</t>
  </si>
  <si>
    <t>Differences in the characterization of your country’s debt profile (e.g., domestic debt, new borrowing sources, SOEs, contingent liabilities), Recommendations that did not fully reflect your country’s specific circumstances, Recommendations that did not sufficiently take domestic socio political and/or capacity constraints into account</t>
  </si>
  <si>
    <t>YEJOQM9PX</t>
  </si>
  <si>
    <t>South Sudan</t>
  </si>
  <si>
    <t>Differences in assumptions on borrowing costs (e.g., interest rates, maturity, grace periods), Differences in the characterization of your country’s debt profile (e.g., domestic debt, new borrowing sources, SOEs, contingent liabilities), Differences in the assessment of access to foreign currency (e.g. remittances, exports projections), Recommendations that did not fully reflect your country’s specific circumstances, Recommendations that did not sufficiently take domestic socio political and/or capacity constraints into account</t>
  </si>
  <si>
    <t>In adequate data</t>
  </si>
  <si>
    <t>6WL2QPKMH</t>
  </si>
  <si>
    <t>Response Code</t>
  </si>
  <si>
    <t>Demographics</t>
  </si>
  <si>
    <t>1. Select your country.</t>
  </si>
  <si>
    <t>2. Which institution do you work for?</t>
  </si>
  <si>
    <t>A. Identification of Debt Vulnerabilities</t>
  </si>
  <si>
    <t>3. Please indicate the extent to which you agree with the following statements.: The IMF invested adequately in building and maintaining debt datasets for LICs</t>
  </si>
  <si>
    <t>3. Please indicate the extent to which you agree with the following statements.: The IMF invested adequately in research and analysis on debt issues in LICs</t>
  </si>
  <si>
    <t>3. Please indicate the extent to which you agree with the following statements.: IMF multilateral surveillance (e.g., IMF flagship reports like the WEO) identified major developments and emerging sources of debt risks in LICs in a timely manner</t>
  </si>
  <si>
    <t>3. Please indicate the extent to which you agree with the following statements.: IMF bilateral surveillance identified country-specific debt risks in LICs in a timely manner</t>
  </si>
  <si>
    <t>3. Please indicate the extent to which you agree with the following statements.: During IMF Staff visits, when you interacted with IMF staff on the LIC-DSF, your interlocutors were open to discussing the assumptions, methods and classifications underlying</t>
  </si>
  <si>
    <t>4. Based on your country’s experience working with IMF staff, how important was the use of IMF debt sustainability tools, such as the LIC-DSF, Debt Limits Policy, Public Debt Dynamics Tool, DIG+, and Fiscal Space Assessment Framework for:: Reporting, disc</t>
  </si>
  <si>
    <t>4. Based on your country’s experience working with IMF staff, how important was the use of IMF debt sustainability tools, such as the LIC-DSF, Debt Limits Policy, Public Debt Dynamics Tool, DIG+, and Fiscal Space Assessment Framework for:: Assessing and r</t>
  </si>
  <si>
    <t>4. Based on your country’s experience working with IMF staff, how important was the use of IMF debt sustainability tools, such as the LIC-DSF, Debt Limits Policy, Public Debt Dynamics Tool, DIG+, and Fiscal Space Assessment Framework for:: Determining acc</t>
  </si>
  <si>
    <t>4. Based on your country’s experience working with IMF staff, how important was the use of IMF debt sustainability tools, such as the LIC-DSF, Debt Limits Policy, Public Debt Dynamics Tool, DIG+, and Fiscal Space Assessment Framework for:: Defining debt-r</t>
  </si>
  <si>
    <t>4. Based on your country’s experience working with IMF staff, how important was the use of IMF debt sustainability tools, such as the LIC-DSF, Debt Limits Policy, Public Debt Dynamics Tool, DIG+, and Fiscal Space Assessment Framework for:: Determining the</t>
  </si>
  <si>
    <t>4. Based on your country’s experience working with IMF staff, how important was the use of IMF debt sustainability tools, such as the LIC-DSF, Debt Limits Policy, Public Debt Dynamics Tool, DIG+, and Fiscal Space Assessment Framework for:: Developing capa</t>
  </si>
  <si>
    <t>4. Based on your country’s experience working with IMF staff, how important was the use of IMF debt sustainability tools, such as the LIC-DSF, Debt Limits Policy, Public Debt Dynamics Tool, DIG+, and Fiscal Space Assessment Framework for:: Producing a glo</t>
  </si>
  <si>
    <t>5. Based on your country’s experience working with IMF staff, how complex were the following aspects of the LIC-DSF to understand?: The LIC-DSF as a whole</t>
  </si>
  <si>
    <t>5. Based on your country’s experience working with IMF staff, how complex were the following aspects of the LIC-DSF to understand?: Guidance Notes &amp; Online Resources</t>
  </si>
  <si>
    <t>5. Based on your country’s experience working with IMF staff, how complex were the following aspects of the LIC-DSF to understand?: DSA Assumptions</t>
  </si>
  <si>
    <t>5. Based on your country’s experience working with IMF staff, how complex were the following aspects of the LIC-DSF to understand?: Baseline Projections</t>
  </si>
  <si>
    <t>5. Based on your country’s experience working with IMF staff, how complex were the following aspects of the LIC-DSF to understand?: Stress Tests</t>
  </si>
  <si>
    <t>5. Based on your country’s experience working with IMF staff, how complex were the following aspects of the LIC-DSF to understand?: Realism Tools</t>
  </si>
  <si>
    <t>5. Based on your country’s experience working with IMF staff, how complex were the following aspects of the LIC-DSF to understand?: DSA Underlying Model</t>
  </si>
  <si>
    <t>5. Based on your country’s experience working with IMF staff, how complex were the following aspects of the LIC-DSF to understand?: Rating Classification</t>
  </si>
  <si>
    <t>5. Based on your country’s experience working with IMF staff, how complex were the following aspects of the LIC-DSF to understand?: The Use of Judgement</t>
  </si>
  <si>
    <t>5. Based on your country’s experience working with IMF staff, how complex were the following aspects of the LIC-DSF to understand?: DSA Staff Reports &amp; Final Outputs</t>
  </si>
  <si>
    <t>6. In your view, which of the following factors typically justify a potential disagreement with Staff advice on debt sustainability?</t>
  </si>
  <si>
    <t>B. Growth-Investment Nexus</t>
  </si>
  <si>
    <t>7. Based on your country’s experience working with IMF staff, please indicate the extent to which you agree with the following statements.: IMF advice appropriately recognized fiscal space in LICs after debt relief under the Heavily Indebted Poor Countrie</t>
  </si>
  <si>
    <t>7. Based on your country’s experience working with IMF staff, please indicate the extent to which you agree with the following statements.: The IMF provided clear guidance on whether and how to use available fiscal space for growth-enhancing public invest</t>
  </si>
  <si>
    <t>7. Based on your country’s experience working with IMF staff, please indicate the extent to which you agree with the following statements.: When borrowing space was limited, IMF advice tended to prioritize debt risk containment over growth-enhancing publi</t>
  </si>
  <si>
    <t>7. Based on your country’s experience working with IMF staff, please indicate the extent to which you agree with the following statements.: Analytical tools linking public investment, growth, and debt dynamics (e.g. DIG models) were used to analyze altern</t>
  </si>
  <si>
    <t>7. Based on your country’s experience working with IMF staff, please indicate the extent to which you agree with the following statements.: Medium- and long-term growth payoffs from public investment were sufficiently integrated into Debt Sustainability A</t>
  </si>
  <si>
    <t>C. Public Investment and Debt Management</t>
  </si>
  <si>
    <t>8. Based on your country’s experience working with IMF staff, please indicate the extent to which you agree with the following statements.: IMF teams could adequately assess investment-related borrowing using external project assessments and information f</t>
  </si>
  <si>
    <t>8. Based on your country’s experience working with IMF staff, please indicate the extent to which you agree with the following statements.: IMF surveillance and/or program discussions clarified not only whether to borrow, but also how to borrow (terms, in</t>
  </si>
  <si>
    <t>8. Based on your country’s experience working with IMF staff, please indicate the extent to which you agree with the following statements.: IMF technical assistance and/or training related to public debt management has been effective in strengthening your</t>
  </si>
  <si>
    <t>8.1. Please specify the reason(s) why you do not agree with that IMF technical assistance and/or training related to public debt management has been effective.</t>
  </si>
  <si>
    <t>9. How relevant was IMF technical assistance and/or training for the following public debt management issues in light of your country’s specific needs?: Improving institutional arrangements for debt management</t>
  </si>
  <si>
    <t>9. How relevant was IMF technical assistance and/or training for the following public debt management issues in light of your country’s specific needs?: Developing and implementing debt management strategy</t>
  </si>
  <si>
    <t>9. How relevant was IMF technical assistance and/or training for the following public debt management issues in light of your country’s specific needs?: Developing local currency bond markets</t>
  </si>
  <si>
    <t>9. How relevant was IMF technical assistance and/or training for the following public debt management issues in light of your country’s specific needs?: Improving debt recording, reporting and monitoring</t>
  </si>
  <si>
    <t>D. Debt Transparency</t>
  </si>
  <si>
    <t>10. Based on your country’s experience working with IMF staff, please indicate the extent to which you agree with the following statements.: Your country has the institutional capacity to comply with the recently approved new minimum debt-data requirement</t>
  </si>
  <si>
    <t>10. Based on your country’s experience working with IMF staff, please indicate the extent to which you agree with the following statements.: The IMF coordinated with the World Bank, and regional financial institutions (such as the African Development Bank</t>
  </si>
  <si>
    <t>10. Based on your country’s experience working with IMF staff, please indicate the extent to which you agree with the following statements.: During missions, IMF country teams discussed with the authorities the importance of strengthening debt‑data dissem</t>
  </si>
  <si>
    <t>E. Debt Restructuring</t>
  </si>
  <si>
    <t>11. Based on your experience working with IMF staff, please indicate the extent to which you agree with the following statements. IMF policies and guidance notes relevant to debt restructuring, such as the financing assurances policy, arrears policies, an</t>
  </si>
  <si>
    <t>11. Based on your experience working with IMF staff, please indicate the extent to which you agree with the following statements. IMF policies and guidance notes relevant to debt restructuring, such as the financing assurances policy, arrears policie (2)</t>
  </si>
  <si>
    <t>12. Did your country go through a debt restructuring process between 2005 and 2025?</t>
  </si>
  <si>
    <t>12.1. Based on your experience working with IMF staff during a debt restructuring process, please indicate the extent to which you agree with the following statements.: The IMF appropriately maintained neutrality while providing technical advice in debt r</t>
  </si>
  <si>
    <t>12.1. Based on your experience working with IMF staff during a debt restructuring process, please indicate the extent to which you agree with the following statements.: The IMF’s role remains adequate to help expedite debt restructurings</t>
  </si>
  <si>
    <t>12.1.1. Please describe what role the Fund should play in debt restructuring processes and why.</t>
  </si>
  <si>
    <t>Completed Date (GMT-05:00) Eastern [US &amp; Canada]</t>
  </si>
</sst>
</file>

<file path=xl/styles.xml><?xml version="1.0" encoding="utf-8"?>
<styleSheet xmlns="http://schemas.openxmlformats.org/spreadsheetml/2006/main">
  <numFmts count="1">
    <numFmt numFmtId="177" formatCode="@"/>
  </numFmts>
  <fonts count="5">
    <font>
      <sz val="10"/>
      <color theme="1"/>
      <name val="Arial"/>
      <family val="2"/>
    </font>
    <font>
      <b/>
      <sz val="13"/>
      <color theme="1"/>
      <name val="Calibri"/>
      <family val="2"/>
    </font>
    <font>
      <sz val="12"/>
      <color theme="1"/>
      <name val="Calibri"/>
      <family val="2"/>
    </font>
    <font>
      <u val="single"/>
      <sz val="12"/>
      <color rgb="FF0000FF"/>
      <name val="Calibri"/>
      <family val="2"/>
    </font>
    <font>
      <u val="single"/>
      <sz val="10"/>
      <color rgb="FF0000FF"/>
      <name val="Arial"/>
      <family val="2"/>
    </font>
  </fonts>
  <fills count="3">
    <fill>
      <patternFill patternType="none"/>
    </fill>
    <fill>
      <patternFill patternType="gray125"/>
    </fill>
    <fill>
      <patternFill patternType="solid">
        <fgColor rgb="FFEDEDED"/>
        <bgColor indexed="64"/>
      </patternFill>
    </fill>
  </fills>
  <borders count="2">
    <border>
      <left/>
      <right/>
      <top/>
      <bottom/>
      <diagonal/>
    </border>
    <border>
      <left/>
      <right/>
      <top style="thin">
        <color rgb="FF000000"/>
      </top>
      <bottom style="thin">
        <color rgb="FF000000"/>
      </bottom>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4" fillId="0" borderId="0">
      <alignment/>
      <protection/>
    </xf>
  </cellStyleXfs>
  <cellXfs count="9">
    <xf numFmtId="0" fontId="0" fillId="0" borderId="0" xfId="0"/>
    <xf numFmtId="0" fontId="4" fillId="0" borderId="0" xfId="20">
      <alignment/>
      <protection/>
    </xf>
    <xf numFmtId="177" fontId="3" fillId="0" borderId="0" xfId="20" applyNumberFormat="1" applyFont="1" applyAlignment="1">
      <alignment wrapText="1"/>
      <protection/>
    </xf>
    <xf numFmtId="177" fontId="2" fillId="0" borderId="0" xfId="0" applyNumberFormat="1" applyFont="1" applyAlignment="1">
      <alignment wrapText="1"/>
    </xf>
    <xf numFmtId="22" fontId="2" fillId="0" borderId="0" xfId="0" applyNumberFormat="1" applyFont="1"/>
    <xf numFmtId="177" fontId="3" fillId="2" borderId="0" xfId="20" applyNumberFormat="1" applyFont="1" applyFill="1" applyAlignment="1">
      <alignment wrapText="1"/>
      <protection/>
    </xf>
    <xf numFmtId="177" fontId="2" fillId="2" borderId="0" xfId="0" applyNumberFormat="1" applyFont="1" applyFill="1" applyAlignment="1">
      <alignment wrapText="1"/>
    </xf>
    <xf numFmtId="22" fontId="2" fillId="2" borderId="0" xfId="0" applyNumberFormat="1" applyFont="1" applyFill="1"/>
    <xf numFmtId="0" fontId="1" fillId="0" borderId="1" xfId="0" applyFont="1" applyBorder="1" applyAlignment="1">
      <alignment vertical="center"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calcChain" Target="calcChain.xml" /></Relationships>
</file>

<file path=xl/tables/table1.xml><?xml version="1.0" encoding="utf-8"?>
<table xmlns="http://schemas.openxmlformats.org/spreadsheetml/2006/main" id="1" name="Table1" displayName="Table1" ref="A1:BC24" totalsRowShown="0">
  <autoFilter ref="A1:BC24"/>
  <tableColumns count="55">
    <tableColumn id="1" name="Response Code"/>
    <tableColumn id="2" name="Demographics"/>
    <tableColumn id="3" name="1. Select your country."/>
    <tableColumn id="4" name="2. Which institution do you work for?"/>
    <tableColumn id="5" name="A. Identification of Debt Vulnerabilities"/>
    <tableColumn id="6" name="3. Please indicate the extent to which you agree with the following statements.: The IMF invested adequately in building and maintaining debt datasets for LICs"/>
    <tableColumn id="7" name="3. Please indicate the extent to which you agree with the following statements.: The IMF invested adequately in research and analysis on debt issues in LICs"/>
    <tableColumn id="8" name="3. Please indicate the extent to which you agree with the following statements.: IMF multilateral surveillance (e.g., IMF flagship reports like the WEO) identified major developments and emerging sources of debt risks in LICs in a timely manner"/>
    <tableColumn id="9" name="3. Please indicate the extent to which you agree with the following statements.: IMF bilateral surveillance identified country-specific debt risks in LICs in a timely manner"/>
    <tableColumn id="10" name="3. Please indicate the extent to which you agree with the following statements.: During IMF Staff visits, when you interacted with IMF staff on the LIC-DSF, your interlocutors were open to discussing the assumptions, methods and classifications underlying"/>
    <tableColumn id="11" name="4. Based on your country’s experience working with IMF staff, how important was the use of IMF debt sustainability tools, such as the LIC-DSF, Debt Limits Policy, Public Debt Dynamics Tool, DIG+, and Fiscal Space Assessment Framework for:: Reporting, disc"/>
    <tableColumn id="12" name="4. Based on your country’s experience working with IMF staff, how important was the use of IMF debt sustainability tools, such as the LIC-DSF, Debt Limits Policy, Public Debt Dynamics Tool, DIG+, and Fiscal Space Assessment Framework for:: Assessing and r"/>
    <tableColumn id="13" name="4. Based on your country’s experience working with IMF staff, how important was the use of IMF debt sustainability tools, such as the LIC-DSF, Debt Limits Policy, Public Debt Dynamics Tool, DIG+, and Fiscal Space Assessment Framework for:: Determining acc"/>
    <tableColumn id="14" name="4. Based on your country’s experience working with IMF staff, how important was the use of IMF debt sustainability tools, such as the LIC-DSF, Debt Limits Policy, Public Debt Dynamics Tool, DIG+, and Fiscal Space Assessment Framework for:: Defining debt-r"/>
    <tableColumn id="15" name="4. Based on your country’s experience working with IMF staff, how important was the use of IMF debt sustainability tools, such as the LIC-DSF, Debt Limits Policy, Public Debt Dynamics Tool, DIG+, and Fiscal Space Assessment Framework for:: Determining the"/>
    <tableColumn id="16" name="4. Based on your country’s experience working with IMF staff, how important was the use of IMF debt sustainability tools, such as the LIC-DSF, Debt Limits Policy, Public Debt Dynamics Tool, DIG+, and Fiscal Space Assessment Framework for:: Developing capa"/>
    <tableColumn id="17" name="4. Based on your country’s experience working with IMF staff, how important was the use of IMF debt sustainability tools, such as the LIC-DSF, Debt Limits Policy, Public Debt Dynamics Tool, DIG+, and Fiscal Space Assessment Framework for:: Producing a glo"/>
    <tableColumn id="18" name="5. Based on your country’s experience working with IMF staff, how complex were the following aspects of the LIC-DSF to understand?: The LIC-DSF as a whole"/>
    <tableColumn id="19" name="5. Based on your country’s experience working with IMF staff, how complex were the following aspects of the LIC-DSF to understand?: Guidance Notes &amp; Online Resources"/>
    <tableColumn id="20" name="5. Based on your country’s experience working with IMF staff, how complex were the following aspects of the LIC-DSF to understand?: DSA Assumptions"/>
    <tableColumn id="21" name="5. Based on your country’s experience working with IMF staff, how complex were the following aspects of the LIC-DSF to understand?: Baseline Projections"/>
    <tableColumn id="22" name="5. Based on your country’s experience working with IMF staff, how complex were the following aspects of the LIC-DSF to understand?: Stress Tests"/>
    <tableColumn id="23" name="5. Based on your country’s experience working with IMF staff, how complex were the following aspects of the LIC-DSF to understand?: Realism Tools"/>
    <tableColumn id="24" name="5. Based on your country’s experience working with IMF staff, how complex were the following aspects of the LIC-DSF to understand?: DSA Underlying Model"/>
    <tableColumn id="25" name="5. Based on your country’s experience working with IMF staff, how complex were the following aspects of the LIC-DSF to understand?: Rating Classification"/>
    <tableColumn id="26" name="5. Based on your country’s experience working with IMF staff, how complex were the following aspects of the LIC-DSF to understand?: The Use of Judgement"/>
    <tableColumn id="27" name="5. Based on your country’s experience working with IMF staff, how complex were the following aspects of the LIC-DSF to understand?: DSA Staff Reports &amp; Final Outputs"/>
    <tableColumn id="28" name="6. In your view, which of the following factors typically justify a potential disagreement with Staff advice on debt sustainability?"/>
    <tableColumn id="29" name="B. Growth-Investment Nexus"/>
    <tableColumn id="30" name="7. Based on your country’s experience working with IMF staff, please indicate the extent to which you agree with the following statements.: IMF advice appropriately recognized fiscal space in LICs after debt relief under the Heavily Indebted Poor Countrie"/>
    <tableColumn id="31" name="7. Based on your country’s experience working with IMF staff, please indicate the extent to which you agree with the following statements.: The IMF provided clear guidance on whether and how to use available fiscal space for growth-enhancing public invest"/>
    <tableColumn id="32" name="7. Based on your country’s experience working with IMF staff, please indicate the extent to which you agree with the following statements.: When borrowing space was limited, IMF advice tended to prioritize debt risk containment over growth-enhancing publi"/>
    <tableColumn id="33" name="7. Based on your country’s experience working with IMF staff, please indicate the extent to which you agree with the following statements.: Analytical tools linking public investment, growth, and debt dynamics (e.g. DIG models) were used to analyze altern"/>
    <tableColumn id="34" name="7. Based on your country’s experience working with IMF staff, please indicate the extent to which you agree with the following statements.: Medium- and long-term growth payoffs from public investment were sufficiently integrated into Debt Sustainability A"/>
    <tableColumn id="35" name="C. Public Investment and Debt Management"/>
    <tableColumn id="36" name="8. Based on your country’s experience working with IMF staff, please indicate the extent to which you agree with the following statements.: IMF teams could adequately assess investment-related borrowing using external project assessments and information f"/>
    <tableColumn id="37" name="8. Based on your country’s experience working with IMF staff, please indicate the extent to which you agree with the following statements.: IMF surveillance and/or program discussions clarified not only whether to borrow, but also how to borrow (terms, in"/>
    <tableColumn id="38" name="8. Based on your country’s experience working with IMF staff, please indicate the extent to which you agree with the following statements.: IMF technical assistance and/or training related to public debt management has been effective in strengthening your"/>
    <tableColumn id="39" name="8.1. Please specify the reason(s) why you do not agree with that IMF technical assistance and/or training related to public debt management has been effective."/>
    <tableColumn id="40" name="9. How relevant was IMF technical assistance and/or training for the following public debt management issues in light of your country’s specific needs?: Improving institutional arrangements for debt management"/>
    <tableColumn id="41" name="9. How relevant was IMF technical assistance and/or training for the following public debt management issues in light of your country’s specific needs?: Developing and implementing debt management strategy"/>
    <tableColumn id="42" name="9. How relevant was IMF technical assistance and/or training for the following public debt management issues in light of your country’s specific needs?: Developing local currency bond markets"/>
    <tableColumn id="43" name="9. How relevant was IMF technical assistance and/or training for the following public debt management issues in light of your country’s specific needs?: Improving debt recording, reporting and monitoring"/>
    <tableColumn id="44" name="D. Debt Transparency"/>
    <tableColumn id="45" name="10. Based on your country’s experience working with IMF staff, please indicate the extent to which you agree with the following statements.: Your country has the institutional capacity to comply with the recently approved new minimum debt-data requirement"/>
    <tableColumn id="46" name="10. Based on your country’s experience working with IMF staff, please indicate the extent to which you agree with the following statements.: The IMF coordinated with the World Bank, and regional financial institutions (such as the African Development Bank"/>
    <tableColumn id="47" name="10. Based on your country’s experience working with IMF staff, please indicate the extent to which you agree with the following statements.: During missions, IMF country teams discussed with the authorities the importance of strengthening debt‑data dissem"/>
    <tableColumn id="48" name="E. Debt Restructuring"/>
    <tableColumn id="49" name="11. Based on your experience working with IMF staff, please indicate the extent to which you agree with the following statements. IMF policies and guidance notes relevant to debt restructuring, such as the financing assurances policy, arrears policies, an"/>
    <tableColumn id="50" name="11. Based on your experience working with IMF staff, please indicate the extent to which you agree with the following statements. IMF policies and guidance notes relevant to debt restructuring, such as the financing assurances policy, arrears policie (2)"/>
    <tableColumn id="51" name="12. Did your country go through a debt restructuring process between 2005 and 2025?"/>
    <tableColumn id="52" name="12.1. Based on your experience working with IMF staff during a debt restructuring process, please indicate the extent to which you agree with the following statements.: The IMF appropriately maintained neutrality while providing technical advice in debt r"/>
    <tableColumn id="53" name="12.1. Based on your experience working with IMF staff during a debt restructuring process, please indicate the extent to which you agree with the following statements.: The IMF’s role remains adequate to help expedite debt restructurings"/>
    <tableColumn id="54" name="12.1.1. Please describe what role the Fund should play in debt restructuring processes and why."/>
    <tableColumn id="55" name="Completed Date (GMT-05:00) Eastern [US &amp; Can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0" Type="http://schemas.openxmlformats.org/officeDocument/2006/relationships/hyperlink" Target="https://app.cvent.com/subscribers/Survey/Responses/RespondentDetails/Index/View?surveyId=c4887a1d-032b-4204-85ec-da1f97e4d350&amp;respondentId=367ba932-0d28-4aac-85cb-4e5d6da7f0a8&amp;surveyAudience=attendees" TargetMode="External" /><Relationship Id="rId11" Type="http://schemas.openxmlformats.org/officeDocument/2006/relationships/hyperlink" Target="https://app.cvent.com/subscribers/Survey/Responses/RespondentDetails/Index/View?surveyId=c4887a1d-032b-4204-85ec-da1f97e4d350&amp;respondentId=185f7131-0ca6-45c8-a99e-f1dd5d8abaf3&amp;surveyAudience=attendees" TargetMode="External" /><Relationship Id="rId22" Type="http://schemas.openxmlformats.org/officeDocument/2006/relationships/hyperlink" Target="https://app.cvent.com/subscribers/Survey/Responses/RespondentDetails/Index/View?surveyId=c4887a1d-032b-4204-85ec-da1f97e4d350&amp;respondentId=5c54d2e5-0650-49f7-941a-f752f7d819b6&amp;surveyAudience=attendees" TargetMode="External" /><Relationship Id="rId10" Type="http://schemas.openxmlformats.org/officeDocument/2006/relationships/hyperlink" Target="https://app.cvent.com/subscribers/Survey/Responses/RespondentDetails/Index/View?surveyId=c4887a1d-032b-4204-85ec-da1f97e4d350&amp;respondentId=9f12c6e9-5f81-49c5-9ea3-755e059f88ca&amp;surveyAudience=attendees" TargetMode="External" /><Relationship Id="rId21" Type="http://schemas.openxmlformats.org/officeDocument/2006/relationships/hyperlink" Target="https://app.cvent.com/subscribers/Survey/Responses/RespondentDetails/Index/View?surveyId=c4887a1d-032b-4204-85ec-da1f97e4d350&amp;respondentId=e7aaab82-abe9-4b44-8ca9-aa19cf3c12b4&amp;surveyAudience=attendees" TargetMode="External" /><Relationship Id="rId13" Type="http://schemas.openxmlformats.org/officeDocument/2006/relationships/hyperlink" Target="https://app.cvent.com/subscribers/Survey/Responses/RespondentDetails/Index/View?surveyId=c4887a1d-032b-4204-85ec-da1f97e4d350&amp;respondentId=16e93759-9fdf-4a10-9efa-b2b02ebbccdd&amp;surveyAudience=attendees" TargetMode="External" /><Relationship Id="rId24" Type="http://schemas.openxmlformats.org/officeDocument/2006/relationships/table" Target="../tables/table1.xml" /><Relationship Id="rId12" Type="http://schemas.openxmlformats.org/officeDocument/2006/relationships/hyperlink" Target="https://app.cvent.com/subscribers/Survey/Responses/RespondentDetails/Index/View?surveyId=c4887a1d-032b-4204-85ec-da1f97e4d350&amp;respondentId=78fb54cd-a581-4a7a-a8ea-5a18905585ec&amp;surveyAudience=attendees" TargetMode="External" /><Relationship Id="rId23" Type="http://schemas.openxmlformats.org/officeDocument/2006/relationships/hyperlink" Target="https://app.cvent.com/subscribers/Survey/Responses/RespondentDetails/Index/View?surveyId=c4887a1d-032b-4204-85ec-da1f97e4d350&amp;respondentId=04163e79-7888-4fdb-a986-4ae41bd081da&amp;surveyAudience=attendees" TargetMode="External" /><Relationship Id="rId1" Type="http://schemas.openxmlformats.org/officeDocument/2006/relationships/hyperlink" Target="https://app.cvent.com/subscribers/Survey/Responses/RespondentDetails/Index/View?surveyId=c4887a1d-032b-4204-85ec-da1f97e4d350&amp;respondentId=5a6f4b6d-f486-41d5-976e-7b71a755def6&amp;surveyAudience=attendees" TargetMode="External" /><Relationship Id="rId2" Type="http://schemas.openxmlformats.org/officeDocument/2006/relationships/hyperlink" Target="https://app.cvent.com/subscribers/Survey/Responses/RespondentDetails/Index/View?surveyId=c4887a1d-032b-4204-85ec-da1f97e4d350&amp;respondentId=01cab881-7101-4874-91a1-ed33c5ef11fc&amp;surveyAudience=attendees" TargetMode="External" /><Relationship Id="rId3" Type="http://schemas.openxmlformats.org/officeDocument/2006/relationships/hyperlink" Target="https://app.cvent.com/subscribers/Survey/Responses/RespondentDetails/Index/View?surveyId=c4887a1d-032b-4204-85ec-da1f97e4d350&amp;respondentId=5f507fd6-dde0-4544-b408-21c27ccd8fe3&amp;surveyAudience=attendees" TargetMode="External" /><Relationship Id="rId4" Type="http://schemas.openxmlformats.org/officeDocument/2006/relationships/hyperlink" Target="https://app.cvent.com/subscribers/Survey/Responses/RespondentDetails/Index/View?surveyId=c4887a1d-032b-4204-85ec-da1f97e4d350&amp;respondentId=e59837bb-f67f-4ded-8dc1-6088cd8d9d25&amp;surveyAudience=attendees" TargetMode="External" /><Relationship Id="rId9" Type="http://schemas.openxmlformats.org/officeDocument/2006/relationships/hyperlink" Target="https://app.cvent.com/subscribers/Survey/Responses/RespondentDetails/Index/View?surveyId=c4887a1d-032b-4204-85ec-da1f97e4d350&amp;respondentId=0c03bc2e-20a1-43bc-9d20-44c6763e9506&amp;surveyAudience=attendees" TargetMode="External" /><Relationship Id="rId15" Type="http://schemas.openxmlformats.org/officeDocument/2006/relationships/hyperlink" Target="https://app.cvent.com/subscribers/Survey/Responses/RespondentDetails/Index/View?surveyId=c4887a1d-032b-4204-85ec-da1f97e4d350&amp;respondentId=9aa52c8e-e540-49db-88d8-5e6bfcf21683&amp;surveyAudience=attendees" TargetMode="External" /><Relationship Id="rId14" Type="http://schemas.openxmlformats.org/officeDocument/2006/relationships/hyperlink" Target="https://app.cvent.com/subscribers/Survey/Responses/RespondentDetails/Index/View?surveyId=c4887a1d-032b-4204-85ec-da1f97e4d350&amp;respondentId=5b2e7fc1-a530-4b72-9a81-2ed749abc1e3&amp;surveyAudience=attendees" TargetMode="External" /><Relationship Id="rId17" Type="http://schemas.openxmlformats.org/officeDocument/2006/relationships/hyperlink" Target="https://app.cvent.com/subscribers/Survey/Responses/RespondentDetails/Index/View?surveyId=c4887a1d-032b-4204-85ec-da1f97e4d350&amp;respondentId=c18a6120-d264-4eca-a349-2e586d9b1f7b&amp;surveyAudience=attendees" TargetMode="External" /><Relationship Id="rId16" Type="http://schemas.openxmlformats.org/officeDocument/2006/relationships/hyperlink" Target="https://app.cvent.com/subscribers/Survey/Responses/RespondentDetails/Index/View?surveyId=c4887a1d-032b-4204-85ec-da1f97e4d350&amp;respondentId=ebc4e28f-6297-4f52-b8cf-6646a8c3ec87&amp;surveyAudience=attendees" TargetMode="External" /><Relationship Id="rId5" Type="http://schemas.openxmlformats.org/officeDocument/2006/relationships/hyperlink" Target="https://app.cvent.com/subscribers/Survey/Responses/RespondentDetails/Index/View?surveyId=c4887a1d-032b-4204-85ec-da1f97e4d350&amp;respondentId=b17565c9-0f08-48b4-91fe-aed863b4afef&amp;surveyAudience=attendees" TargetMode="External" /><Relationship Id="rId19" Type="http://schemas.openxmlformats.org/officeDocument/2006/relationships/hyperlink" Target="https://app.cvent.com/subscribers/Survey/Responses/RespondentDetails/Index/View?surveyId=c4887a1d-032b-4204-85ec-da1f97e4d350&amp;respondentId=81307f8b-cd8b-4a18-8775-b68c479dabfb&amp;surveyAudience=attendees" TargetMode="External" /><Relationship Id="rId6" Type="http://schemas.openxmlformats.org/officeDocument/2006/relationships/hyperlink" Target="https://app.cvent.com/subscribers/Survey/Responses/RespondentDetails/Index/View?surveyId=c4887a1d-032b-4204-85ec-da1f97e4d350&amp;respondentId=3c5bc1f4-9590-4df2-88fc-8c92d88e4872&amp;surveyAudience=attendees" TargetMode="External" /><Relationship Id="rId18" Type="http://schemas.openxmlformats.org/officeDocument/2006/relationships/hyperlink" Target="https://app.cvent.com/subscribers/Survey/Responses/RespondentDetails/Index/View?surveyId=c4887a1d-032b-4204-85ec-da1f97e4d350&amp;respondentId=91efde28-6458-432c-9796-11406b6d2bdc&amp;surveyAudience=attendees" TargetMode="External" /><Relationship Id="rId7" Type="http://schemas.openxmlformats.org/officeDocument/2006/relationships/hyperlink" Target="https://app.cvent.com/subscribers/Survey/Responses/RespondentDetails/Index/View?surveyId=c4887a1d-032b-4204-85ec-da1f97e4d350&amp;respondentId=0b4e710f-0e2d-4fa3-b003-ce746de71819&amp;surveyAudience=attendees" TargetMode="External" /><Relationship Id="rId8" Type="http://schemas.openxmlformats.org/officeDocument/2006/relationships/hyperlink" Target="https://app.cvent.com/subscribers/Survey/Responses/RespondentDetails/Index/View?surveyId=c4887a1d-032b-4204-85ec-da1f97e4d350&amp;respondentId=b1151f11-2279-4b7c-8eca-313762708ea0&amp;surveyAudience=attende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458ada-0124-4f34-85cc-521c45f37da4}">
  <dimension ref="A1:BC24"/>
  <sheetViews>
    <sheetView workbookViewId="0" topLeftCell="A1"/>
  </sheetViews>
  <sheetFormatPr defaultRowHeight="12.75"/>
  <cols>
    <col min="1" max="55" width="27.428571428571427" customWidth="1"/>
  </cols>
  <sheetData>
    <row r="1" spans="1:55" ht="12.75">
      <c r="A1" s="8" t="s">
        <v>86</v>
      </c>
      <c r="B1" s="8" t="s">
        <v>87</v>
      </c>
      <c r="C1" s="8" t="s">
        <v>88</v>
      </c>
      <c r="D1" s="8" t="s">
        <v>89</v>
      </c>
      <c r="E1" s="8" t="s">
        <v>90</v>
      </c>
      <c r="F1" s="8" t="s">
        <v>91</v>
      </c>
      <c r="G1" s="8" t="s">
        <v>92</v>
      </c>
      <c r="H1" s="8" t="s">
        <v>93</v>
      </c>
      <c r="I1" s="8" t="s">
        <v>94</v>
      </c>
      <c r="J1" s="8" t="s">
        <v>95</v>
      </c>
      <c r="K1" s="8" t="s">
        <v>96</v>
      </c>
      <c r="L1" s="8" t="s">
        <v>97</v>
      </c>
      <c r="M1" s="8" t="s">
        <v>98</v>
      </c>
      <c r="N1" s="8" t="s">
        <v>99</v>
      </c>
      <c r="O1" s="8" t="s">
        <v>100</v>
      </c>
      <c r="P1" s="8" t="s">
        <v>101</v>
      </c>
      <c r="Q1" s="8" t="s">
        <v>102</v>
      </c>
      <c r="R1" s="8" t="s">
        <v>103</v>
      </c>
      <c r="S1" s="8" t="s">
        <v>104</v>
      </c>
      <c r="T1" s="8" t="s">
        <v>105</v>
      </c>
      <c r="U1" s="8" t="s">
        <v>106</v>
      </c>
      <c r="V1" s="8" t="s">
        <v>107</v>
      </c>
      <c r="W1" s="8" t="s">
        <v>108</v>
      </c>
      <c r="X1" s="8" t="s">
        <v>109</v>
      </c>
      <c r="Y1" s="8" t="s">
        <v>110</v>
      </c>
      <c r="Z1" s="8" t="s">
        <v>111</v>
      </c>
      <c r="AA1" s="8" t="s">
        <v>112</v>
      </c>
      <c r="AB1" s="8" t="s">
        <v>113</v>
      </c>
      <c r="AC1" s="8" t="s">
        <v>114</v>
      </c>
      <c r="AD1" s="8" t="s">
        <v>115</v>
      </c>
      <c r="AE1" s="8" t="s">
        <v>116</v>
      </c>
      <c r="AF1" s="8" t="s">
        <v>117</v>
      </c>
      <c r="AG1" s="8" t="s">
        <v>118</v>
      </c>
      <c r="AH1" s="8" t="s">
        <v>119</v>
      </c>
      <c r="AI1" s="8" t="s">
        <v>120</v>
      </c>
      <c r="AJ1" s="8" t="s">
        <v>121</v>
      </c>
      <c r="AK1" s="8" t="s">
        <v>122</v>
      </c>
      <c r="AL1" s="8" t="s">
        <v>123</v>
      </c>
      <c r="AM1" s="8" t="s">
        <v>124</v>
      </c>
      <c r="AN1" s="8" t="s">
        <v>125</v>
      </c>
      <c r="AO1" s="8" t="s">
        <v>126</v>
      </c>
      <c r="AP1" s="8" t="s">
        <v>127</v>
      </c>
      <c r="AQ1" s="8" t="s">
        <v>128</v>
      </c>
      <c r="AR1" s="8" t="s">
        <v>129</v>
      </c>
      <c r="AS1" s="8" t="s">
        <v>130</v>
      </c>
      <c r="AT1" s="8" t="s">
        <v>131</v>
      </c>
      <c r="AU1" s="8" t="s">
        <v>132</v>
      </c>
      <c r="AV1" s="8" t="s">
        <v>133</v>
      </c>
      <c r="AW1" s="8" t="s">
        <v>134</v>
      </c>
      <c r="AX1" s="8" t="s">
        <v>135</v>
      </c>
      <c r="AY1" s="8" t="s">
        <v>136</v>
      </c>
      <c r="AZ1" s="8" t="s">
        <v>137</v>
      </c>
      <c r="BA1" s="8" t="s">
        <v>138</v>
      </c>
      <c r="BB1" s="8" t="s">
        <v>139</v>
      </c>
      <c r="BC1" s="8" t="s">
        <v>140</v>
      </c>
    </row>
    <row r="2" spans="1:55" ht="12.75">
      <c r="A2" s="2" t="s">
        <v>0</v>
      </c>
      <c r="B2" s="3"/>
      <c r="C2" s="3" t="s">
        <v>1</v>
      </c>
      <c r="D2" s="3" t="s">
        <v>2</v>
      </c>
      <c r="E2" s="3"/>
      <c r="F2" s="3" t="s">
        <v>3</v>
      </c>
      <c r="G2" s="3" t="s">
        <v>3</v>
      </c>
      <c r="H2" s="3" t="s">
        <v>3</v>
      </c>
      <c r="I2" s="3" t="s">
        <v>4</v>
      </c>
      <c r="J2" s="3" t="s">
        <v>3</v>
      </c>
      <c r="K2" s="3" t="s">
        <v>5</v>
      </c>
      <c r="L2" s="3" t="s">
        <v>5</v>
      </c>
      <c r="M2" s="3" t="s">
        <v>5</v>
      </c>
      <c r="N2" s="3" t="s">
        <v>5</v>
      </c>
      <c r="O2" s="3" t="s">
        <v>5</v>
      </c>
      <c r="P2" s="3" t="s">
        <v>5</v>
      </c>
      <c r="Q2" s="3" t="s">
        <v>4</v>
      </c>
      <c r="R2" s="3" t="s">
        <v>6</v>
      </c>
      <c r="S2" s="3" t="s">
        <v>6</v>
      </c>
      <c r="T2" s="3" t="s">
        <v>6</v>
      </c>
      <c r="U2" s="3" t="s">
        <v>6</v>
      </c>
      <c r="V2" s="3" t="s">
        <v>6</v>
      </c>
      <c r="W2" s="3" t="s">
        <v>4</v>
      </c>
      <c r="X2" s="3" t="s">
        <v>6</v>
      </c>
      <c r="Y2" s="3" t="s">
        <v>6</v>
      </c>
      <c r="Z2" s="3" t="s">
        <v>6</v>
      </c>
      <c r="AA2" s="3" t="s">
        <v>6</v>
      </c>
      <c r="AB2" s="3" t="s">
        <v>7</v>
      </c>
      <c r="AC2" s="3"/>
      <c r="AD2" s="3" t="s">
        <v>3</v>
      </c>
      <c r="AE2" s="3" t="s">
        <v>4</v>
      </c>
      <c r="AF2" s="3" t="s">
        <v>3</v>
      </c>
      <c r="AG2" s="3" t="s">
        <v>4</v>
      </c>
      <c r="AH2" s="3" t="s">
        <v>3</v>
      </c>
      <c r="AI2" s="3"/>
      <c r="AJ2" s="3" t="s">
        <v>4</v>
      </c>
      <c r="AK2" s="3" t="s">
        <v>4</v>
      </c>
      <c r="AL2" s="3" t="s">
        <v>3</v>
      </c>
      <c r="AM2" s="3"/>
      <c r="AN2" s="3" t="s">
        <v>8</v>
      </c>
      <c r="AO2" s="3" t="s">
        <v>8</v>
      </c>
      <c r="AP2" s="3" t="s">
        <v>4</v>
      </c>
      <c r="AQ2" s="3" t="s">
        <v>8</v>
      </c>
      <c r="AR2" s="3"/>
      <c r="AS2" s="3" t="s">
        <v>3</v>
      </c>
      <c r="AT2" s="3" t="s">
        <v>3</v>
      </c>
      <c r="AU2" s="3" t="s">
        <v>3</v>
      </c>
      <c r="AV2" s="3"/>
      <c r="AW2" s="3" t="s">
        <v>3</v>
      </c>
      <c r="AX2" s="3" t="s">
        <v>3</v>
      </c>
      <c r="AY2" s="3" t="s">
        <v>9</v>
      </c>
      <c r="AZ2" s="3" t="s">
        <v>3</v>
      </c>
      <c r="BA2" s="3" t="s">
        <v>4</v>
      </c>
      <c r="BB2" s="3"/>
      <c r="BC2" s="4">
        <f>DATE(2026,4,8)+TIME(17,4,56)</f>
        <v>46120.71175925926</v>
      </c>
    </row>
    <row r="3" spans="1:55" ht="12.75">
      <c r="A3" s="5" t="s">
        <v>10</v>
      </c>
      <c r="B3" s="6"/>
      <c r="C3" s="6" t="s">
        <v>11</v>
      </c>
      <c r="D3" s="6" t="s">
        <v>12</v>
      </c>
      <c r="E3" s="6"/>
      <c r="F3" s="6" t="s">
        <v>3</v>
      </c>
      <c r="G3" s="6" t="s">
        <v>3</v>
      </c>
      <c r="H3" s="6" t="s">
        <v>3</v>
      </c>
      <c r="I3" s="6" t="s">
        <v>13</v>
      </c>
      <c r="J3" s="6" t="s">
        <v>3</v>
      </c>
      <c r="K3" s="6" t="s">
        <v>5</v>
      </c>
      <c r="L3" s="6" t="s">
        <v>5</v>
      </c>
      <c r="M3" s="6" t="s">
        <v>5</v>
      </c>
      <c r="N3" s="6" t="s">
        <v>14</v>
      </c>
      <c r="O3" s="6" t="s">
        <v>4</v>
      </c>
      <c r="P3" s="6" t="s">
        <v>5</v>
      </c>
      <c r="Q3" s="6" t="s">
        <v>4</v>
      </c>
      <c r="R3" s="6" t="s">
        <v>4</v>
      </c>
      <c r="S3" s="6" t="s">
        <v>4</v>
      </c>
      <c r="T3" s="6" t="s">
        <v>15</v>
      </c>
      <c r="U3" s="6" t="s">
        <v>15</v>
      </c>
      <c r="V3" s="6" t="s">
        <v>15</v>
      </c>
      <c r="W3" s="6" t="s">
        <v>6</v>
      </c>
      <c r="X3" s="6" t="s">
        <v>4</v>
      </c>
      <c r="Y3" s="6" t="s">
        <v>4</v>
      </c>
      <c r="Z3" s="6" t="s">
        <v>4</v>
      </c>
      <c r="AA3" s="6" t="s">
        <v>15</v>
      </c>
      <c r="AB3" s="6" t="s">
        <v>16</v>
      </c>
      <c r="AC3" s="6"/>
      <c r="AD3" s="6" t="s">
        <v>3</v>
      </c>
      <c r="AE3" s="6" t="s">
        <v>4</v>
      </c>
      <c r="AF3" s="6" t="s">
        <v>3</v>
      </c>
      <c r="AG3" s="6" t="s">
        <v>17</v>
      </c>
      <c r="AH3" s="6" t="s">
        <v>4</v>
      </c>
      <c r="AI3" s="6"/>
      <c r="AJ3" s="6" t="s">
        <v>4</v>
      </c>
      <c r="AK3" s="6" t="s">
        <v>3</v>
      </c>
      <c r="AL3" s="6" t="s">
        <v>3</v>
      </c>
      <c r="AM3" s="6"/>
      <c r="AN3" s="6" t="s">
        <v>4</v>
      </c>
      <c r="AO3" s="6" t="s">
        <v>4</v>
      </c>
      <c r="AP3" s="6" t="s">
        <v>4</v>
      </c>
      <c r="AQ3" s="6" t="s">
        <v>8</v>
      </c>
      <c r="AR3" s="6"/>
      <c r="AS3" s="6" t="s">
        <v>4</v>
      </c>
      <c r="AT3" s="6" t="s">
        <v>4</v>
      </c>
      <c r="AU3" s="6" t="s">
        <v>3</v>
      </c>
      <c r="AV3" s="6"/>
      <c r="AW3" s="6" t="s">
        <v>16</v>
      </c>
      <c r="AX3" s="6" t="s">
        <v>16</v>
      </c>
      <c r="AY3" s="6" t="s">
        <v>18</v>
      </c>
      <c r="AZ3" s="6"/>
      <c r="BA3" s="6"/>
      <c r="BB3" s="6"/>
      <c r="BC3" s="7">
        <f>DATE(2026,4,8)+TIME(14,37,42)</f>
        <v>46120.60951388889</v>
      </c>
    </row>
    <row r="4" spans="1:55" ht="12.75">
      <c r="A4" s="2" t="s">
        <v>19</v>
      </c>
      <c r="B4" s="3"/>
      <c r="C4" s="3" t="s">
        <v>20</v>
      </c>
      <c r="D4" s="3" t="s">
        <v>21</v>
      </c>
      <c r="E4" s="3"/>
      <c r="F4" s="3" t="s">
        <v>3</v>
      </c>
      <c r="G4" s="3" t="s">
        <v>4</v>
      </c>
      <c r="H4" s="3" t="s">
        <v>3</v>
      </c>
      <c r="I4" s="3" t="s">
        <v>4</v>
      </c>
      <c r="J4" s="3" t="s">
        <v>17</v>
      </c>
      <c r="K4" s="3" t="s">
        <v>5</v>
      </c>
      <c r="L4" s="3" t="s">
        <v>5</v>
      </c>
      <c r="M4" s="3" t="s">
        <v>22</v>
      </c>
      <c r="N4" s="3" t="s">
        <v>5</v>
      </c>
      <c r="O4" s="3" t="s">
        <v>4</v>
      </c>
      <c r="P4" s="3" t="s">
        <v>5</v>
      </c>
      <c r="Q4" s="3" t="s">
        <v>23</v>
      </c>
      <c r="R4" s="3" t="s">
        <v>24</v>
      </c>
      <c r="S4" s="3" t="s">
        <v>24</v>
      </c>
      <c r="T4" s="3" t="s">
        <v>24</v>
      </c>
      <c r="U4" s="3" t="s">
        <v>4</v>
      </c>
      <c r="V4" s="3" t="s">
        <v>25</v>
      </c>
      <c r="W4" s="3" t="s">
        <v>25</v>
      </c>
      <c r="X4" s="3" t="s">
        <v>24</v>
      </c>
      <c r="Y4" s="3" t="s">
        <v>4</v>
      </c>
      <c r="Z4" s="3" t="s">
        <v>24</v>
      </c>
      <c r="AA4" s="3" t="s">
        <v>4</v>
      </c>
      <c r="AB4" s="3" t="s">
        <v>26</v>
      </c>
      <c r="AC4" s="3"/>
      <c r="AD4" s="3" t="s">
        <v>16</v>
      </c>
      <c r="AE4" s="3" t="s">
        <v>4</v>
      </c>
      <c r="AF4" s="3" t="s">
        <v>4</v>
      </c>
      <c r="AG4" s="3" t="s">
        <v>16</v>
      </c>
      <c r="AH4" s="3" t="s">
        <v>4</v>
      </c>
      <c r="AI4" s="3"/>
      <c r="AJ4" s="3" t="s">
        <v>4</v>
      </c>
      <c r="AK4" s="3" t="s">
        <v>3</v>
      </c>
      <c r="AL4" s="3" t="s">
        <v>3</v>
      </c>
      <c r="AM4" s="3"/>
      <c r="AN4" s="3" t="s">
        <v>8</v>
      </c>
      <c r="AO4" s="3" t="s">
        <v>8</v>
      </c>
      <c r="AP4" s="3" t="s">
        <v>8</v>
      </c>
      <c r="AQ4" s="3" t="s">
        <v>8</v>
      </c>
      <c r="AR4" s="3"/>
      <c r="AS4" s="3" t="s">
        <v>3</v>
      </c>
      <c r="AT4" s="3" t="s">
        <v>4</v>
      </c>
      <c r="AU4" s="3" t="s">
        <v>4</v>
      </c>
      <c r="AV4" s="3"/>
      <c r="AW4" s="3" t="s">
        <v>3</v>
      </c>
      <c r="AX4" s="3" t="s">
        <v>4</v>
      </c>
      <c r="AY4" s="3" t="s">
        <v>18</v>
      </c>
      <c r="AZ4" s="3"/>
      <c r="BA4" s="3"/>
      <c r="BB4" s="3"/>
      <c r="BC4" s="4">
        <f>DATE(2026,4,6)+TIME(21,31,20)</f>
        <v>46118.89675925926</v>
      </c>
    </row>
    <row r="5" spans="1:55" ht="12.75">
      <c r="A5" s="5" t="s">
        <v>27</v>
      </c>
      <c r="B5" s="6"/>
      <c r="C5" s="6" t="s">
        <v>28</v>
      </c>
      <c r="D5" s="6" t="s">
        <v>2</v>
      </c>
      <c r="E5" s="6"/>
      <c r="F5" s="6" t="s">
        <v>3</v>
      </c>
      <c r="G5" s="6" t="s">
        <v>3</v>
      </c>
      <c r="H5" s="6" t="s">
        <v>3</v>
      </c>
      <c r="I5" s="6" t="s">
        <v>3</v>
      </c>
      <c r="J5" s="6" t="s">
        <v>13</v>
      </c>
      <c r="K5" s="6" t="s">
        <v>14</v>
      </c>
      <c r="L5" s="6" t="s">
        <v>5</v>
      </c>
      <c r="M5" s="6" t="s">
        <v>5</v>
      </c>
      <c r="N5" s="6" t="s">
        <v>5</v>
      </c>
      <c r="O5" s="6" t="s">
        <v>5</v>
      </c>
      <c r="P5" s="6" t="s">
        <v>5</v>
      </c>
      <c r="Q5" s="6" t="s">
        <v>5</v>
      </c>
      <c r="R5" s="6" t="s">
        <v>6</v>
      </c>
      <c r="S5" s="6" t="s">
        <v>6</v>
      </c>
      <c r="T5" s="6" t="s">
        <v>4</v>
      </c>
      <c r="U5" s="6" t="s">
        <v>4</v>
      </c>
      <c r="V5" s="6" t="s">
        <v>6</v>
      </c>
      <c r="W5" s="6" t="s">
        <v>6</v>
      </c>
      <c r="X5" s="6" t="s">
        <v>6</v>
      </c>
      <c r="Y5" s="6" t="s">
        <v>15</v>
      </c>
      <c r="Z5" s="6" t="s">
        <v>6</v>
      </c>
      <c r="AA5" s="6" t="s">
        <v>6</v>
      </c>
      <c r="AB5" s="6" t="s">
        <v>29</v>
      </c>
      <c r="AC5" s="6"/>
      <c r="AD5" s="6" t="s">
        <v>3</v>
      </c>
      <c r="AE5" s="6" t="s">
        <v>3</v>
      </c>
      <c r="AF5" s="6" t="s">
        <v>3</v>
      </c>
      <c r="AG5" s="6" t="s">
        <v>3</v>
      </c>
      <c r="AH5" s="6" t="s">
        <v>3</v>
      </c>
      <c r="AI5" s="6"/>
      <c r="AJ5" s="6" t="s">
        <v>13</v>
      </c>
      <c r="AK5" s="6" t="s">
        <v>3</v>
      </c>
      <c r="AL5" s="6" t="s">
        <v>13</v>
      </c>
      <c r="AM5" s="6"/>
      <c r="AN5" s="6" t="s">
        <v>30</v>
      </c>
      <c r="AO5" s="6" t="s">
        <v>30</v>
      </c>
      <c r="AP5" s="6" t="s">
        <v>4</v>
      </c>
      <c r="AQ5" s="6" t="s">
        <v>8</v>
      </c>
      <c r="AR5" s="6"/>
      <c r="AS5" s="6" t="s">
        <v>4</v>
      </c>
      <c r="AT5" s="6" t="s">
        <v>4</v>
      </c>
      <c r="AU5" s="6" t="s">
        <v>3</v>
      </c>
      <c r="AV5" s="6"/>
      <c r="AW5" s="6" t="s">
        <v>3</v>
      </c>
      <c r="AX5" s="6" t="s">
        <v>4</v>
      </c>
      <c r="AY5" s="6" t="s">
        <v>9</v>
      </c>
      <c r="AZ5" s="6" t="s">
        <v>3</v>
      </c>
      <c r="BA5" s="6" t="s">
        <v>3</v>
      </c>
      <c r="BB5" s="6"/>
      <c r="BC5" s="7">
        <f>DATE(2026,4,6)+TIME(10,23,34)</f>
        <v>46118.43303240741</v>
      </c>
    </row>
    <row r="6" spans="1:55" ht="12.75">
      <c r="A6" s="2" t="s">
        <v>31</v>
      </c>
      <c r="B6" s="3"/>
      <c r="C6" s="3" t="s">
        <v>32</v>
      </c>
      <c r="D6" s="3" t="s">
        <v>21</v>
      </c>
      <c r="E6" s="3"/>
      <c r="F6" s="3" t="s">
        <v>4</v>
      </c>
      <c r="G6" s="3" t="s">
        <v>3</v>
      </c>
      <c r="H6" s="3" t="s">
        <v>16</v>
      </c>
      <c r="I6" s="3" t="s">
        <v>13</v>
      </c>
      <c r="J6" s="3" t="s">
        <v>13</v>
      </c>
      <c r="K6" s="3" t="s">
        <v>14</v>
      </c>
      <c r="L6" s="3" t="s">
        <v>14</v>
      </c>
      <c r="M6" s="3" t="s">
        <v>14</v>
      </c>
      <c r="N6" s="3" t="s">
        <v>14</v>
      </c>
      <c r="O6" s="3" t="s">
        <v>14</v>
      </c>
      <c r="P6" s="3" t="s">
        <v>4</v>
      </c>
      <c r="Q6" s="3" t="s">
        <v>16</v>
      </c>
      <c r="R6" s="3" t="s">
        <v>6</v>
      </c>
      <c r="S6" s="3" t="s">
        <v>15</v>
      </c>
      <c r="T6" s="3" t="s">
        <v>15</v>
      </c>
      <c r="U6" s="3" t="s">
        <v>6</v>
      </c>
      <c r="V6" s="3" t="s">
        <v>15</v>
      </c>
      <c r="W6" s="3" t="s">
        <v>15</v>
      </c>
      <c r="X6" s="3" t="s">
        <v>6</v>
      </c>
      <c r="Y6" s="3" t="s">
        <v>15</v>
      </c>
      <c r="Z6" s="3" t="s">
        <v>15</v>
      </c>
      <c r="AA6" s="3" t="s">
        <v>15</v>
      </c>
      <c r="AB6" s="3" t="s">
        <v>33</v>
      </c>
      <c r="AC6" s="3"/>
      <c r="AD6" s="3" t="s">
        <v>3</v>
      </c>
      <c r="AE6" s="3" t="s">
        <v>17</v>
      </c>
      <c r="AF6" s="3" t="s">
        <v>3</v>
      </c>
      <c r="AG6" s="3" t="s">
        <v>17</v>
      </c>
      <c r="AH6" s="3" t="s">
        <v>34</v>
      </c>
      <c r="AI6" s="3"/>
      <c r="AJ6" s="3" t="s">
        <v>34</v>
      </c>
      <c r="AK6" s="3" t="s">
        <v>17</v>
      </c>
      <c r="AL6" s="3" t="s">
        <v>13</v>
      </c>
      <c r="AM6" s="3"/>
      <c r="AN6" s="3" t="s">
        <v>8</v>
      </c>
      <c r="AO6" s="3" t="s">
        <v>30</v>
      </c>
      <c r="AP6" s="3" t="s">
        <v>30</v>
      </c>
      <c r="AQ6" s="3" t="s">
        <v>8</v>
      </c>
      <c r="AR6" s="3"/>
      <c r="AS6" s="3" t="s">
        <v>4</v>
      </c>
      <c r="AT6" s="3" t="s">
        <v>17</v>
      </c>
      <c r="AU6" s="3" t="s">
        <v>13</v>
      </c>
      <c r="AV6" s="3"/>
      <c r="AW6" s="3" t="s">
        <v>3</v>
      </c>
      <c r="AX6" s="3" t="s">
        <v>3</v>
      </c>
      <c r="AY6" s="3" t="s">
        <v>9</v>
      </c>
      <c r="AZ6" s="3" t="s">
        <v>3</v>
      </c>
      <c r="BA6" s="3" t="s">
        <v>16</v>
      </c>
      <c r="BB6" s="3"/>
      <c r="BC6" s="4">
        <f>DATE(2026,4,6)+TIME(9,25,43)</f>
        <v>46118.392858796295</v>
      </c>
    </row>
    <row r="7" spans="1:55" ht="12.75">
      <c r="A7" s="5" t="s">
        <v>35</v>
      </c>
      <c r="B7" s="6"/>
      <c r="C7" s="6" t="s">
        <v>36</v>
      </c>
      <c r="D7" s="6" t="s">
        <v>21</v>
      </c>
      <c r="E7" s="6"/>
      <c r="F7" s="6" t="s">
        <v>4</v>
      </c>
      <c r="G7" s="6" t="s">
        <v>3</v>
      </c>
      <c r="H7" s="6" t="s">
        <v>3</v>
      </c>
      <c r="I7" s="6" t="s">
        <v>3</v>
      </c>
      <c r="J7" s="6" t="s">
        <v>3</v>
      </c>
      <c r="K7" s="6" t="s">
        <v>5</v>
      </c>
      <c r="L7" s="6" t="s">
        <v>5</v>
      </c>
      <c r="M7" s="6" t="s">
        <v>5</v>
      </c>
      <c r="N7" s="6" t="s">
        <v>5</v>
      </c>
      <c r="O7" s="6" t="s">
        <v>5</v>
      </c>
      <c r="P7" s="6" t="s">
        <v>5</v>
      </c>
      <c r="Q7" s="6" t="s">
        <v>5</v>
      </c>
      <c r="R7" s="6" t="s">
        <v>15</v>
      </c>
      <c r="S7" s="6" t="s">
        <v>15</v>
      </c>
      <c r="T7" s="6" t="s">
        <v>15</v>
      </c>
      <c r="U7" s="6" t="s">
        <v>15</v>
      </c>
      <c r="V7" s="6" t="s">
        <v>15</v>
      </c>
      <c r="W7" s="6" t="s">
        <v>15</v>
      </c>
      <c r="X7" s="6" t="s">
        <v>15</v>
      </c>
      <c r="Y7" s="6" t="s">
        <v>15</v>
      </c>
      <c r="Z7" s="6" t="s">
        <v>15</v>
      </c>
      <c r="AA7" s="6" t="s">
        <v>15</v>
      </c>
      <c r="AB7" s="6" t="s">
        <v>37</v>
      </c>
      <c r="AC7" s="6"/>
      <c r="AD7" s="6" t="s">
        <v>3</v>
      </c>
      <c r="AE7" s="6" t="s">
        <v>3</v>
      </c>
      <c r="AF7" s="6" t="s">
        <v>3</v>
      </c>
      <c r="AG7" s="6" t="s">
        <v>4</v>
      </c>
      <c r="AH7" s="6" t="s">
        <v>3</v>
      </c>
      <c r="AI7" s="6"/>
      <c r="AJ7" s="6" t="s">
        <v>3</v>
      </c>
      <c r="AK7" s="6" t="s">
        <v>3</v>
      </c>
      <c r="AL7" s="6" t="s">
        <v>3</v>
      </c>
      <c r="AM7" s="6"/>
      <c r="AN7" s="6" t="s">
        <v>8</v>
      </c>
      <c r="AO7" s="6" t="s">
        <v>8</v>
      </c>
      <c r="AP7" s="6" t="s">
        <v>8</v>
      </c>
      <c r="AQ7" s="6" t="s">
        <v>8</v>
      </c>
      <c r="AR7" s="6"/>
      <c r="AS7" s="6" t="s">
        <v>13</v>
      </c>
      <c r="AT7" s="6" t="s">
        <v>13</v>
      </c>
      <c r="AU7" s="6" t="s">
        <v>3</v>
      </c>
      <c r="AV7" s="6"/>
      <c r="AW7" s="6" t="s">
        <v>3</v>
      </c>
      <c r="AX7" s="6" t="s">
        <v>3</v>
      </c>
      <c r="AY7" s="6" t="s">
        <v>18</v>
      </c>
      <c r="AZ7" s="6"/>
      <c r="BA7" s="6"/>
      <c r="BB7" s="6"/>
      <c r="BC7" s="7">
        <f>DATE(2026,4,6)+TIME(6,52,6)</f>
        <v>46118.28618055556</v>
      </c>
    </row>
    <row r="8" spans="1:55" ht="12.75">
      <c r="A8" s="2" t="s">
        <v>38</v>
      </c>
      <c r="B8" s="3"/>
      <c r="C8" s="3" t="s">
        <v>39</v>
      </c>
      <c r="D8" s="3" t="s">
        <v>40</v>
      </c>
      <c r="E8" s="3"/>
      <c r="F8" s="3" t="s">
        <v>3</v>
      </c>
      <c r="G8" s="3" t="s">
        <v>3</v>
      </c>
      <c r="H8" s="3" t="s">
        <v>3</v>
      </c>
      <c r="I8" s="3" t="s">
        <v>3</v>
      </c>
      <c r="J8" s="3" t="s">
        <v>13</v>
      </c>
      <c r="K8" s="3" t="s">
        <v>5</v>
      </c>
      <c r="L8" s="3" t="s">
        <v>14</v>
      </c>
      <c r="M8" s="3" t="s">
        <v>4</v>
      </c>
      <c r="N8" s="3" t="s">
        <v>5</v>
      </c>
      <c r="O8" s="3" t="s">
        <v>5</v>
      </c>
      <c r="P8" s="3" t="s">
        <v>14</v>
      </c>
      <c r="Q8" s="3" t="s">
        <v>5</v>
      </c>
      <c r="R8" s="3" t="s">
        <v>6</v>
      </c>
      <c r="S8" s="3" t="s">
        <v>4</v>
      </c>
      <c r="T8" s="3" t="s">
        <v>4</v>
      </c>
      <c r="U8" s="3" t="s">
        <v>4</v>
      </c>
      <c r="V8" s="3" t="s">
        <v>6</v>
      </c>
      <c r="W8" s="3" t="s">
        <v>6</v>
      </c>
      <c r="X8" s="3" t="s">
        <v>6</v>
      </c>
      <c r="Y8" s="3" t="s">
        <v>6</v>
      </c>
      <c r="Z8" s="3" t="s">
        <v>6</v>
      </c>
      <c r="AA8" s="3" t="s">
        <v>4</v>
      </c>
      <c r="AB8" s="3" t="s">
        <v>41</v>
      </c>
      <c r="AC8" s="3"/>
      <c r="AD8" s="3" t="s">
        <v>16</v>
      </c>
      <c r="AE8" s="3" t="s">
        <v>4</v>
      </c>
      <c r="AF8" s="3" t="s">
        <v>4</v>
      </c>
      <c r="AG8" s="3" t="s">
        <v>3</v>
      </c>
      <c r="AH8" s="3" t="s">
        <v>4</v>
      </c>
      <c r="AI8" s="3"/>
      <c r="AJ8" s="3" t="s">
        <v>4</v>
      </c>
      <c r="AK8" s="3" t="s">
        <v>4</v>
      </c>
      <c r="AL8" s="3" t="s">
        <v>13</v>
      </c>
      <c r="AM8" s="3"/>
      <c r="AN8" s="3" t="s">
        <v>4</v>
      </c>
      <c r="AO8" s="3" t="s">
        <v>30</v>
      </c>
      <c r="AP8" s="3" t="s">
        <v>4</v>
      </c>
      <c r="AQ8" s="3" t="s">
        <v>30</v>
      </c>
      <c r="AR8" s="3"/>
      <c r="AS8" s="3" t="s">
        <v>3</v>
      </c>
      <c r="AT8" s="3" t="s">
        <v>3</v>
      </c>
      <c r="AU8" s="3" t="s">
        <v>3</v>
      </c>
      <c r="AV8" s="3"/>
      <c r="AW8" s="3" t="s">
        <v>4</v>
      </c>
      <c r="AX8" s="3" t="s">
        <v>4</v>
      </c>
      <c r="AY8" s="3" t="s">
        <v>18</v>
      </c>
      <c r="AZ8" s="3"/>
      <c r="BA8" s="3"/>
      <c r="BB8" s="3"/>
      <c r="BC8" s="4">
        <f>DATE(2026,4,2)+TIME(4,42,24)</f>
        <v>46114.19611111111</v>
      </c>
    </row>
    <row r="9" spans="1:55" ht="12.75">
      <c r="A9" s="5" t="s">
        <v>42</v>
      </c>
      <c r="B9" s="6"/>
      <c r="C9" s="6" t="s">
        <v>43</v>
      </c>
      <c r="D9" s="6" t="s">
        <v>40</v>
      </c>
      <c r="E9" s="6"/>
      <c r="F9" s="6" t="s">
        <v>3</v>
      </c>
      <c r="G9" s="6" t="s">
        <v>3</v>
      </c>
      <c r="H9" s="6" t="s">
        <v>3</v>
      </c>
      <c r="I9" s="6" t="s">
        <v>3</v>
      </c>
      <c r="J9" s="6" t="s">
        <v>3</v>
      </c>
      <c r="K9" s="6" t="s">
        <v>5</v>
      </c>
      <c r="L9" s="6" t="s">
        <v>5</v>
      </c>
      <c r="M9" s="6" t="s">
        <v>5</v>
      </c>
      <c r="N9" s="6" t="s">
        <v>4</v>
      </c>
      <c r="O9" s="6" t="s">
        <v>5</v>
      </c>
      <c r="P9" s="6" t="s">
        <v>22</v>
      </c>
      <c r="Q9" s="6" t="s">
        <v>16</v>
      </c>
      <c r="R9" s="6" t="s">
        <v>24</v>
      </c>
      <c r="S9" s="6" t="s">
        <v>4</v>
      </c>
      <c r="T9" s="6" t="s">
        <v>4</v>
      </c>
      <c r="U9" s="6" t="s">
        <v>4</v>
      </c>
      <c r="V9" s="6" t="s">
        <v>24</v>
      </c>
      <c r="W9" s="6" t="s">
        <v>24</v>
      </c>
      <c r="X9" s="6" t="s">
        <v>24</v>
      </c>
      <c r="Y9" s="6" t="s">
        <v>24</v>
      </c>
      <c r="Z9" s="6" t="s">
        <v>24</v>
      </c>
      <c r="AA9" s="6" t="s">
        <v>4</v>
      </c>
      <c r="AB9" s="6" t="s">
        <v>44</v>
      </c>
      <c r="AC9" s="6"/>
      <c r="AD9" s="6" t="s">
        <v>4</v>
      </c>
      <c r="AE9" s="6" t="s">
        <v>4</v>
      </c>
      <c r="AF9" s="6" t="s">
        <v>3</v>
      </c>
      <c r="AG9" s="6" t="s">
        <v>16</v>
      </c>
      <c r="AH9" s="6" t="s">
        <v>16</v>
      </c>
      <c r="AI9" s="6"/>
      <c r="AJ9" s="6" t="s">
        <v>3</v>
      </c>
      <c r="AK9" s="6" t="s">
        <v>3</v>
      </c>
      <c r="AL9" s="6" t="s">
        <v>4</v>
      </c>
      <c r="AM9" s="6"/>
      <c r="AN9" s="6" t="s">
        <v>30</v>
      </c>
      <c r="AO9" s="6" t="s">
        <v>30</v>
      </c>
      <c r="AP9" s="6" t="s">
        <v>8</v>
      </c>
      <c r="AQ9" s="6" t="s">
        <v>4</v>
      </c>
      <c r="AR9" s="6"/>
      <c r="AS9" s="6" t="s">
        <v>3</v>
      </c>
      <c r="AT9" s="6" t="s">
        <v>4</v>
      </c>
      <c r="AU9" s="6" t="s">
        <v>4</v>
      </c>
      <c r="AV9" s="6"/>
      <c r="AW9" s="6" t="s">
        <v>3</v>
      </c>
      <c r="AX9" s="6" t="s">
        <v>4</v>
      </c>
      <c r="AY9" s="6" t="s">
        <v>9</v>
      </c>
      <c r="AZ9" s="6" t="s">
        <v>3</v>
      </c>
      <c r="BA9" s="6" t="s">
        <v>3</v>
      </c>
      <c r="BB9" s="6"/>
      <c r="BC9" s="7">
        <f>DATE(2026,3,30)+TIME(9,53,16)</f>
        <v>46111.411990740744</v>
      </c>
    </row>
    <row r="10" spans="1:55" ht="12.75">
      <c r="A10" s="2" t="s">
        <v>45</v>
      </c>
      <c r="B10" s="3"/>
      <c r="C10" s="3" t="s">
        <v>46</v>
      </c>
      <c r="D10" s="3" t="s">
        <v>21</v>
      </c>
      <c r="E10" s="3"/>
      <c r="F10" s="3" t="s">
        <v>13</v>
      </c>
      <c r="G10" s="3" t="s">
        <v>13</v>
      </c>
      <c r="H10" s="3" t="s">
        <v>13</v>
      </c>
      <c r="I10" s="3" t="s">
        <v>13</v>
      </c>
      <c r="J10" s="3" t="s">
        <v>13</v>
      </c>
      <c r="K10" s="3" t="s">
        <v>5</v>
      </c>
      <c r="L10" s="3" t="s">
        <v>5</v>
      </c>
      <c r="M10" s="3" t="s">
        <v>5</v>
      </c>
      <c r="N10" s="3" t="s">
        <v>5</v>
      </c>
      <c r="O10" s="3" t="s">
        <v>5</v>
      </c>
      <c r="P10" s="3" t="s">
        <v>5</v>
      </c>
      <c r="Q10" s="3" t="s">
        <v>5</v>
      </c>
      <c r="R10" s="3" t="s">
        <v>6</v>
      </c>
      <c r="S10" s="3" t="s">
        <v>6</v>
      </c>
      <c r="T10" s="3" t="s">
        <v>6</v>
      </c>
      <c r="U10" s="3" t="s">
        <v>6</v>
      </c>
      <c r="V10" s="3" t="s">
        <v>6</v>
      </c>
      <c r="W10" s="3" t="s">
        <v>6</v>
      </c>
      <c r="X10" s="3" t="s">
        <v>6</v>
      </c>
      <c r="Y10" s="3" t="s">
        <v>6</v>
      </c>
      <c r="Z10" s="3" t="s">
        <v>6</v>
      </c>
      <c r="AA10" s="3" t="s">
        <v>6</v>
      </c>
      <c r="AB10" s="3" t="s">
        <v>47</v>
      </c>
      <c r="AC10" s="3"/>
      <c r="AD10" s="3" t="s">
        <v>16</v>
      </c>
      <c r="AE10" s="3" t="s">
        <v>3</v>
      </c>
      <c r="AF10" s="3" t="s">
        <v>3</v>
      </c>
      <c r="AG10" s="3" t="s">
        <v>3</v>
      </c>
      <c r="AH10" s="3" t="s">
        <v>3</v>
      </c>
      <c r="AI10" s="3"/>
      <c r="AJ10" s="3" t="s">
        <v>13</v>
      </c>
      <c r="AK10" s="3" t="s">
        <v>3</v>
      </c>
      <c r="AL10" s="3" t="s">
        <v>3</v>
      </c>
      <c r="AM10" s="3"/>
      <c r="AN10" s="3" t="s">
        <v>8</v>
      </c>
      <c r="AO10" s="3" t="s">
        <v>8</v>
      </c>
      <c r="AP10" s="3" t="s">
        <v>8</v>
      </c>
      <c r="AQ10" s="3" t="s">
        <v>8</v>
      </c>
      <c r="AR10" s="3"/>
      <c r="AS10" s="3" t="s">
        <v>13</v>
      </c>
      <c r="AT10" s="3" t="s">
        <v>13</v>
      </c>
      <c r="AU10" s="3" t="s">
        <v>13</v>
      </c>
      <c r="AV10" s="3"/>
      <c r="AW10" s="3" t="s">
        <v>3</v>
      </c>
      <c r="AX10" s="3" t="s">
        <v>3</v>
      </c>
      <c r="AY10" s="3" t="s">
        <v>9</v>
      </c>
      <c r="AZ10" s="3" t="s">
        <v>3</v>
      </c>
      <c r="BA10" s="3" t="s">
        <v>3</v>
      </c>
      <c r="BB10" s="3"/>
      <c r="BC10" s="4">
        <f>DATE(2026,3,17)+TIME(3,42,10)</f>
        <v>46098.154282407406</v>
      </c>
    </row>
    <row r="11" spans="1:55" ht="12.75">
      <c r="A11" s="5" t="s">
        <v>48</v>
      </c>
      <c r="B11" s="6"/>
      <c r="C11" s="6" t="s">
        <v>49</v>
      </c>
      <c r="D11" s="6" t="s">
        <v>2</v>
      </c>
      <c r="E11" s="6"/>
      <c r="F11" s="6" t="s">
        <v>13</v>
      </c>
      <c r="G11" s="6" t="s">
        <v>13</v>
      </c>
      <c r="H11" s="6" t="s">
        <v>13</v>
      </c>
      <c r="I11" s="6" t="s">
        <v>13</v>
      </c>
      <c r="J11" s="6" t="s">
        <v>3</v>
      </c>
      <c r="K11" s="6" t="s">
        <v>14</v>
      </c>
      <c r="L11" s="6" t="s">
        <v>14</v>
      </c>
      <c r="M11" s="6" t="s">
        <v>5</v>
      </c>
      <c r="N11" s="6" t="s">
        <v>5</v>
      </c>
      <c r="O11" s="6" t="s">
        <v>4</v>
      </c>
      <c r="P11" s="6" t="s">
        <v>14</v>
      </c>
      <c r="Q11" s="6" t="s">
        <v>4</v>
      </c>
      <c r="R11" s="6" t="s">
        <v>6</v>
      </c>
      <c r="S11" s="6" t="s">
        <v>6</v>
      </c>
      <c r="T11" s="6" t="s">
        <v>6</v>
      </c>
      <c r="U11" s="6" t="s">
        <v>6</v>
      </c>
      <c r="V11" s="6" t="s">
        <v>6</v>
      </c>
      <c r="W11" s="6" t="s">
        <v>6</v>
      </c>
      <c r="X11" s="6" t="s">
        <v>6</v>
      </c>
      <c r="Y11" s="6" t="s">
        <v>6</v>
      </c>
      <c r="Z11" s="6" t="s">
        <v>15</v>
      </c>
      <c r="AA11" s="6" t="s">
        <v>15</v>
      </c>
      <c r="AB11" s="6" t="s">
        <v>50</v>
      </c>
      <c r="AC11" s="6"/>
      <c r="AD11" s="6" t="s">
        <v>3</v>
      </c>
      <c r="AE11" s="6" t="s">
        <v>4</v>
      </c>
      <c r="AF11" s="6" t="s">
        <v>13</v>
      </c>
      <c r="AG11" s="6" t="s">
        <v>16</v>
      </c>
      <c r="AH11" s="6" t="s">
        <v>17</v>
      </c>
      <c r="AI11" s="6"/>
      <c r="AJ11" s="6" t="s">
        <v>13</v>
      </c>
      <c r="AK11" s="6" t="s">
        <v>13</v>
      </c>
      <c r="AL11" s="6" t="s">
        <v>13</v>
      </c>
      <c r="AM11" s="6"/>
      <c r="AN11" s="6" t="s">
        <v>30</v>
      </c>
      <c r="AO11" s="6" t="s">
        <v>30</v>
      </c>
      <c r="AP11" s="6" t="s">
        <v>8</v>
      </c>
      <c r="AQ11" s="6" t="s">
        <v>30</v>
      </c>
      <c r="AR11" s="6"/>
      <c r="AS11" s="6" t="s">
        <v>13</v>
      </c>
      <c r="AT11" s="6" t="s">
        <v>17</v>
      </c>
      <c r="AU11" s="6" t="s">
        <v>13</v>
      </c>
      <c r="AV11" s="6"/>
      <c r="AW11" s="6" t="s">
        <v>4</v>
      </c>
      <c r="AX11" s="6" t="s">
        <v>4</v>
      </c>
      <c r="AY11" s="6" t="s">
        <v>9</v>
      </c>
      <c r="AZ11" s="6" t="s">
        <v>16</v>
      </c>
      <c r="BA11" s="6" t="s">
        <v>13</v>
      </c>
      <c r="BB11" s="6"/>
      <c r="BC11" s="7">
        <f>DATE(2026,3,18)+TIME(14,13,58)</f>
        <v>46099.59303240741</v>
      </c>
    </row>
    <row r="12" spans="1:55" ht="12.75">
      <c r="A12" s="2" t="s">
        <v>51</v>
      </c>
      <c r="B12" s="3"/>
      <c r="C12" s="3" t="s">
        <v>52</v>
      </c>
      <c r="D12" s="3" t="s">
        <v>21</v>
      </c>
      <c r="E12" s="3"/>
      <c r="F12" s="3" t="s">
        <v>3</v>
      </c>
      <c r="G12" s="3" t="s">
        <v>3</v>
      </c>
      <c r="H12" s="3" t="s">
        <v>4</v>
      </c>
      <c r="I12" s="3" t="s">
        <v>4</v>
      </c>
      <c r="J12" s="3" t="s">
        <v>17</v>
      </c>
      <c r="K12" s="3" t="s">
        <v>14</v>
      </c>
      <c r="L12" s="3" t="s">
        <v>14</v>
      </c>
      <c r="M12" s="3" t="s">
        <v>14</v>
      </c>
      <c r="N12" s="3" t="s">
        <v>14</v>
      </c>
      <c r="O12" s="3" t="s">
        <v>14</v>
      </c>
      <c r="P12" s="3" t="s">
        <v>14</v>
      </c>
      <c r="Q12" s="3" t="s">
        <v>14</v>
      </c>
      <c r="R12" s="3" t="s">
        <v>24</v>
      </c>
      <c r="S12" s="3" t="s">
        <v>4</v>
      </c>
      <c r="T12" s="3" t="s">
        <v>24</v>
      </c>
      <c r="U12" s="3" t="s">
        <v>24</v>
      </c>
      <c r="V12" s="3" t="s">
        <v>24</v>
      </c>
      <c r="W12" s="3" t="s">
        <v>24</v>
      </c>
      <c r="X12" s="3" t="s">
        <v>24</v>
      </c>
      <c r="Y12" s="3" t="s">
        <v>24</v>
      </c>
      <c r="Z12" s="3" t="s">
        <v>4</v>
      </c>
      <c r="AA12" s="3" t="s">
        <v>24</v>
      </c>
      <c r="AB12" s="3" t="s">
        <v>53</v>
      </c>
      <c r="AC12" s="3"/>
      <c r="AD12" s="3" t="s">
        <v>4</v>
      </c>
      <c r="AE12" s="3" t="s">
        <v>17</v>
      </c>
      <c r="AF12" s="3" t="s">
        <v>3</v>
      </c>
      <c r="AG12" s="3" t="s">
        <v>4</v>
      </c>
      <c r="AH12" s="3" t="s">
        <v>3</v>
      </c>
      <c r="AI12" s="3"/>
      <c r="AJ12" s="3" t="s">
        <v>4</v>
      </c>
      <c r="AK12" s="3" t="s">
        <v>4</v>
      </c>
      <c r="AL12" s="3" t="s">
        <v>13</v>
      </c>
      <c r="AM12" s="3"/>
      <c r="AN12" s="3" t="s">
        <v>30</v>
      </c>
      <c r="AO12" s="3" t="s">
        <v>8</v>
      </c>
      <c r="AP12" s="3" t="s">
        <v>54</v>
      </c>
      <c r="AQ12" s="3" t="s">
        <v>30</v>
      </c>
      <c r="AR12" s="3"/>
      <c r="AS12" s="3" t="s">
        <v>4</v>
      </c>
      <c r="AT12" s="3" t="s">
        <v>4</v>
      </c>
      <c r="AU12" s="3" t="s">
        <v>3</v>
      </c>
      <c r="AV12" s="3"/>
      <c r="AW12" s="3" t="s">
        <v>4</v>
      </c>
      <c r="AX12" s="3" t="s">
        <v>4</v>
      </c>
      <c r="AY12" s="3" t="s">
        <v>18</v>
      </c>
      <c r="AZ12" s="3"/>
      <c r="BA12" s="3"/>
      <c r="BB12" s="3"/>
      <c r="BC12" s="4">
        <f>DATE(2026,3,12)+TIME(18,46,16)</f>
        <v>46093.78212962963</v>
      </c>
    </row>
    <row r="13" spans="1:55" ht="12.75">
      <c r="A13" s="5" t="s">
        <v>55</v>
      </c>
      <c r="B13" s="6"/>
      <c r="C13" s="6" t="s">
        <v>46</v>
      </c>
      <c r="D13" s="6" t="s">
        <v>2</v>
      </c>
      <c r="E13" s="6"/>
      <c r="F13" s="6" t="s">
        <v>16</v>
      </c>
      <c r="G13" s="6" t="s">
        <v>16</v>
      </c>
      <c r="H13" s="6" t="s">
        <v>16</v>
      </c>
      <c r="I13" s="6" t="s">
        <v>16</v>
      </c>
      <c r="J13" s="6" t="s">
        <v>16</v>
      </c>
      <c r="K13" s="6" t="s">
        <v>16</v>
      </c>
      <c r="L13" s="6" t="s">
        <v>16</v>
      </c>
      <c r="M13" s="6" t="s">
        <v>16</v>
      </c>
      <c r="N13" s="6" t="s">
        <v>16</v>
      </c>
      <c r="O13" s="6" t="s">
        <v>16</v>
      </c>
      <c r="P13" s="6" t="s">
        <v>16</v>
      </c>
      <c r="Q13" s="6" t="s">
        <v>16</v>
      </c>
      <c r="R13" s="6" t="s">
        <v>16</v>
      </c>
      <c r="S13" s="6" t="s">
        <v>16</v>
      </c>
      <c r="T13" s="6" t="s">
        <v>16</v>
      </c>
      <c r="U13" s="6" t="s">
        <v>16</v>
      </c>
      <c r="V13" s="6" t="s">
        <v>16</v>
      </c>
      <c r="W13" s="6" t="s">
        <v>16</v>
      </c>
      <c r="X13" s="6" t="s">
        <v>16</v>
      </c>
      <c r="Y13" s="6" t="s">
        <v>16</v>
      </c>
      <c r="Z13" s="6" t="s">
        <v>16</v>
      </c>
      <c r="AA13" s="6" t="s">
        <v>16</v>
      </c>
      <c r="AB13" s="6" t="s">
        <v>16</v>
      </c>
      <c r="AC13" s="6"/>
      <c r="AD13" s="6" t="s">
        <v>16</v>
      </c>
      <c r="AE13" s="6" t="s">
        <v>16</v>
      </c>
      <c r="AF13" s="6" t="s">
        <v>16</v>
      </c>
      <c r="AG13" s="6" t="s">
        <v>16</v>
      </c>
      <c r="AH13" s="6" t="s">
        <v>16</v>
      </c>
      <c r="AI13" s="6"/>
      <c r="AJ13" s="6" t="s">
        <v>16</v>
      </c>
      <c r="AK13" s="6" t="s">
        <v>16</v>
      </c>
      <c r="AL13" s="6" t="s">
        <v>16</v>
      </c>
      <c r="AM13" s="6"/>
      <c r="AN13" s="6" t="s">
        <v>16</v>
      </c>
      <c r="AO13" s="6" t="s">
        <v>16</v>
      </c>
      <c r="AP13" s="6" t="s">
        <v>16</v>
      </c>
      <c r="AQ13" s="6" t="s">
        <v>16</v>
      </c>
      <c r="AR13" s="6"/>
      <c r="AS13" s="6" t="s">
        <v>3</v>
      </c>
      <c r="AT13" s="6" t="s">
        <v>3</v>
      </c>
      <c r="AU13" s="6" t="s">
        <v>13</v>
      </c>
      <c r="AV13" s="6"/>
      <c r="AW13" s="6" t="s">
        <v>16</v>
      </c>
      <c r="AX13" s="6" t="s">
        <v>16</v>
      </c>
      <c r="AY13" s="6" t="s">
        <v>18</v>
      </c>
      <c r="AZ13" s="6"/>
      <c r="BA13" s="6"/>
      <c r="BB13" s="6"/>
      <c r="BC13" s="7">
        <f>DATE(2026,3,23)+TIME(9,37,25)</f>
        <v>46104.400983796295</v>
      </c>
    </row>
    <row r="14" spans="1:55" ht="12.75">
      <c r="A14" s="2" t="s">
        <v>56</v>
      </c>
      <c r="B14" s="3"/>
      <c r="C14" s="3" t="s">
        <v>57</v>
      </c>
      <c r="D14" s="3" t="s">
        <v>21</v>
      </c>
      <c r="E14" s="3"/>
      <c r="F14" s="3" t="s">
        <v>16</v>
      </c>
      <c r="G14" s="3" t="s">
        <v>16</v>
      </c>
      <c r="H14" s="3" t="s">
        <v>16</v>
      </c>
      <c r="I14" s="3" t="s">
        <v>16</v>
      </c>
      <c r="J14" s="3" t="s">
        <v>16</v>
      </c>
      <c r="K14" s="3" t="s">
        <v>16</v>
      </c>
      <c r="L14" s="3" t="s">
        <v>16</v>
      </c>
      <c r="M14" s="3" t="s">
        <v>16</v>
      </c>
      <c r="N14" s="3" t="s">
        <v>16</v>
      </c>
      <c r="O14" s="3" t="s">
        <v>16</v>
      </c>
      <c r="P14" s="3" t="s">
        <v>16</v>
      </c>
      <c r="Q14" s="3" t="s">
        <v>16</v>
      </c>
      <c r="R14" s="3" t="s">
        <v>16</v>
      </c>
      <c r="S14" s="3" t="s">
        <v>16</v>
      </c>
      <c r="T14" s="3" t="s">
        <v>16</v>
      </c>
      <c r="U14" s="3" t="s">
        <v>16</v>
      </c>
      <c r="V14" s="3" t="s">
        <v>16</v>
      </c>
      <c r="W14" s="3" t="s">
        <v>16</v>
      </c>
      <c r="X14" s="3" t="s">
        <v>16</v>
      </c>
      <c r="Y14" s="3" t="s">
        <v>16</v>
      </c>
      <c r="Z14" s="3" t="s">
        <v>16</v>
      </c>
      <c r="AA14" s="3" t="s">
        <v>16</v>
      </c>
      <c r="AB14" s="3" t="s">
        <v>58</v>
      </c>
      <c r="AC14" s="3"/>
      <c r="AD14" s="3" t="s">
        <v>16</v>
      </c>
      <c r="AE14" s="3" t="s">
        <v>16</v>
      </c>
      <c r="AF14" s="3" t="s">
        <v>16</v>
      </c>
      <c r="AG14" s="3" t="s">
        <v>16</v>
      </c>
      <c r="AH14" s="3" t="s">
        <v>16</v>
      </c>
      <c r="AI14" s="3"/>
      <c r="AJ14" s="3" t="s">
        <v>16</v>
      </c>
      <c r="AK14" s="3" t="s">
        <v>16</v>
      </c>
      <c r="AL14" s="3" t="s">
        <v>16</v>
      </c>
      <c r="AM14" s="3"/>
      <c r="AN14" s="3" t="s">
        <v>16</v>
      </c>
      <c r="AO14" s="3" t="s">
        <v>16</v>
      </c>
      <c r="AP14" s="3" t="s">
        <v>16</v>
      </c>
      <c r="AQ14" s="3" t="s">
        <v>16</v>
      </c>
      <c r="AR14" s="3"/>
      <c r="AS14" s="3" t="s">
        <v>16</v>
      </c>
      <c r="AT14" s="3" t="s">
        <v>16</v>
      </c>
      <c r="AU14" s="3" t="s">
        <v>16</v>
      </c>
      <c r="AV14" s="3"/>
      <c r="AW14" s="3" t="s">
        <v>16</v>
      </c>
      <c r="AX14" s="3" t="s">
        <v>16</v>
      </c>
      <c r="AY14" s="3" t="s">
        <v>18</v>
      </c>
      <c r="AZ14" s="3"/>
      <c r="BA14" s="3"/>
      <c r="BB14" s="3"/>
      <c r="BC14" s="4">
        <f>DATE(2026,3,16)+TIME(6,15,6)</f>
        <v>46097.26048611111</v>
      </c>
    </row>
    <row r="15" spans="1:55" ht="12.75">
      <c r="A15" s="5" t="s">
        <v>59</v>
      </c>
      <c r="B15" s="6"/>
      <c r="C15" s="6" t="s">
        <v>60</v>
      </c>
      <c r="D15" s="6" t="s">
        <v>40</v>
      </c>
      <c r="E15" s="6"/>
      <c r="F15" s="6" t="s">
        <v>4</v>
      </c>
      <c r="G15" s="6" t="s">
        <v>13</v>
      </c>
      <c r="H15" s="6" t="s">
        <v>13</v>
      </c>
      <c r="I15" s="6" t="s">
        <v>3</v>
      </c>
      <c r="J15" s="6" t="s">
        <v>3</v>
      </c>
      <c r="K15" s="6" t="s">
        <v>14</v>
      </c>
      <c r="L15" s="6" t="s">
        <v>14</v>
      </c>
      <c r="M15" s="6" t="s">
        <v>14</v>
      </c>
      <c r="N15" s="6" t="s">
        <v>14</v>
      </c>
      <c r="O15" s="6" t="s">
        <v>4</v>
      </c>
      <c r="P15" s="6" t="s">
        <v>5</v>
      </c>
      <c r="Q15" s="6" t="s">
        <v>14</v>
      </c>
      <c r="R15" s="6" t="s">
        <v>15</v>
      </c>
      <c r="S15" s="6" t="s">
        <v>15</v>
      </c>
      <c r="T15" s="6" t="s">
        <v>15</v>
      </c>
      <c r="U15" s="6" t="s">
        <v>15</v>
      </c>
      <c r="V15" s="6" t="s">
        <v>15</v>
      </c>
      <c r="W15" s="6" t="s">
        <v>15</v>
      </c>
      <c r="X15" s="6" t="s">
        <v>6</v>
      </c>
      <c r="Y15" s="6" t="s">
        <v>15</v>
      </c>
      <c r="Z15" s="6" t="s">
        <v>15</v>
      </c>
      <c r="AA15" s="6" t="s">
        <v>15</v>
      </c>
      <c r="AB15" s="6" t="s">
        <v>61</v>
      </c>
      <c r="AC15" s="6"/>
      <c r="AD15" s="6" t="s">
        <v>3</v>
      </c>
      <c r="AE15" s="6" t="s">
        <v>3</v>
      </c>
      <c r="AF15" s="6" t="s">
        <v>13</v>
      </c>
      <c r="AG15" s="6" t="s">
        <v>4</v>
      </c>
      <c r="AH15" s="6" t="s">
        <v>3</v>
      </c>
      <c r="AI15" s="6"/>
      <c r="AJ15" s="6" t="s">
        <v>4</v>
      </c>
      <c r="AK15" s="6" t="s">
        <v>3</v>
      </c>
      <c r="AL15" s="6" t="s">
        <v>13</v>
      </c>
      <c r="AM15" s="6"/>
      <c r="AN15" s="6" t="s">
        <v>8</v>
      </c>
      <c r="AO15" s="6" t="s">
        <v>30</v>
      </c>
      <c r="AP15" s="6" t="s">
        <v>8</v>
      </c>
      <c r="AQ15" s="6" t="s">
        <v>30</v>
      </c>
      <c r="AR15" s="6"/>
      <c r="AS15" s="6" t="s">
        <v>13</v>
      </c>
      <c r="AT15" s="6" t="s">
        <v>17</v>
      </c>
      <c r="AU15" s="6" t="s">
        <v>3</v>
      </c>
      <c r="AV15" s="6"/>
      <c r="AW15" s="6" t="s">
        <v>3</v>
      </c>
      <c r="AX15" s="6" t="s">
        <v>3</v>
      </c>
      <c r="AY15" s="6" t="s">
        <v>18</v>
      </c>
      <c r="AZ15" s="6"/>
      <c r="BA15" s="6"/>
      <c r="BB15" s="6"/>
      <c r="BC15" s="7">
        <f>DATE(2026,3,11)+TIME(0,30,59)</f>
        <v>46092.021516203706</v>
      </c>
    </row>
    <row r="16" spans="1:55" ht="12.75">
      <c r="A16" s="2" t="s">
        <v>62</v>
      </c>
      <c r="B16" s="3"/>
      <c r="C16" s="3" t="s">
        <v>63</v>
      </c>
      <c r="D16" s="3" t="s">
        <v>21</v>
      </c>
      <c r="E16" s="3"/>
      <c r="F16" s="3" t="s">
        <v>13</v>
      </c>
      <c r="G16" s="3" t="s">
        <v>13</v>
      </c>
      <c r="H16" s="3" t="s">
        <v>13</v>
      </c>
      <c r="I16" s="3" t="s">
        <v>13</v>
      </c>
      <c r="J16" s="3" t="s">
        <v>13</v>
      </c>
      <c r="K16" s="3" t="s">
        <v>14</v>
      </c>
      <c r="L16" s="3" t="s">
        <v>14</v>
      </c>
      <c r="M16" s="3" t="s">
        <v>14</v>
      </c>
      <c r="N16" s="3" t="s">
        <v>14</v>
      </c>
      <c r="O16" s="3" t="s">
        <v>14</v>
      </c>
      <c r="P16" s="3" t="s">
        <v>14</v>
      </c>
      <c r="Q16" s="3" t="s">
        <v>14</v>
      </c>
      <c r="R16" s="3" t="s">
        <v>4</v>
      </c>
      <c r="S16" s="3" t="s">
        <v>4</v>
      </c>
      <c r="T16" s="3" t="s">
        <v>4</v>
      </c>
      <c r="U16" s="3" t="s">
        <v>4</v>
      </c>
      <c r="V16" s="3" t="s">
        <v>4</v>
      </c>
      <c r="W16" s="3" t="s">
        <v>4</v>
      </c>
      <c r="X16" s="3" t="s">
        <v>4</v>
      </c>
      <c r="Y16" s="3" t="s">
        <v>4</v>
      </c>
      <c r="Z16" s="3" t="s">
        <v>4</v>
      </c>
      <c r="AA16" s="3" t="s">
        <v>4</v>
      </c>
      <c r="AB16" s="3" t="s">
        <v>41</v>
      </c>
      <c r="AC16" s="3"/>
      <c r="AD16" s="3" t="s">
        <v>13</v>
      </c>
      <c r="AE16" s="3" t="s">
        <v>13</v>
      </c>
      <c r="AF16" s="3" t="s">
        <v>13</v>
      </c>
      <c r="AG16" s="3" t="s">
        <v>13</v>
      </c>
      <c r="AH16" s="3" t="s">
        <v>13</v>
      </c>
      <c r="AI16" s="3"/>
      <c r="AJ16" s="3" t="s">
        <v>13</v>
      </c>
      <c r="AK16" s="3" t="s">
        <v>13</v>
      </c>
      <c r="AL16" s="3" t="s">
        <v>13</v>
      </c>
      <c r="AM16" s="3"/>
      <c r="AN16" s="3" t="s">
        <v>30</v>
      </c>
      <c r="AO16" s="3" t="s">
        <v>30</v>
      </c>
      <c r="AP16" s="3" t="s">
        <v>30</v>
      </c>
      <c r="AQ16" s="3" t="s">
        <v>30</v>
      </c>
      <c r="AR16" s="3"/>
      <c r="AS16" s="3" t="s">
        <v>17</v>
      </c>
      <c r="AT16" s="3" t="s">
        <v>3</v>
      </c>
      <c r="AU16" s="3" t="s">
        <v>3</v>
      </c>
      <c r="AV16" s="3"/>
      <c r="AW16" s="3" t="s">
        <v>3</v>
      </c>
      <c r="AX16" s="3" t="s">
        <v>3</v>
      </c>
      <c r="AY16" s="3" t="s">
        <v>18</v>
      </c>
      <c r="AZ16" s="3"/>
      <c r="BA16" s="3"/>
      <c r="BB16" s="3"/>
      <c r="BC16" s="4">
        <f>DATE(2026,3,23)+TIME(7,10,26)</f>
        <v>46104.29891203704</v>
      </c>
    </row>
    <row r="17" spans="1:55" ht="12.75">
      <c r="A17" s="5" t="s">
        <v>64</v>
      </c>
      <c r="B17" s="6"/>
      <c r="C17" s="6" t="s">
        <v>65</v>
      </c>
      <c r="D17" s="6" t="s">
        <v>2</v>
      </c>
      <c r="E17" s="6"/>
      <c r="F17" s="6" t="s">
        <v>3</v>
      </c>
      <c r="G17" s="6" t="s">
        <v>3</v>
      </c>
      <c r="H17" s="6" t="s">
        <v>3</v>
      </c>
      <c r="I17" s="6" t="s">
        <v>4</v>
      </c>
      <c r="J17" s="6" t="s">
        <v>17</v>
      </c>
      <c r="K17" s="6" t="s">
        <v>14</v>
      </c>
      <c r="L17" s="6" t="s">
        <v>4</v>
      </c>
      <c r="M17" s="6" t="s">
        <v>22</v>
      </c>
      <c r="N17" s="6" t="s">
        <v>5</v>
      </c>
      <c r="O17" s="6" t="s">
        <v>23</v>
      </c>
      <c r="P17" s="6" t="s">
        <v>5</v>
      </c>
      <c r="Q17" s="6" t="s">
        <v>23</v>
      </c>
      <c r="R17" s="6" t="s">
        <v>24</v>
      </c>
      <c r="S17" s="6" t="s">
        <v>24</v>
      </c>
      <c r="T17" s="6" t="s">
        <v>6</v>
      </c>
      <c r="U17" s="6" t="s">
        <v>24</v>
      </c>
      <c r="V17" s="6" t="s">
        <v>24</v>
      </c>
      <c r="W17" s="6" t="s">
        <v>24</v>
      </c>
      <c r="X17" s="6" t="s">
        <v>24</v>
      </c>
      <c r="Y17" s="6" t="s">
        <v>24</v>
      </c>
      <c r="Z17" s="6" t="s">
        <v>24</v>
      </c>
      <c r="AA17" s="6" t="s">
        <v>15</v>
      </c>
      <c r="AB17" s="6" t="s">
        <v>66</v>
      </c>
      <c r="AC17" s="6"/>
      <c r="AD17" s="6" t="s">
        <v>3</v>
      </c>
      <c r="AE17" s="6" t="s">
        <v>3</v>
      </c>
      <c r="AF17" s="6" t="s">
        <v>13</v>
      </c>
      <c r="AG17" s="6" t="s">
        <v>16</v>
      </c>
      <c r="AH17" s="6" t="s">
        <v>17</v>
      </c>
      <c r="AI17" s="6"/>
      <c r="AJ17" s="6" t="s">
        <v>13</v>
      </c>
      <c r="AK17" s="6" t="s">
        <v>3</v>
      </c>
      <c r="AL17" s="6" t="s">
        <v>13</v>
      </c>
      <c r="AM17" s="6"/>
      <c r="AN17" s="6" t="s">
        <v>30</v>
      </c>
      <c r="AO17" s="6" t="s">
        <v>30</v>
      </c>
      <c r="AP17" s="6" t="s">
        <v>30</v>
      </c>
      <c r="AQ17" s="6" t="s">
        <v>30</v>
      </c>
      <c r="AR17" s="6"/>
      <c r="AS17" s="6" t="s">
        <v>13</v>
      </c>
      <c r="AT17" s="6" t="s">
        <v>17</v>
      </c>
      <c r="AU17" s="6" t="s">
        <v>3</v>
      </c>
      <c r="AV17" s="6"/>
      <c r="AW17" s="6" t="s">
        <v>17</v>
      </c>
      <c r="AX17" s="6" t="s">
        <v>17</v>
      </c>
      <c r="AY17" s="6" t="s">
        <v>18</v>
      </c>
      <c r="AZ17" s="6"/>
      <c r="BA17" s="6"/>
      <c r="BB17" s="6"/>
      <c r="BC17" s="7">
        <f>DATE(2026,3,11)+TIME(2,37,19)</f>
        <v>46092.109247685185</v>
      </c>
    </row>
    <row r="18" spans="1:55" ht="12.75">
      <c r="A18" s="2" t="s">
        <v>67</v>
      </c>
      <c r="B18" s="3"/>
      <c r="C18" s="3" t="s">
        <v>57</v>
      </c>
      <c r="D18" s="3" t="s">
        <v>2</v>
      </c>
      <c r="E18" s="3"/>
      <c r="F18" s="3" t="s">
        <v>13</v>
      </c>
      <c r="G18" s="3" t="s">
        <v>13</v>
      </c>
      <c r="H18" s="3" t="s">
        <v>3</v>
      </c>
      <c r="I18" s="3" t="s">
        <v>4</v>
      </c>
      <c r="J18" s="3" t="s">
        <v>13</v>
      </c>
      <c r="K18" s="3" t="s">
        <v>14</v>
      </c>
      <c r="L18" s="3" t="s">
        <v>14</v>
      </c>
      <c r="M18" s="3" t="s">
        <v>5</v>
      </c>
      <c r="N18" s="3" t="s">
        <v>5</v>
      </c>
      <c r="O18" s="3" t="s">
        <v>5</v>
      </c>
      <c r="P18" s="3" t="s">
        <v>5</v>
      </c>
      <c r="Q18" s="3" t="s">
        <v>4</v>
      </c>
      <c r="R18" s="3" t="s">
        <v>6</v>
      </c>
      <c r="S18" s="3" t="s">
        <v>6</v>
      </c>
      <c r="T18" s="3" t="s">
        <v>6</v>
      </c>
      <c r="U18" s="3" t="s">
        <v>6</v>
      </c>
      <c r="V18" s="3" t="s">
        <v>4</v>
      </c>
      <c r="W18" s="3" t="s">
        <v>6</v>
      </c>
      <c r="X18" s="3" t="s">
        <v>4</v>
      </c>
      <c r="Y18" s="3" t="s">
        <v>4</v>
      </c>
      <c r="Z18" s="3" t="s">
        <v>4</v>
      </c>
      <c r="AA18" s="3" t="s">
        <v>6</v>
      </c>
      <c r="AB18" s="3" t="s">
        <v>68</v>
      </c>
      <c r="AC18" s="3"/>
      <c r="AD18" s="3" t="s">
        <v>3</v>
      </c>
      <c r="AE18" s="3" t="s">
        <v>4</v>
      </c>
      <c r="AF18" s="3" t="s">
        <v>13</v>
      </c>
      <c r="AG18" s="3" t="s">
        <v>4</v>
      </c>
      <c r="AH18" s="3" t="s">
        <v>3</v>
      </c>
      <c r="AI18" s="3"/>
      <c r="AJ18" s="3" t="s">
        <v>3</v>
      </c>
      <c r="AK18" s="3" t="s">
        <v>4</v>
      </c>
      <c r="AL18" s="3" t="s">
        <v>3</v>
      </c>
      <c r="AM18" s="3"/>
      <c r="AN18" s="3" t="s">
        <v>8</v>
      </c>
      <c r="AO18" s="3" t="s">
        <v>8</v>
      </c>
      <c r="AP18" s="3" t="s">
        <v>8</v>
      </c>
      <c r="AQ18" s="3" t="s">
        <v>8</v>
      </c>
      <c r="AR18" s="3"/>
      <c r="AS18" s="3" t="s">
        <v>13</v>
      </c>
      <c r="AT18" s="3" t="s">
        <v>4</v>
      </c>
      <c r="AU18" s="3" t="s">
        <v>3</v>
      </c>
      <c r="AV18" s="3"/>
      <c r="AW18" s="3" t="s">
        <v>3</v>
      </c>
      <c r="AX18" s="3" t="s">
        <v>4</v>
      </c>
      <c r="AY18" s="3" t="s">
        <v>9</v>
      </c>
      <c r="AZ18" s="3" t="s">
        <v>3</v>
      </c>
      <c r="BA18" s="3" t="s">
        <v>4</v>
      </c>
      <c r="BB18" s="3"/>
      <c r="BC18" s="4">
        <f>DATE(2026,3,27)+TIME(12,8,12)</f>
        <v>46108.505694444444</v>
      </c>
    </row>
    <row r="19" spans="1:55" ht="12.75">
      <c r="A19" s="5" t="s">
        <v>69</v>
      </c>
      <c r="B19" s="6"/>
      <c r="C19" s="6" t="s">
        <v>70</v>
      </c>
      <c r="D19" s="6" t="s">
        <v>2</v>
      </c>
      <c r="E19" s="6"/>
      <c r="F19" s="6" t="s">
        <v>3</v>
      </c>
      <c r="G19" s="6" t="s">
        <v>3</v>
      </c>
      <c r="H19" s="6" t="s">
        <v>3</v>
      </c>
      <c r="I19" s="6" t="s">
        <v>13</v>
      </c>
      <c r="J19" s="6" t="s">
        <v>3</v>
      </c>
      <c r="K19" s="6" t="s">
        <v>14</v>
      </c>
      <c r="L19" s="6" t="s">
        <v>14</v>
      </c>
      <c r="M19" s="6" t="s">
        <v>5</v>
      </c>
      <c r="N19" s="6" t="s">
        <v>5</v>
      </c>
      <c r="O19" s="6" t="s">
        <v>14</v>
      </c>
      <c r="P19" s="6" t="s">
        <v>14</v>
      </c>
      <c r="Q19" s="6" t="s">
        <v>14</v>
      </c>
      <c r="R19" s="6" t="s">
        <v>15</v>
      </c>
      <c r="S19" s="6" t="s">
        <v>15</v>
      </c>
      <c r="T19" s="6" t="s">
        <v>15</v>
      </c>
      <c r="U19" s="6" t="s">
        <v>15</v>
      </c>
      <c r="V19" s="6" t="s">
        <v>15</v>
      </c>
      <c r="W19" s="6" t="s">
        <v>15</v>
      </c>
      <c r="X19" s="6" t="s">
        <v>6</v>
      </c>
      <c r="Y19" s="6" t="s">
        <v>15</v>
      </c>
      <c r="Z19" s="6" t="s">
        <v>15</v>
      </c>
      <c r="AA19" s="6" t="s">
        <v>15</v>
      </c>
      <c r="AB19" s="6" t="s">
        <v>71</v>
      </c>
      <c r="AC19" s="6"/>
      <c r="AD19" s="6" t="s">
        <v>3</v>
      </c>
      <c r="AE19" s="6" t="s">
        <v>3</v>
      </c>
      <c r="AF19" s="6" t="s">
        <v>3</v>
      </c>
      <c r="AG19" s="6" t="s">
        <v>3</v>
      </c>
      <c r="AH19" s="6" t="s">
        <v>3</v>
      </c>
      <c r="AI19" s="6"/>
      <c r="AJ19" s="6" t="s">
        <v>13</v>
      </c>
      <c r="AK19" s="6" t="s">
        <v>13</v>
      </c>
      <c r="AL19" s="6" t="s">
        <v>13</v>
      </c>
      <c r="AM19" s="6"/>
      <c r="AN19" s="6" t="s">
        <v>30</v>
      </c>
      <c r="AO19" s="6" t="s">
        <v>30</v>
      </c>
      <c r="AP19" s="6" t="s">
        <v>30</v>
      </c>
      <c r="AQ19" s="6" t="s">
        <v>30</v>
      </c>
      <c r="AR19" s="6"/>
      <c r="AS19" s="6" t="s">
        <v>3</v>
      </c>
      <c r="AT19" s="6" t="s">
        <v>3</v>
      </c>
      <c r="AU19" s="6" t="s">
        <v>3</v>
      </c>
      <c r="AV19" s="6"/>
      <c r="AW19" s="6" t="s">
        <v>3</v>
      </c>
      <c r="AX19" s="6" t="s">
        <v>3</v>
      </c>
      <c r="AY19" s="6" t="s">
        <v>18</v>
      </c>
      <c r="AZ19" s="6"/>
      <c r="BA19" s="6"/>
      <c r="BB19" s="6"/>
      <c r="BC19" s="7">
        <f>DATE(2026,3,11)+TIME(4,14,12)</f>
        <v>46092.17652777778</v>
      </c>
    </row>
    <row r="20" spans="1:55" ht="12.75">
      <c r="A20" s="2" t="s">
        <v>72</v>
      </c>
      <c r="B20" s="3"/>
      <c r="C20" s="3" t="s">
        <v>73</v>
      </c>
      <c r="D20" s="3" t="s">
        <v>2</v>
      </c>
      <c r="E20" s="3"/>
      <c r="F20" s="3" t="s">
        <v>13</v>
      </c>
      <c r="G20" s="3" t="s">
        <v>13</v>
      </c>
      <c r="H20" s="3" t="s">
        <v>13</v>
      </c>
      <c r="I20" s="3" t="s">
        <v>13</v>
      </c>
      <c r="J20" s="3" t="s">
        <v>16</v>
      </c>
      <c r="K20" s="3" t="s">
        <v>16</v>
      </c>
      <c r="L20" s="3" t="s">
        <v>16</v>
      </c>
      <c r="M20" s="3" t="s">
        <v>16</v>
      </c>
      <c r="N20" s="3" t="s">
        <v>16</v>
      </c>
      <c r="O20" s="3" t="s">
        <v>16</v>
      </c>
      <c r="P20" s="3" t="s">
        <v>16</v>
      </c>
      <c r="Q20" s="3" t="s">
        <v>16</v>
      </c>
      <c r="R20" s="3" t="s">
        <v>15</v>
      </c>
      <c r="S20" s="3" t="s">
        <v>15</v>
      </c>
      <c r="T20" s="3" t="s">
        <v>15</v>
      </c>
      <c r="U20" s="3" t="s">
        <v>15</v>
      </c>
      <c r="V20" s="3" t="s">
        <v>15</v>
      </c>
      <c r="W20" s="3" t="s">
        <v>15</v>
      </c>
      <c r="X20" s="3" t="s">
        <v>15</v>
      </c>
      <c r="Y20" s="3" t="s">
        <v>15</v>
      </c>
      <c r="Z20" s="3" t="s">
        <v>15</v>
      </c>
      <c r="AA20" s="3" t="s">
        <v>15</v>
      </c>
      <c r="AB20" s="3" t="s">
        <v>74</v>
      </c>
      <c r="AC20" s="3"/>
      <c r="AD20" s="3" t="s">
        <v>13</v>
      </c>
      <c r="AE20" s="3" t="s">
        <v>13</v>
      </c>
      <c r="AF20" s="3" t="s">
        <v>13</v>
      </c>
      <c r="AG20" s="3" t="s">
        <v>16</v>
      </c>
      <c r="AH20" s="3" t="s">
        <v>13</v>
      </c>
      <c r="AI20" s="3"/>
      <c r="AJ20" s="3" t="s">
        <v>3</v>
      </c>
      <c r="AK20" s="3" t="s">
        <v>3</v>
      </c>
      <c r="AL20" s="3" t="s">
        <v>3</v>
      </c>
      <c r="AM20" s="3"/>
      <c r="AN20" s="3" t="s">
        <v>30</v>
      </c>
      <c r="AO20" s="3" t="s">
        <v>8</v>
      </c>
      <c r="AP20" s="3" t="s">
        <v>4</v>
      </c>
      <c r="AQ20" s="3" t="s">
        <v>8</v>
      </c>
      <c r="AR20" s="3"/>
      <c r="AS20" s="3" t="s">
        <v>3</v>
      </c>
      <c r="AT20" s="3" t="s">
        <v>16</v>
      </c>
      <c r="AU20" s="3" t="s">
        <v>16</v>
      </c>
      <c r="AV20" s="3"/>
      <c r="AW20" s="3" t="s">
        <v>3</v>
      </c>
      <c r="AX20" s="3" t="s">
        <v>13</v>
      </c>
      <c r="AY20" s="3" t="s">
        <v>9</v>
      </c>
      <c r="AZ20" s="3" t="s">
        <v>3</v>
      </c>
      <c r="BA20" s="3" t="s">
        <v>13</v>
      </c>
      <c r="BB20" s="3"/>
      <c r="BC20" s="4">
        <f>DATE(2026,3,23)+TIME(17,26,15)</f>
        <v>46104.7265625</v>
      </c>
    </row>
    <row r="21" spans="1:55" ht="12.75">
      <c r="A21" s="5" t="s">
        <v>75</v>
      </c>
      <c r="B21" s="6"/>
      <c r="C21" s="6" t="s">
        <v>76</v>
      </c>
      <c r="D21" s="6" t="s">
        <v>21</v>
      </c>
      <c r="E21" s="6"/>
      <c r="F21" s="6" t="s">
        <v>3</v>
      </c>
      <c r="G21" s="6" t="s">
        <v>3</v>
      </c>
      <c r="H21" s="6" t="s">
        <v>3</v>
      </c>
      <c r="I21" s="6" t="s">
        <v>3</v>
      </c>
      <c r="J21" s="6" t="s">
        <v>3</v>
      </c>
      <c r="K21" s="6" t="s">
        <v>14</v>
      </c>
      <c r="L21" s="6" t="s">
        <v>14</v>
      </c>
      <c r="M21" s="6" t="s">
        <v>14</v>
      </c>
      <c r="N21" s="6" t="s">
        <v>14</v>
      </c>
      <c r="O21" s="6" t="s">
        <v>14</v>
      </c>
      <c r="P21" s="6" t="s">
        <v>14</v>
      </c>
      <c r="Q21" s="6" t="s">
        <v>14</v>
      </c>
      <c r="R21" s="6" t="s">
        <v>4</v>
      </c>
      <c r="S21" s="6" t="s">
        <v>4</v>
      </c>
      <c r="T21" s="6" t="s">
        <v>4</v>
      </c>
      <c r="U21" s="6" t="s">
        <v>15</v>
      </c>
      <c r="V21" s="6" t="s">
        <v>6</v>
      </c>
      <c r="W21" s="6" t="s">
        <v>6</v>
      </c>
      <c r="X21" s="6" t="s">
        <v>4</v>
      </c>
      <c r="Y21" s="6" t="s">
        <v>6</v>
      </c>
      <c r="Z21" s="6" t="s">
        <v>6</v>
      </c>
      <c r="AA21" s="6" t="s">
        <v>15</v>
      </c>
      <c r="AB21" s="6" t="s">
        <v>77</v>
      </c>
      <c r="AC21" s="6"/>
      <c r="AD21" s="6" t="s">
        <v>4</v>
      </c>
      <c r="AE21" s="6" t="s">
        <v>3</v>
      </c>
      <c r="AF21" s="6" t="s">
        <v>3</v>
      </c>
      <c r="AG21" s="6" t="s">
        <v>16</v>
      </c>
      <c r="AH21" s="6" t="s">
        <v>3</v>
      </c>
      <c r="AI21" s="6"/>
      <c r="AJ21" s="6" t="s">
        <v>4</v>
      </c>
      <c r="AK21" s="6" t="s">
        <v>3</v>
      </c>
      <c r="AL21" s="6" t="s">
        <v>13</v>
      </c>
      <c r="AM21" s="6"/>
      <c r="AN21" s="6" t="s">
        <v>30</v>
      </c>
      <c r="AO21" s="6" t="s">
        <v>30</v>
      </c>
      <c r="AP21" s="6" t="s">
        <v>30</v>
      </c>
      <c r="AQ21" s="6" t="s">
        <v>8</v>
      </c>
      <c r="AR21" s="6"/>
      <c r="AS21" s="6" t="s">
        <v>4</v>
      </c>
      <c r="AT21" s="6" t="s">
        <v>4</v>
      </c>
      <c r="AU21" s="6" t="s">
        <v>4</v>
      </c>
      <c r="AV21" s="6"/>
      <c r="AW21" s="6" t="s">
        <v>4</v>
      </c>
      <c r="AX21" s="6" t="s">
        <v>4</v>
      </c>
      <c r="AY21" s="6" t="s">
        <v>9</v>
      </c>
      <c r="AZ21" s="6" t="s">
        <v>3</v>
      </c>
      <c r="BA21" s="6" t="s">
        <v>3</v>
      </c>
      <c r="BB21" s="6"/>
      <c r="BC21" s="7">
        <f>DATE(2026,4,2)+TIME(16,46,40)</f>
        <v>46114.69907407407</v>
      </c>
    </row>
    <row r="22" spans="1:55" ht="12.75">
      <c r="A22" s="2" t="s">
        <v>78</v>
      </c>
      <c r="B22" s="3"/>
      <c r="C22" s="3" t="s">
        <v>79</v>
      </c>
      <c r="D22" s="3" t="s">
        <v>2</v>
      </c>
      <c r="E22" s="3"/>
      <c r="F22" s="3" t="s">
        <v>3</v>
      </c>
      <c r="G22" s="3" t="s">
        <v>3</v>
      </c>
      <c r="H22" s="3" t="s">
        <v>3</v>
      </c>
      <c r="I22" s="3" t="s">
        <v>3</v>
      </c>
      <c r="J22" s="3" t="s">
        <v>13</v>
      </c>
      <c r="K22" s="3" t="s">
        <v>14</v>
      </c>
      <c r="L22" s="3" t="s">
        <v>14</v>
      </c>
      <c r="M22" s="3" t="s">
        <v>14</v>
      </c>
      <c r="N22" s="3" t="s">
        <v>14</v>
      </c>
      <c r="O22" s="3" t="s">
        <v>14</v>
      </c>
      <c r="P22" s="3" t="s">
        <v>14</v>
      </c>
      <c r="Q22" s="3" t="s">
        <v>5</v>
      </c>
      <c r="R22" s="3" t="s">
        <v>15</v>
      </c>
      <c r="S22" s="3" t="s">
        <v>15</v>
      </c>
      <c r="T22" s="3" t="s">
        <v>6</v>
      </c>
      <c r="U22" s="3" t="s">
        <v>6</v>
      </c>
      <c r="V22" s="3" t="s">
        <v>6</v>
      </c>
      <c r="W22" s="3" t="s">
        <v>6</v>
      </c>
      <c r="X22" s="3" t="s">
        <v>4</v>
      </c>
      <c r="Y22" s="3" t="s">
        <v>6</v>
      </c>
      <c r="Z22" s="3" t="s">
        <v>6</v>
      </c>
      <c r="AA22" s="3" t="s">
        <v>4</v>
      </c>
      <c r="AB22" s="3" t="s">
        <v>80</v>
      </c>
      <c r="AC22" s="3"/>
      <c r="AD22" s="3" t="s">
        <v>3</v>
      </c>
      <c r="AE22" s="3" t="s">
        <v>3</v>
      </c>
      <c r="AF22" s="3" t="s">
        <v>3</v>
      </c>
      <c r="AG22" s="3" t="s">
        <v>3</v>
      </c>
      <c r="AH22" s="3" t="s">
        <v>3</v>
      </c>
      <c r="AI22" s="3"/>
      <c r="AJ22" s="3" t="s">
        <v>3</v>
      </c>
      <c r="AK22" s="3" t="s">
        <v>3</v>
      </c>
      <c r="AL22" s="3" t="s">
        <v>13</v>
      </c>
      <c r="AM22" s="3"/>
      <c r="AN22" s="3" t="s">
        <v>8</v>
      </c>
      <c r="AO22" s="3" t="s">
        <v>8</v>
      </c>
      <c r="AP22" s="3" t="s">
        <v>4</v>
      </c>
      <c r="AQ22" s="3" t="s">
        <v>30</v>
      </c>
      <c r="AR22" s="3"/>
      <c r="AS22" s="3" t="s">
        <v>3</v>
      </c>
      <c r="AT22" s="3" t="s">
        <v>3</v>
      </c>
      <c r="AU22" s="3" t="s">
        <v>13</v>
      </c>
      <c r="AV22" s="3"/>
      <c r="AW22" s="3" t="s">
        <v>3</v>
      </c>
      <c r="AX22" s="3" t="s">
        <v>3</v>
      </c>
      <c r="AY22" s="3" t="s">
        <v>9</v>
      </c>
      <c r="AZ22" s="3" t="s">
        <v>13</v>
      </c>
      <c r="BA22" s="3" t="s">
        <v>3</v>
      </c>
      <c r="BB22" s="3"/>
      <c r="BC22" s="4">
        <f>DATE(2026,3,11)+TIME(2,15,59)</f>
        <v>46092.09443287037</v>
      </c>
    </row>
    <row r="23" spans="1:55" ht="12.75">
      <c r="A23" s="5" t="s">
        <v>81</v>
      </c>
      <c r="B23" s="6"/>
      <c r="C23" s="6" t="s">
        <v>82</v>
      </c>
      <c r="D23" s="6" t="s">
        <v>2</v>
      </c>
      <c r="E23" s="6"/>
      <c r="F23" s="6" t="s">
        <v>3</v>
      </c>
      <c r="G23" s="6" t="s">
        <v>3</v>
      </c>
      <c r="H23" s="6" t="s">
        <v>3</v>
      </c>
      <c r="I23" s="6" t="s">
        <v>3</v>
      </c>
      <c r="J23" s="6" t="s">
        <v>3</v>
      </c>
      <c r="K23" s="6" t="s">
        <v>5</v>
      </c>
      <c r="L23" s="6" t="s">
        <v>5</v>
      </c>
      <c r="M23" s="6" t="s">
        <v>14</v>
      </c>
      <c r="N23" s="6" t="s">
        <v>5</v>
      </c>
      <c r="O23" s="6" t="s">
        <v>5</v>
      </c>
      <c r="P23" s="6" t="s">
        <v>4</v>
      </c>
      <c r="Q23" s="6" t="s">
        <v>5</v>
      </c>
      <c r="R23" s="6" t="s">
        <v>4</v>
      </c>
      <c r="S23" s="6" t="s">
        <v>4</v>
      </c>
      <c r="T23" s="6" t="s">
        <v>6</v>
      </c>
      <c r="U23" s="6" t="s">
        <v>4</v>
      </c>
      <c r="V23" s="6" t="s">
        <v>4</v>
      </c>
      <c r="W23" s="6" t="s">
        <v>4</v>
      </c>
      <c r="X23" s="6" t="s">
        <v>6</v>
      </c>
      <c r="Y23" s="6" t="s">
        <v>4</v>
      </c>
      <c r="Z23" s="6" t="s">
        <v>4</v>
      </c>
      <c r="AA23" s="6" t="s">
        <v>4</v>
      </c>
      <c r="AB23" s="6" t="s">
        <v>83</v>
      </c>
      <c r="AC23" s="6"/>
      <c r="AD23" s="6" t="s">
        <v>3</v>
      </c>
      <c r="AE23" s="6" t="s">
        <v>3</v>
      </c>
      <c r="AF23" s="6" t="s">
        <v>3</v>
      </c>
      <c r="AG23" s="6" t="s">
        <v>4</v>
      </c>
      <c r="AH23" s="6" t="s">
        <v>3</v>
      </c>
      <c r="AI23" s="6"/>
      <c r="AJ23" s="6" t="s">
        <v>4</v>
      </c>
      <c r="AK23" s="6" t="s">
        <v>3</v>
      </c>
      <c r="AL23" s="6" t="s">
        <v>4</v>
      </c>
      <c r="AM23" s="6" t="s">
        <v>84</v>
      </c>
      <c r="AN23" s="6" t="s">
        <v>8</v>
      </c>
      <c r="AO23" s="6" t="s">
        <v>8</v>
      </c>
      <c r="AP23" s="6" t="s">
        <v>4</v>
      </c>
      <c r="AQ23" s="6" t="s">
        <v>8</v>
      </c>
      <c r="AR23" s="6"/>
      <c r="AS23" s="6" t="s">
        <v>4</v>
      </c>
      <c r="AT23" s="6" t="s">
        <v>3</v>
      </c>
      <c r="AU23" s="6" t="s">
        <v>3</v>
      </c>
      <c r="AV23" s="6"/>
      <c r="AW23" s="6" t="s">
        <v>17</v>
      </c>
      <c r="AX23" s="6" t="s">
        <v>4</v>
      </c>
      <c r="AY23" s="6" t="s">
        <v>18</v>
      </c>
      <c r="AZ23" s="6"/>
      <c r="BA23" s="6"/>
      <c r="BB23" s="6"/>
      <c r="BC23" s="7">
        <f>DATE(2026,3,11)+TIME(3,49,37)</f>
        <v>46092.15945601852</v>
      </c>
    </row>
    <row r="24" spans="1:55" ht="12.75">
      <c r="A24" s="2" t="s">
        <v>85</v>
      </c>
      <c r="B24" s="3"/>
      <c r="C24" s="3" t="s">
        <v>70</v>
      </c>
      <c r="D24" s="3" t="s">
        <v>40</v>
      </c>
      <c r="E24" s="3"/>
      <c r="F24" s="3" t="s">
        <v>13</v>
      </c>
      <c r="G24" s="3" t="s">
        <v>13</v>
      </c>
      <c r="H24" s="3" t="s">
        <v>3</v>
      </c>
      <c r="I24" s="3" t="s">
        <v>13</v>
      </c>
      <c r="J24" s="3" t="s">
        <v>3</v>
      </c>
      <c r="K24" s="3" t="s">
        <v>14</v>
      </c>
      <c r="L24" s="3" t="s">
        <v>14</v>
      </c>
      <c r="M24" s="3" t="s">
        <v>5</v>
      </c>
      <c r="N24" s="3" t="s">
        <v>14</v>
      </c>
      <c r="O24" s="3" t="s">
        <v>14</v>
      </c>
      <c r="P24" s="3" t="s">
        <v>14</v>
      </c>
      <c r="Q24" s="3" t="s">
        <v>5</v>
      </c>
      <c r="R24" s="3" t="s">
        <v>6</v>
      </c>
      <c r="S24" s="3" t="s">
        <v>15</v>
      </c>
      <c r="T24" s="3" t="s">
        <v>6</v>
      </c>
      <c r="U24" s="3" t="s">
        <v>4</v>
      </c>
      <c r="V24" s="3" t="s">
        <v>24</v>
      </c>
      <c r="W24" s="3" t="s">
        <v>6</v>
      </c>
      <c r="X24" s="3" t="s">
        <v>24</v>
      </c>
      <c r="Y24" s="3" t="s">
        <v>15</v>
      </c>
      <c r="Z24" s="3" t="s">
        <v>15</v>
      </c>
      <c r="AA24" s="3" t="s">
        <v>6</v>
      </c>
      <c r="AB24" s="3" t="s">
        <v>29</v>
      </c>
      <c r="AC24" s="3"/>
      <c r="AD24" s="3" t="s">
        <v>13</v>
      </c>
      <c r="AE24" s="3" t="s">
        <v>13</v>
      </c>
      <c r="AF24" s="3" t="s">
        <v>3</v>
      </c>
      <c r="AG24" s="3" t="s">
        <v>4</v>
      </c>
      <c r="AH24" s="3" t="s">
        <v>3</v>
      </c>
      <c r="AI24" s="3"/>
      <c r="AJ24" s="3" t="s">
        <v>13</v>
      </c>
      <c r="AK24" s="3" t="s">
        <v>13</v>
      </c>
      <c r="AL24" s="3" t="s">
        <v>13</v>
      </c>
      <c r="AM24" s="3"/>
      <c r="AN24" s="3" t="s">
        <v>30</v>
      </c>
      <c r="AO24" s="3" t="s">
        <v>30</v>
      </c>
      <c r="AP24" s="3" t="s">
        <v>4</v>
      </c>
      <c r="AQ24" s="3" t="s">
        <v>30</v>
      </c>
      <c r="AR24" s="3"/>
      <c r="AS24" s="3" t="s">
        <v>3</v>
      </c>
      <c r="AT24" s="3" t="s">
        <v>3</v>
      </c>
      <c r="AU24" s="3" t="s">
        <v>3</v>
      </c>
      <c r="AV24" s="3"/>
      <c r="AW24" s="3" t="s">
        <v>4</v>
      </c>
      <c r="AX24" s="3" t="s">
        <v>4</v>
      </c>
      <c r="AY24" s="3" t="s">
        <v>18</v>
      </c>
      <c r="AZ24" s="3"/>
      <c r="BA24" s="3"/>
      <c r="BB24" s="3"/>
      <c r="BC24" s="4">
        <f>DATE(2026,3,18)+TIME(11,32,26)</f>
        <v>46099.48085648148</v>
      </c>
    </row>
  </sheetData>
  <hyperlinks>
    <hyperlink ref="A2" r:id="rId1" display="7NZ0E427H"/>
    <hyperlink ref="A3" r:id="rId2" display="7NZ7WL04T"/>
    <hyperlink ref="A4" r:id="rId3" display="K6YDG15LM"/>
    <hyperlink ref="A5" r:id="rId4" display="DGM42QM9Q"/>
    <hyperlink ref="A6" r:id="rId5" display="YE8L6P8PC"/>
    <hyperlink ref="A7" r:id="rId6" display="8GL29K9KD"/>
    <hyperlink ref="A8" r:id="rId7" display="P6ELR7J7U"/>
    <hyperlink ref="A9" r:id="rId8" display="E4DJ8D91W"/>
    <hyperlink ref="A10" r:id="rId9" display="WMJ8YJRNA"/>
    <hyperlink ref="A11" r:id="rId10" display="WMJGMLQ2H"/>
    <hyperlink ref="A12" r:id="rId11" display="L28Y54YYJ"/>
    <hyperlink ref="A13" r:id="rId12" display="K6Q5285RP"/>
    <hyperlink ref="A14" r:id="rId13" display="7N056D57D"/>
    <hyperlink ref="A15" r:id="rId14" display="2941MN19M"/>
    <hyperlink ref="A16" r:id="rId15" display="196OMGL5G"/>
    <hyperlink ref="A17" r:id="rId16" display="ON64QRY4A"/>
    <hyperlink ref="A18" r:id="rId17" display="QMRP407KV"/>
    <hyperlink ref="A19" r:id="rId18" display="DG7EW6LZN"/>
    <hyperlink ref="A20" r:id="rId19" display="4N5JM8E5H"/>
    <hyperlink ref="A21" r:id="rId20" display="7N056DG7X"/>
    <hyperlink ref="A22" r:id="rId21" display="YEJOQM5PW"/>
    <hyperlink ref="A23" r:id="rId22" display="YEJOQM9PX"/>
    <hyperlink ref="A24" r:id="rId23" display="6WL2QPKMH"/>
  </hyperlinks>
  <pageMargins left="0.75" right="0.75" top="1" bottom="1" header="0.5" footer="0.5"/>
  <tableParts>
    <tablePart r:id="rId24"/>
  </tablePart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Answer Details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