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1" showHorizontalScroll="1" showVerticalScroll="1" showSheetTabs="1" xWindow="-53970" yWindow="1590" windowWidth="21600" windowHeight="11175" tabRatio="600" firstSheet="0" activeTab="0" autoFilterDateGrouping="1"/>
  </bookViews>
  <sheets>
    <sheet xmlns:r="http://schemas.openxmlformats.org/officeDocument/2006/relationships" name="data" sheetId="1" state="visible" r:id="rId1"/>
  </sheets>
  <definedNames/>
  <calcPr calcId="191029" fullCalcOnLoad="1"/>
</workbook>
</file>

<file path=xl/styles.xml><?xml version="1.0" encoding="utf-8"?>
<styleSheet xmlns="http://schemas.openxmlformats.org/spreadsheetml/2006/main">
  <numFmts count="0"/>
  <fonts count="3">
    <font>
      <name val="Arial"/>
      <family val="2"/>
      <color theme="1"/>
      <sz val="10"/>
    </font>
    <font>
      <name val="Calibri"/>
      <family val="2"/>
      <b val="1"/>
      <color theme="1"/>
      <sz val="13"/>
    </font>
    <font>
      <name val="Calibri"/>
      <family val="2"/>
      <color theme="1"/>
      <sz val="12"/>
    </font>
  </fonts>
  <fills count="5">
    <fill>
      <patternFill/>
    </fill>
    <fill>
      <patternFill patternType="gray125"/>
    </fill>
    <fill>
      <patternFill patternType="solid">
        <fgColor rgb="FFFFFF00"/>
        <bgColor indexed="64"/>
      </patternFill>
    </fill>
    <fill>
      <patternFill patternType="solid">
        <fgColor rgb="FFEDEDED"/>
        <bgColor indexed="64"/>
      </patternFill>
    </fill>
    <fill>
      <patternFill patternType="solid">
        <fgColor rgb="FFFFC000"/>
        <bgColor indexed="64"/>
      </patternFill>
    </fill>
  </fills>
  <borders count="2">
    <border>
      <left/>
      <right/>
      <top/>
      <bottom/>
      <diagonal/>
    </border>
    <border>
      <left/>
      <right/>
      <top style="thin">
        <color auto="1"/>
      </top>
      <bottom style="thin">
        <color auto="1"/>
      </bottom>
      <diagonal/>
    </border>
  </borders>
  <cellStyleXfs count="1">
    <xf numFmtId="0" fontId="0" fillId="0" borderId="0"/>
  </cellStyleXfs>
  <cellXfs count="13">
    <xf numFmtId="0" fontId="0" fillId="0" borderId="0" pivotButton="0" quotePrefix="0" xfId="0"/>
    <xf numFmtId="0" fontId="1" fillId="0" borderId="1" applyAlignment="1" pivotButton="0" quotePrefix="0" xfId="0">
      <alignment vertical="center" wrapText="1"/>
    </xf>
    <xf numFmtId="0" fontId="1" fillId="2" borderId="1" applyAlignment="1" pivotButton="0" quotePrefix="0" xfId="0">
      <alignment vertical="center" wrapText="1"/>
    </xf>
    <xf numFmtId="49" fontId="2" fillId="0" borderId="0" applyAlignment="1" pivotButton="0" quotePrefix="0" xfId="0">
      <alignment wrapText="1"/>
    </xf>
    <xf numFmtId="0" fontId="0" fillId="2" borderId="0" pivotButton="0" quotePrefix="0" xfId="0"/>
    <xf numFmtId="22" fontId="2" fillId="0" borderId="0" pivotButton="0" quotePrefix="0" xfId="0"/>
    <xf numFmtId="49" fontId="2" fillId="3" borderId="0" applyAlignment="1" pivotButton="0" quotePrefix="0" xfId="0">
      <alignment wrapText="1"/>
    </xf>
    <xf numFmtId="22" fontId="2" fillId="3" borderId="0" pivotButton="0" quotePrefix="0" xfId="0"/>
    <xf numFmtId="49" fontId="2" fillId="4" borderId="0" applyAlignment="1" pivotButton="0" quotePrefix="0" xfId="0">
      <alignment wrapText="1"/>
    </xf>
    <xf numFmtId="0" fontId="0" fillId="4" borderId="0" pivotButton="0" quotePrefix="0" xfId="0"/>
    <xf numFmtId="22" fontId="2" fillId="4" borderId="0" pivotButton="0" quotePrefix="0" xfId="0"/>
    <xf numFmtId="49" fontId="2" fillId="0" borderId="0" applyAlignment="1" pivotButton="0" quotePrefix="1" xfId="0">
      <alignment wrapText="1"/>
    </xf>
    <xf numFmtId="49" fontId="2" fillId="3" borderId="0" applyAlignment="1" pivotButton="0" quotePrefix="1" xfId="0">
      <alignment wrapText="1"/>
    </xf>
  </cellXfs>
  <cellStyles count="1">
    <cellStyle name="Normal" xfId="0" builtinId="0"/>
  </cellStyles>
  <dxfs count="1">
    <dxf>
      <numFmt numFmtId="0" formatCode="General"/>
      <fill>
        <patternFill>
          <fgColor indexed="64"/>
          <bgColor rgb="FFFFFF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GL139" headerRowCount="1" totalsRowShown="0">
  <autoFilter ref="A1:GL139"/>
  <tableColumns count="194">
    <tableColumn id="1" name="First Name"/>
    <tableColumn id="2" name="Last Name"/>
    <tableColumn id="3" name="Email Address"/>
    <tableColumn id="4" name="Response Code"/>
    <tableColumn id="5" name="A. Demographics"/>
    <tableColumn id="6" name="1. Select the OED you represent."/>
    <tableColumn id="7" name="1.1. Please select the country you are responding for."/>
    <tableColumn id="8" name="1.2. Please select the country you are responding for."/>
    <tableColumn id="9" name="1.3. Please select the country you are responding for."/>
    <tableColumn id="10" name="1.4. Please select the country you are responding for."/>
    <tableColumn id="11" name="1.5. Please select the country you are responding for."/>
    <tableColumn id="12" name="1.6. Please select the country you are responding for."/>
    <tableColumn id="13" name="1.7. Please select the country you are responding for."/>
    <tableColumn id="14" name="1.8. Please select the country you are responding for."/>
    <tableColumn id="15" name="1.9. Please select the country you are responding for."/>
    <tableColumn id="16" name="1.10. Please select the country you are responding for."/>
    <tableColumn id="17" name="1.11. Please select the country you are responding for."/>
    <tableColumn id="18" name="1.12. Please select the country you are responding for."/>
    <tableColumn id="19" name="1.13. Please select the country you are responding for."/>
    <tableColumn id="20" name="1.14. Please select the country you are responding for."/>
    <tableColumn id="21" name="1.15. Please select the country you are responding for."/>
    <tableColumn id="22" name="1.16. Please select the country you are responding for."/>
    <tableColumn id="23" name="1.17. Please select the country you are responding for."/>
    <tableColumn id="24" name="1.18. Please select the country you are responding for."/>
    <tableColumn id="25" name="1.19. Please select the country you are responding for."/>
    <tableColumn id="26" name="1.20. Please select the country you are responding for."/>
    <tableColumn id="27" name="1.21. Please select the country you are responding for."/>
    <tableColumn id="28" name="1.22. Please select the country you are responding for."/>
    <tableColumn id="29" name="1.23. Please select the country you are responding for."/>
    <tableColumn id="30" name="1.24. Please select the country you are responding for."/>
    <tableColumn id="31" name="1.25. Please select the country you are responding for."/>
    <tableColumn id="195" name="Please select the country you are responding for. (Merged)" dataDxfId="0"/>
    <tableColumn id="32" name="2. Which statement best reflects your country’s view regarding the extent to which the IMF should engage on climate change-related issues going forward, compared to the evaluation period (2021-2025)?"/>
    <tableColumn id="33" name="3. To what extent does your country believe the following IMF outputs and activities have created value added for your country in the area of climate change?: Article IV consultations and Selected Issues Papers (SIPs)"/>
    <tableColumn id="34" name="3. To what extent does your country believe the following IMF outputs and activities have created value added for your country in the area of climate change?: Flagship reports (e.g., World Economic Outlook (WEO), Fiscal Monitor (FM), Global Financial Stab"/>
    <tableColumn id="35" name="3. To what extent does your country believe the following IMF outputs and activities have created value added for your country in the area of climate change?: Financial Sector Assessment Programs (FSAPs)"/>
    <tableColumn id="36" name="3. To what extent does your country believe the following IMF outputs and activities have created value added for your country in the area of climate change?: Research and analytical work (e.g., working papers, books, and staff climate notes)"/>
    <tableColumn id="37" name="3. To what extent does your country believe the following IMF outputs and activities have created value added for your country in the area of climate change?: Climate-related models and tools (e.g., Climate Policy Assessment Tool (CPAT), Debt-Investment-G"/>
    <tableColumn id="38" name="3. To what extent does your country believe the following IMF outputs and activities have created value added for your country in the area of climate change?: Resilience and Sustainability Facility (RSF)"/>
    <tableColumn id="39" name="3. To what extent does your country believe the following IMF outputs and activities have created value added for your country in the area of climate change?: Climate finance mobilization (e.g., climate finance roundtables)"/>
    <tableColumn id="40" name="3. To what extent does your country believe the following IMF outputs and activities have created value added for your country in the area of climate change?: Technical assistance (e.g., Climate Policy Diagnostic (CPD) and Climate-module of Public Investm"/>
    <tableColumn id="41" name="3. To what extent does your country believe the following IMF outputs and activities have created value added for your country in the area of climate change?: Training courses (e.g., The Macroeconomics of Climate Change)"/>
    <tableColumn id="42" name="3. To what extent does your country believe the following IMF outputs and activities have created value added for your country in the area of climate change?: Climate data (e.g., the Climate Change Indicators Dashboard)"/>
    <tableColumn id="43" name="3. To what extent does your country believe the following IMF outputs and activities have created value added for your country in the area of climate change?: Climate advocacy efforts at the national, regional, and global levels"/>
    <tableColumn id="44" name="B. Surveillance"/>
    <tableColumn id="45" name="4. Based on your country’s experience in the context of Article IV consultations, to what extent has IMF surveillance of climate change-related issues:: Been requested by your country"/>
    <tableColumn id="46" name="4. Based on your country’s experience in the context of Article IV consultations, to what extent has IMF surveillance of climate change-related issues:: Been integrated within traditional IMF core policy areas (i.e., exchange rate, monetary, fiscal, and f"/>
    <tableColumn id="47" name="4. Based on your country’s experience in the context of Article IV consultations, to what extent has IMF surveillance of climate change-related issues:: Crowded out other areas of work"/>
    <tableColumn id="48" name="4. Based on your country’s experience in the context of Article IV consultations, to what extent has IMF surveillance of climate change-related issues:: Enhanced your country’s understanding of the issues"/>
    <tableColumn id="49" name="4. Based on your country’s experience in the context of Article IV consultations, to what extent has IMF surveillance of climate change-related issues:: Had traction (e.g., contributed to policy formulation)"/>
    <tableColumn id="50" name="4. Based on your country’s experience in the context of Article IV consultations, to what extent has IMF surveillance of climate change-related issues:: Been conducted in a manner consistent with the principle of uniformity of treatment across countries"/>
    <tableColumn id="51" name="5. Based on your country’s experience in the context of flagship reports (e.g., World Economic Outlook (WEO), Fiscal Monitor (FM), Global Financial Stability Report (GFSR), Regional Economic Outlook (REO)), to what extent has IMF surveillance of climate c"/>
    <tableColumn id="52" name="5. Based on your country’s experience in the context of flagship reports (e.g., World Economic Outlook (WEO), Fiscal Monitor (FM), Global Financial Stability Report (GFSR), Regional Economic Outlook (REO)), to what extent has IMF surveillance of clim (2)"/>
    <tableColumn id="53" name="5. Based on your country’s experience in the context of flagship reports (e.g., World Economic Outlook (WEO), Fiscal Monitor (FM), Global Financial Stability Report (GFSR), Regional Economic Outlook (REO)), to what extent has IMF surveillance of clim (3)"/>
    <tableColumn id="54" name="5. Based on your country’s experience in the context of flagship reports (e.g., World Economic Outlook (WEO), Fiscal Monitor (FM), Global Financial Stability Report (GFSR), Regional Economic Outlook (REO)), to what extent has IMF surveillance of clim (4)"/>
    <tableColumn id="55" name="5. Based on your country’s experience in the context of flagship reports (e.g., World Economic Outlook (WEO), Fiscal Monitor (FM), Global Financial Stability Report (GFSR), Regional Economic Outlook (REO)), to what extent has IMF surveillance of clim (5)"/>
    <tableColumn id="56" name="6. Based on your country’s experience in the context of FSAPs, to what extent has IMF surveillance of climate change-related issues:: Been requested by your country"/>
    <tableColumn id="57" name="6. Based on your country’s experience in the context of FSAPs, to what extent has IMF surveillance of climate change-related issues:: Crowded out other areas of work"/>
    <tableColumn id="58" name="6. Based on your country’s experience in the context of FSAPs, to what extent has IMF surveillance of climate change-related issues:: Enhanced your country’s understanding of the issues"/>
    <tableColumn id="59" name="6. Based on your country’s experience in the context of FSAPs, to what extent has IMF surveillance of climate change-related issues:: Had traction (e.g., contributed to policy formulation)"/>
    <tableColumn id="60" name="6. Based on your country’s experience in the context of FSAPs, to what extent has IMF surveillance of climate change-related issues:: Been conducted in a manner consistent with the principle of uniformity of treatment across countries"/>
    <tableColumn id="61" name="7. Based on your country’s experience in the context of research and analytical work (e.g., working papers, books, and staff climate notes) to what extent has IMF surveillance of climate change-related issues:: Been integrated within traditional IMF core "/>
    <tableColumn id="62" name="7. Based on your country’s experience in the context of research and analytical work (e.g., working papers, books, and staff climate notes) to what extent has IMF surveillance of climate change-related issues:: Crowded out other areas of work"/>
    <tableColumn id="63" name="7. Based on your country’s experience in the context of research and analytical work (e.g., working papers, books, and staff climate notes) to what extent has IMF surveillance of climate change-related issues:: Enhanced your country’s understanding of the"/>
    <tableColumn id="64" name="7. Based on your country’s experience in the context of research and analytical work (e.g., working papers, books, and staff climate notes) to what extent has IMF surveillance of climate change-related issues:: Had traction (e.g., contributed to policy fo"/>
    <tableColumn id="65" name="7. Based on your country’s experience in the context of research and analytical work (e.g., working papers, books, and staff climate notes) to what extent has IMF surveillance of climate change-related issues:: Been conducted in a manner consistent with t"/>
    <tableColumn id="66" name="8. Based on your country’s experience in the context of surveillance (i.e., Article IV consultations, flagship reports, FSAPs, and research and analytical work), to what extent did IMF staff draw on resources or collaborate with staff from the following e"/>
    <tableColumn id="67" name="8. Based on your country’s experience in the context of surveillance (i.e., Article IV consultations, flagship reports, FSAPs, and research and analytical work), to what extent did IMF staff draw on resources or collaborate with staff from the follow (2)"/>
    <tableColumn id="68" name="8. Based on your country’s experience in the context of surveillance (i.e., Article IV consultations, flagship reports, FSAPs, and research and analytical work), to what extent did IMF staff draw on resources or collaborate with staff from the follow (3)"/>
    <tableColumn id="69" name="8. Based on your country’s experience in the context of surveillance (i.e., Article IV consultations, flagship reports, FSAPs, and research and analytical work), to what extent did IMF staff draw on resources or collaborate with staff from the follow (4)"/>
    <tableColumn id="70" name="8.1. Please specify 'Other' from above."/>
    <tableColumn id="71" name="9. Which statement best reflects your country’s view regarding the extent to which the IMF’s resources dedicated to surveillance of climate change-related issues were appropriate during the evaluation period (2021-2025)?"/>
    <tableColumn id="72" name="10. In your country’s view and looking ahead, to what extent should the IMF cover the following types of climate change-related issues in the following surveillance outputs?: Adaptation issues in Article IV consultations"/>
    <tableColumn id="73" name="10. In your country’s view and looking ahead, to what extent should the IMF cover the following types of climate change-related issues in the following surveillance outputs?: Mitigation issues in Article IV consultations"/>
    <tableColumn id="74" name="10. In your country’s view and looking ahead, to what extent should the IMF cover the following types of climate change-related issues in the following surveillance outputs?: Transition issues in Article IV consultations"/>
    <tableColumn id="75" name="10. In your country’s view and looking ahead, to what extent should the IMF cover the following types of climate change-related issues in the following surveillance outputs?: Adaptation issues in Flagship reports"/>
    <tableColumn id="76" name="10. In your country’s view and looking ahead, to what extent should the IMF cover the following types of climate change-related issues in the following surveillance outputs?: Mitigation issues in Flagship reports"/>
    <tableColumn id="77" name="10. In your country’s view and looking ahead, to what extent should the IMF cover the following types of climate change-related issues in the following surveillance outputs?: Transition issues in Flagship reports"/>
    <tableColumn id="78" name="10. In your country’s view and looking ahead, to what extent should the IMF cover the following types of climate change-related issues in the following surveillance outputs?: Adaptation issues in FSAPs"/>
    <tableColumn id="79" name="10. In your country’s view and looking ahead, to what extent should the IMF cover the following types of climate change-related issues in the following surveillance outputs?: Mitigation issues in FSAPs"/>
    <tableColumn id="80" name="10. In your country’s view and looking ahead, to what extent should the IMF cover the following types of climate change-related issues in the following surveillance outputs?: Transition issues in FSAPs"/>
    <tableColumn id="81" name="10. In your country’s view and looking ahead, to what extent should the IMF cover the following types of climate change-related issues in the following surveillance outputs?: Adaptation issues in Research and analytical work"/>
    <tableColumn id="82" name="10. In your country’s view and looking ahead, to what extent should the IMF cover the following types of climate change-related issues in the following surveillance outputs?: Mitigation issues in Research and analytical work"/>
    <tableColumn id="83" name="10. In your country’s view and looking ahead, to what extent should the IMF cover the following types of climate change-related issues in the following surveillance outputs?: Transition issues in Research and analytical work"/>
    <tableColumn id="84" name="C. Lending"/>
    <tableColumn id="85" name="11. Did your country receive support from the IMF under any of the following facilities during the evaluation period (2021-2025)?: Resilience and Sustainability Facility (RSF)"/>
    <tableColumn id="86" name="11. Did your country receive support from the IMF under any of the following facilities during the evaluation period (2021-2025)?: Other IMF Facilities (e.g. ECF, EFF, FCL, PCI, PLL, RCF, RFI, SBA, SCF, SLL, SMP (including PMB))"/>
    <tableColumn id="87" name="11.1. Based on your country’s experience with an RSF arrangement, to what extent:: Have climate change-related issues been integrated within traditional IMF core policy areas (i.e., exchange rate, monetary, fiscal, and financial sector)"/>
    <tableColumn id="88" name="11.1. Based on your country’s experience with an RSF arrangement, to what extent:: Have the Reform Measures (RMs) been tailored to your country’s capacity and political economy context"/>
    <tableColumn id="89" name="11.1. Based on your country’s experience with an RSF arrangement, to what extent:: Have the RMs reflected an adequate level of ambition"/>
    <tableColumn id="90" name="11.1. Based on your country’s experience with an RSF arrangement, to what extent:: Were the RMs already on your country’s agenda before the RSF"/>
    <tableColumn id="91" name="11.1. Based on your country’s experience with an RSF arrangement, to what extent:: Did the RMs balance your country’s adaptation, mitigation, and transition priorities"/>
    <tableColumn id="92" name="11.1. Based on your country’s experience with an RSF arrangement, to what extent:: Did the IMF provide TA to support the RMs"/>
    <tableColumn id="93" name="11.1. Based on your country’s experience with an RSF arrangement, to what extent:: Were the access levels determined based on clear criteria"/>
    <tableColumn id="94" name="11.1. Based on your country’s experience with an RSF arrangement, to what extent:: Were access levels determined in accordance with the principle of uniformity of treatment"/>
    <tableColumn id="95" name="11.1. Based on your country’s experience with an RSF arrangement, to what extent:: Were the financing amounts approved aligned with the criticality, ambition, and depth of the RMs"/>
    <tableColumn id="96" name="11.1. Based on your country’s experience with an RSF arrangement, to what extent:: Did the RSF arrangement exhibit strong country ownership"/>
    <tableColumn id="97" name="11.1. Based on your country’s experience with an RSF arrangement, to what extent:: Did IMF staff possess sufficient expertise to support the design and implementation of the RMs"/>
    <tableColumn id="98" name="11.1. Based on your country’s experience with an RSF arrangement, to what extent:: Did the RSF arrangement have a catalytic effect"/>
    <tableColumn id="99" name="11.1. Based on your country’s experience with an RSF arrangement, to what extent:: Could the objectives of the RSF arrangement be achieved using alternative IMF facilities and/or through other partners"/>
    <tableColumn id="100" name="11.1. Based on your country’s experience with an RSF arrangement, to what extent:: Did the RSF arrangement provide value added for your country"/>
    <tableColumn id="101" name="11.1. Based on your country’s experience with an RSF arrangement, to what extent:: Did the RSF arrangement fulfill your country’s initial expectations and objectives"/>
    <tableColumn id="102" name="11.1. Based on your country’s experience with an RSF arrangement, to what extent:: Would your country be willing to enter a subsequent arrangement under the RSF"/>
    <tableColumn id="103" name="11.1. Based on your country’s experience with an RSF arrangement, to what extent:: Was IMF collaboration and coordination with partners (e.g., MDBs) effective in the design and implementation of the arrangement"/>
    <tableColumn id="104" name="11.1. Based on your country’s experience with an RSF arrangement, to what extent:: Have climate finance roundtables played a role in catalyzing additional resources"/>
    <tableColumn id="105" name="11.2. Based on your country's experience with an RSF arrangement, please indicate what the financing was used for.: Additional new spending"/>
    <tableColumn id="106" name="11.2. Based on your country's experience with an RSF arrangement, please indicate what the financing was used for.: Existing planned spending (substituting for other financing)"/>
    <tableColumn id="107" name="11.2. Based on your country's experience with an RSF arrangement, please indicate what the financing was used for.: Refinancing existing borrowing"/>
    <tableColumn id="108" name="11.2. Based on your country's experience with an RSF arrangement, please indicate what the financing was used for.: Building reserves"/>
    <tableColumn id="109" name="11.2. Based on your country's experience with an RSF arrangement, please indicate what the financing was used for.: Climate change-related policies"/>
    <tableColumn id="110" name="11.2. Based on your country's experience with an RSF arrangement, please indicate what the financing was used for.: Other (please specify)"/>
    <tableColumn id="111" name="11.3. Based on your country’s experience with an RSF arrangement, and considering the facility’s climate change-focused objectives, to what extent:: Has the arrangement contributed to covering any shorter-term balance of payments (BoP)/ fiscal needs direc"/>
    <tableColumn id="112" name="11.3. Based on your country’s experience with an RSF arrangement, and considering the facility’s climate change-focused objectives, to what extent:: Has the arrangement increased policy space for fiscal spending and reforms associated with climate change-"/>
    <tableColumn id="113" name="11.3. Based on your country’s experience with an RSF arrangement, and considering the facility’s climate change-focused objectives, to what extent:: Has the arrangement augmented longer-term buffers to strengthen your country’s ability to face climate cha"/>
    <tableColumn id="114" name="11.4. Based on your country’s experience with an RSF arrangement, to what extent did IMF staff draw on resources or collaborate with staff from the following external partner organizations when carrying out their work during the evaluation period (2021-20"/>
    <tableColumn id="115" name="11.4. Based on your country’s experience with an RSF arrangement, to what extent did IMF staff draw on resources or collaborate with staff from the following external partner organizations when carrying out their work during the evaluation period (20 (2)"/>
    <tableColumn id="116" name="11.4. Based on your country’s experience with an RSF arrangement, to what extent did IMF staff draw on resources or collaborate with staff from the following external partner organizations when carrying out their work during the evaluation period (20 (3)"/>
    <tableColumn id="117" name="11.4. Based on your country’s experience with an RSF arrangement, to what extent did IMF staff draw on resources or collaborate with staff from the following external partner organizations when carrying out their work during the evaluation period (20 (4)"/>
    <tableColumn id="118" name="11.4.1. Please specify 'Other' from above."/>
    <tableColumn id="119" name="12. Please indicate the reasons why your country has not had an arrangement under the RSF:: My country is not eligible for an RSF arrangement"/>
    <tableColumn id="120" name="12. Please indicate the reasons why your country has not had an arrangement under the RSF:: Climate change does not pose a major balance of payments risk in my country"/>
    <tableColumn id="121" name="12. Please indicate the reasons why your country has not had an arrangement under the RSF:: Insufficient administrative capacity to implement an IMF   program concurrent with an RSF arrangement"/>
    <tableColumn id="122" name="12. Please indicate the reasons why your country has not had an arrangement under the RSF:: More convenient alternative financing options"/>
    <tableColumn id="123" name="12. Please indicate the reasons why your country has not had an arrangement under the RSF:: My country requested an RSF arrangement but it has not been approved yet or the request did not progress"/>
    <tableColumn id="124" name="12. Please indicate the reasons why your country has not had an arrangement under the RSF:: An RSF arrangement would have been useful, but my country had no balance of payments issues/did not need/was not willing to commit to the underlying UCT program"/>
    <tableColumn id="125" name="12. Please indicate the reasons why your country has not had an arrangement under the RSF:: Other (please specify)"/>
    <tableColumn id="126" name="13. Did your country receive any climate change-related financing from non-IMF sources over the evaluation period (2021-2025)?"/>
    <tableColumn id="127" name="13.1. Please indicate from which non-IMF sources your country received climate change-related financing.: World Bank Group"/>
    <tableColumn id="128" name="13.1. Please indicate from which non-IMF sources your country received climate change-related financing.: Regional development banks"/>
    <tableColumn id="129" name="13.1. Please indicate from which non-IMF sources your country received climate change-related financing.: Bilateral sources"/>
    <tableColumn id="130" name="13.1. Please indicate from which non-IMF sources your country received climate change-related financing.: Private sources"/>
    <tableColumn id="131" name="13.1. Please indicate from which non-IMF sources your country received climate change-related financing.: Other (please specify)"/>
    <tableColumn id="132" name="13.2. Based on your country’s experience with climate change-related financing from non-IMF sources to what extent:: Does the RSF provide better financing terms compared to non-IMF sources"/>
    <tableColumn id="133" name="13.2. Based on your country’s experience with climate change-related financing from non-IMF sources to what extent:: Is the RSF more accessible in terms of eligibility criteria and application process relative to non-IMF sources"/>
    <tableColumn id="134" name="13.2. Based on your country’s experience with climate change-related financing from non-IMF sources to what extent:: Is the RSF a more suitable instrument to achieve climate change-related goals than non-IMF sources"/>
    <tableColumn id="135" name="14. In your country’s view, with regards to the design of the RSF instrument, to what extent:: Is the requirement of an underlying UCT program an adequate feature"/>
    <tableColumn id="136" name="14. In your country’s view, with regards to the design of the RSF instrument, to what extent:: Does it balance the short duration of the implementation phase and long-term climate change goals"/>
    <tableColumn id="137" name="14. In your country’s view, with regards to the design of the RSF instrument, to what extent:: Does it incorporate an adequate framework to follow up on RMs’ objectives, and outcomes after program completion"/>
    <tableColumn id="138" name="14. In your country’s view, with regards to the design of the RSF instrument, to what extent:: Does it provide attractive financing terms"/>
    <tableColumn id="139" name="15. In your country’s view, with regards to the future of the RSF, to what extent:: Should the cumulative access level cap be raised (from the smaller of 150 percent of quota or SDR 1 billion), enabling countries that have reached the current cap to be el"/>
    <tableColumn id="140" name="15. In your country’s view, with regards to the future of the RSF, to what extent:: Should the scope be broadened to address longer-term structural challenges beyond climate change-related and pandemic preparedness issues"/>
    <tableColumn id="141" name="15. In your country’s view, with regards to the future of the RSF, to what extent:: Should the duration of the implementation period be extended to support more ambitious and sustained RMs"/>
    <tableColumn id="142" name="16. Based on your country’s experience in the context of non-RSF IMF facilities, to what extent: Have climate change-related issues been integrated within traditional core policy areas (i.e., exchange rate, monetary, fiscal, and financial sector)"/>
    <tableColumn id="143" name="16. Based on your country’s experience in the context of non-RSF IMF facilities, to what extent: Have climate change-related issues crowded out other considerations in program design"/>
    <tableColumn id="144" name="16. Based on your country’s experience in the context of non-RSF IMF facilities, to what extent: Would it be feasible to achieve climate change-related objectives using non-RSF facilities"/>
    <tableColumn id="145" name="D. Capacity Development"/>
    <tableColumn id="146" name="17. Technical Assistance"/>
    <tableColumn id="147" name="18. Training"/>
    <tableColumn id="148" name="D. Capacity Development Continued"/>
    <tableColumn id="149" name="19. Based on your country’s experience, to what extent has IMF climate change-related technical assistance been initiated by:: Your country"/>
    <tableColumn id="150" name="19. Based on your country’s experience, to what extent has IMF climate change-related technical assistance been initiated by:: An IMF area department"/>
    <tableColumn id="151" name="19. Based on your country’s experience, to what extent has IMF climate change-related technical assistance been initiated by:: An IMF functional department"/>
    <tableColumn id="152" name="19. Based on your country’s experience, to what extent has IMF climate change-related technical assistance been initiated by:: Other (please specify below)"/>
    <tableColumn id="153" name="19.1. Please specify 'other' from above."/>
    <tableColumn id="154" name="20. Based on your country’s experience, to what extent has IMF climate change-related technical assistance:: Been integrated within traditional IMF core policy areas (i.e., exchange rate, monetary, fiscal, and financial sector)?"/>
    <tableColumn id="155" name="20. Based on your country’s experience, to what extent has IMF climate change-related technical assistance:: Crowded out technical assistance on other policy areas"/>
    <tableColumn id="156" name="20. Based on your country’s experience, to what extent has IMF climate change-related technical assistance:: Been tailored to your country’s specific circumstances"/>
    <tableColumn id="157" name="20. Based on your country’s experience, to what extent has IMF climate change-related technical assistance:: Been effective in building institutional capacity"/>
    <tableColumn id="158" name="20. Based on your country’s experience, to what extent has IMF climate change-related technical assistance:: Been mutually reinforcing and well-coordinated with IMF surveillance"/>
    <tableColumn id="159" name="20. Based on your country’s experience, to what extent has IMF climate change-related technical assistance:: Been mutually reinforcing and well-coordinated with IMF lending"/>
    <tableColumn id="160" name="20. Based on your country’s experience, to what extent has IMF climate change-related technical assistance:: Been monitored for its results"/>
    <tableColumn id="161" name="20. Based on your country’s experience, to what extent has IMF climate change-related technical assistance:: Been assessed for its effectiveness"/>
    <tableColumn id="162" name="20. Based on your country’s experience, to what extent has IMF climate change-related technical assistance:: Had follow-up engagement to support its implementation"/>
    <tableColumn id="163" name="21. Based on your country’s experience, to what extent has IMF-provided climate change-related training:: Been available to your country"/>
    <tableColumn id="164" name="21. Based on your country’s experience, to what extent has IMF-provided climate change-related training:: Been integrated within traditional IMF core policy areas (i.e., exchange rate, monetary, fiscal, and financial sector)"/>
    <tableColumn id="165" name="21. Based on your country’s experience, to what extent has IMF-provided climate change-related training:: Crowded out training on other policy areas"/>
    <tableColumn id="166" name="21. Based on your country’s experience, to what extent has IMF-provided climate change-related training:: Been tailored to your country’s specific circumstances"/>
    <tableColumn id="167" name="21. Based on your country’s experience, to what extent has IMF-provided climate change-related training:: Been effective in building institutional capacity"/>
    <tableColumn id="168" name="21. Based on your country’s experience, to what extent has IMF-provided climate change-related training:: Been mutually reinforcing and well-coordinated with IMF surveillance"/>
    <tableColumn id="169" name="21. Based on your country’s experience, to what extent has IMF-provided climate change-related training:: Been mutually reinforcing and well-coordinated with IMF lending"/>
    <tableColumn id="170" name="21. Based on your country’s experience, to what extent has IMF-provided climate change-related training:: Been monitored for its results"/>
    <tableColumn id="171" name="21. Based on your country’s experience, to what extent has IMF-provided climate change-related training:: Been assessed for its effectiveness"/>
    <tableColumn id="172" name="21. Based on your country’s experience, to what extent has IMF-provided climate change-related training:: Had follow-up engagement to support its implementation"/>
    <tableColumn id="173" name="22. Based on your country’s experience in the context of capacity development (i.e., technical assistance and training), to what extent did IMF staff draw on resources or collaborate with staff from the following external partner organizations when carryi"/>
    <tableColumn id="174" name="22. Based on your country’s experience in the context of capacity development (i.e., technical assistance and training), to what extent did IMF staff draw on resources or collaborate with staff from the following external partner organizations when c (2)"/>
    <tableColumn id="175" name="22. Based on your country’s experience in the context of capacity development (i.e., technical assistance and training), to what extent did IMF staff draw on resources or collaborate with staff from the following external partner organizations when c (3)"/>
    <tableColumn id="176" name="22. Based on your country’s experience in the context of capacity development (i.e., technical assistance and training), to what extent did IMF staff draw on resources or collaborate with staff from the following external partner organizations when c (4)"/>
    <tableColumn id="177" name="22.1. Please specify 'other' from above."/>
    <tableColumn id="178" name="23. Which statement best reflects your country’s view regarding the extent to which the IMF’s resources dedicated to climate change-related capacity development were appropriate during the evaluation period (2021-2025)?"/>
    <tableColumn id="179" name="E. Overall Views"/>
    <tableColumn id="180" name="24. To what extent does your country believe the IMF has a comparative advantage in the following areas and therefore should work on them in the future?: Mobilizing climate finance, including through the catalytic effect of IMF lending and climate finance"/>
    <tableColumn id="181" name="24. To what extent does your country believe the IMF has a comparative advantage in the following areas and therefore should work on them in the future?: Contributing to inter-institutional coordination, including through the climate roundtables and clima"/>
    <tableColumn id="182" name="24. To what extent does your country believe the IMF has a comparative advantage in the following areas and therefore should work on them in the future?: Integrating climate and macroeconomic policy (technical and analytical work)"/>
    <tableColumn id="183" name="24. To what extent does your country believe the IMF has a comparative advantage in the following areas and therefore should work on them in the future?: Facilitating international climate policy coordination on adaptation, mitigation, and transition mana"/>
    <tableColumn id="184" name="24. To what extent does your country believe the IMF has a comparative advantage in the following areas and therefore should work on them in the future?: Other (please specify below)"/>
    <tableColumn id="185" name="24.1. Please specify 'other' from above."/>
    <tableColumn id="186" name="25. In your view, to what extent should the IMF prioritize in its work the following newer policy areas?: Artificial Intelligence (AI)"/>
    <tableColumn id="187" name="25. In your view, to what extent should the IMF prioritize in its work the following newer policy areas?: Climate Change"/>
    <tableColumn id="188" name="25. In your view, to what extent should the IMF prioritize in its work the following newer policy areas?: Digital Money"/>
    <tableColumn id="189" name="25. In your view, to what extent should the IMF prioritize in its work the following newer policy areas?: Gender"/>
    <tableColumn id="190" name="25. In your view, to what extent should the IMF prioritize in its work the following newer policy areas?: Governance"/>
    <tableColumn id="191" name="25. In your view, to what extent should the IMF prioritize in its work the following newer policy areas?: Social spending"/>
    <tableColumn id="192" name="26. Please share any other views your country has regarding how the IMF has or should engage on climate change-related issues."/>
    <tableColumn id="193" name="Completed Date (GMT-05:00) Eastern [US &amp; Canada]"/>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tabColor theme="7" tint="0.3999755851924192"/>
    <outlinePr summaryBelow="1" summaryRight="1"/>
    <pageSetUpPr/>
  </sheetPr>
  <dimension ref="A1:GL139"/>
  <sheetViews>
    <sheetView tabSelected="1" zoomScale="70" zoomScaleNormal="70" workbookViewId="0">
      <selection activeCell="A1" sqref="A1"/>
    </sheetView>
  </sheetViews>
  <sheetFormatPr baseColWidth="8" defaultRowHeight="12.75"/>
  <cols>
    <col width="27.42578125" customWidth="1" min="1" max="2"/>
    <col width="64" customWidth="1" min="3" max="3"/>
    <col width="27.42578125" customWidth="1" min="4" max="6"/>
    <col hidden="1" outlineLevel="1" width="27.42578125" customWidth="1" min="7" max="31"/>
    <col collapsed="1" width="27.42578125" customWidth="1" style="4" min="32" max="32"/>
    <col width="27.42578125" customWidth="1" min="33" max="194"/>
  </cols>
  <sheetData>
    <row r="1" ht="224.25" customHeight="1">
      <c r="A1" s="1" t="inlineStr">
        <is>
          <t>First Name</t>
        </is>
      </c>
      <c r="B1" s="1" t="inlineStr">
        <is>
          <t>Last Name</t>
        </is>
      </c>
      <c r="C1" s="1" t="inlineStr">
        <is>
          <t>Email Address</t>
        </is>
      </c>
      <c r="D1" s="1" t="inlineStr">
        <is>
          <t>Response Code</t>
        </is>
      </c>
      <c r="E1" s="1" t="inlineStr">
        <is>
          <t>A. Demographics</t>
        </is>
      </c>
      <c r="F1" s="1" t="inlineStr">
        <is>
          <t>1. Select the OED you represent.</t>
        </is>
      </c>
      <c r="G1" s="1" t="inlineStr">
        <is>
          <t>1.1. Please select the country you are responding for.</t>
        </is>
      </c>
      <c r="H1" s="1" t="inlineStr">
        <is>
          <t>1.2. Please select the country you are responding for.</t>
        </is>
      </c>
      <c r="I1" s="1" t="inlineStr">
        <is>
          <t>1.3. Please select the country you are responding for.</t>
        </is>
      </c>
      <c r="J1" s="1" t="inlineStr">
        <is>
          <t>1.4. Please select the country you are responding for.</t>
        </is>
      </c>
      <c r="K1" s="1" t="inlineStr">
        <is>
          <t>1.5. Please select the country you are responding for.</t>
        </is>
      </c>
      <c r="L1" s="1" t="inlineStr">
        <is>
          <t>1.6. Please select the country you are responding for.</t>
        </is>
      </c>
      <c r="M1" s="1" t="inlineStr">
        <is>
          <t>1.7. Please select the country you are responding for.</t>
        </is>
      </c>
      <c r="N1" s="1" t="inlineStr">
        <is>
          <t>1.8. Please select the country you are responding for.</t>
        </is>
      </c>
      <c r="O1" s="1" t="inlineStr">
        <is>
          <t>1.9. Please select the country you are responding for.</t>
        </is>
      </c>
      <c r="P1" s="1" t="inlineStr">
        <is>
          <t>1.10. Please select the country you are responding for.</t>
        </is>
      </c>
      <c r="Q1" s="1" t="inlineStr">
        <is>
          <t>1.11. Please select the country you are responding for.</t>
        </is>
      </c>
      <c r="R1" s="1" t="inlineStr">
        <is>
          <t>1.12. Please select the country you are responding for.</t>
        </is>
      </c>
      <c r="S1" s="1" t="inlineStr">
        <is>
          <t>1.13. Please select the country you are responding for.</t>
        </is>
      </c>
      <c r="T1" s="1" t="inlineStr">
        <is>
          <t>1.14. Please select the country you are responding for.</t>
        </is>
      </c>
      <c r="U1" s="1" t="inlineStr">
        <is>
          <t>1.15. Please select the country you are responding for.</t>
        </is>
      </c>
      <c r="V1" s="1" t="inlineStr">
        <is>
          <t>1.16. Please select the country you are responding for.</t>
        </is>
      </c>
      <c r="W1" s="1" t="inlineStr">
        <is>
          <t>1.17. Please select the country you are responding for.</t>
        </is>
      </c>
      <c r="X1" s="1" t="inlineStr">
        <is>
          <t>1.18. Please select the country you are responding for.</t>
        </is>
      </c>
      <c r="Y1" s="1" t="inlineStr">
        <is>
          <t>1.19. Please select the country you are responding for.</t>
        </is>
      </c>
      <c r="Z1" s="1" t="inlineStr">
        <is>
          <t>1.20. Please select the country you are responding for.</t>
        </is>
      </c>
      <c r="AA1" s="1" t="inlineStr">
        <is>
          <t>1.21. Please select the country you are responding for.</t>
        </is>
      </c>
      <c r="AB1" s="1" t="inlineStr">
        <is>
          <t>1.22. Please select the country you are responding for.</t>
        </is>
      </c>
      <c r="AC1" s="1" t="inlineStr">
        <is>
          <t>1.23. Please select the country you are responding for.</t>
        </is>
      </c>
      <c r="AD1" s="1" t="inlineStr">
        <is>
          <t>1.24. Please select the country you are responding for.</t>
        </is>
      </c>
      <c r="AE1" s="1" t="inlineStr">
        <is>
          <t>1.25. Please select the country you are responding for.</t>
        </is>
      </c>
      <c r="AF1" s="2" t="inlineStr">
        <is>
          <t>Please select the country you are responding for. (Merged)</t>
        </is>
      </c>
      <c r="AG1" s="1" t="inlineStr">
        <is>
          <t>2. Which statement best reflects your country’s view regarding the extent to which the IMF should engage on climate change-related issues going forward, compared to the evaluation period (2021-2025)?</t>
        </is>
      </c>
      <c r="AH1" s="1" t="inlineStr">
        <is>
          <t>3. To what extent does your country believe the following IMF outputs and activities have created value added for your country in the area of climate change?: Article IV consultations and Selected Issues Papers (SIPs)</t>
        </is>
      </c>
      <c r="AI1" s="1" t="inlineStr">
        <is>
          <t>3. To what extent does your country believe the following IMF outputs and activities have created value added for your country in the area of climate change?: Flagship reports (e.g., World Economic Outlook (WEO), Fiscal Monitor (FM), Global Financial Stab</t>
        </is>
      </c>
      <c r="AJ1" s="1" t="inlineStr">
        <is>
          <t>3. To what extent does your country believe the following IMF outputs and activities have created value added for your country in the area of climate change?: Financial Sector Assessment Programs (FSAPs)</t>
        </is>
      </c>
      <c r="AK1" s="1" t="inlineStr">
        <is>
          <t>3. To what extent does your country believe the following IMF outputs and activities have created value added for your country in the area of climate change?: Research and analytical work (e.g., working papers, books, and staff climate notes)</t>
        </is>
      </c>
      <c r="AL1" s="1" t="inlineStr">
        <is>
          <t>3. To what extent does your country believe the following IMF outputs and activities have created value added for your country in the area of climate change?: Climate-related models and tools (e.g., Climate Policy Assessment Tool (CPAT), Debt-Investment-G</t>
        </is>
      </c>
      <c r="AM1" s="1" t="inlineStr">
        <is>
          <t>3. To what extent does your country believe the following IMF outputs and activities have created value added for your country in the area of climate change?: Resilience and Sustainability Facility (RSF)</t>
        </is>
      </c>
      <c r="AN1" s="1" t="inlineStr">
        <is>
          <t>3. To what extent does your country believe the following IMF outputs and activities have created value added for your country in the area of climate change?: Climate finance mobilization (e.g., climate finance roundtables)</t>
        </is>
      </c>
      <c r="AO1" s="1" t="inlineStr">
        <is>
          <t>3. To what extent does your country believe the following IMF outputs and activities have created value added for your country in the area of climate change?: Technical assistance (e.g., Climate Policy Diagnostic (CPD) and Climate-module of Public Investm</t>
        </is>
      </c>
      <c r="AP1" s="1" t="inlineStr">
        <is>
          <t>3. To what extent does your country believe the following IMF outputs and activities have created value added for your country in the area of climate change?: Training courses (e.g., The Macroeconomics of Climate Change)</t>
        </is>
      </c>
      <c r="AQ1" s="1" t="inlineStr">
        <is>
          <t>3. To what extent does your country believe the following IMF outputs and activities have created value added for your country in the area of climate change?: Climate data (e.g., the Climate Change Indicators Dashboard)</t>
        </is>
      </c>
      <c r="AR1" s="1" t="inlineStr">
        <is>
          <t>3. To what extent does your country believe the following IMF outputs and activities have created value added for your country in the area of climate change?: Climate advocacy efforts at the national, regional, and global levels</t>
        </is>
      </c>
      <c r="AS1" s="1" t="inlineStr">
        <is>
          <t>B. Surveillance</t>
        </is>
      </c>
      <c r="AT1" s="1" t="inlineStr">
        <is>
          <t>4. Based on your country’s experience in the context of Article IV consultations, to what extent has IMF surveillance of climate change-related issues:: Been requested by your country</t>
        </is>
      </c>
      <c r="AU1" s="1" t="inlineStr">
        <is>
          <t>4. Based on your country’s experience in the context of Article IV consultations, to what extent has IMF surveillance of climate change-related issues:: Been integrated within traditional IMF core policy areas (i.e., exchange rate, monetary, fiscal, and f</t>
        </is>
      </c>
      <c r="AV1" s="1" t="inlineStr">
        <is>
          <t>4. Based on your country’s experience in the context of Article IV consultations, to what extent has IMF surveillance of climate change-related issues:: Crowded out other areas of work</t>
        </is>
      </c>
      <c r="AW1" s="1" t="inlineStr">
        <is>
          <t>4. Based on your country’s experience in the context of Article IV consultations, to what extent has IMF surveillance of climate change-related issues:: Enhanced your country’s understanding of the issues</t>
        </is>
      </c>
      <c r="AX1" s="1" t="inlineStr">
        <is>
          <t>4. Based on your country’s experience in the context of Article IV consultations, to what extent has IMF surveillance of climate change-related issues:: Had traction (e.g., contributed to policy formulation)</t>
        </is>
      </c>
      <c r="AY1" s="1" t="inlineStr">
        <is>
          <t>4. Based on your country’s experience in the context of Article IV consultations, to what extent has IMF surveillance of climate change-related issues:: Been conducted in a manner consistent with the principle of uniformity of treatment across countries</t>
        </is>
      </c>
      <c r="AZ1" s="1" t="inlineStr">
        <is>
          <t>5. Based on your country’s experience in the context of flagship reports (e.g., World Economic Outlook (WEO), Fiscal Monitor (FM), Global Financial Stability Report (GFSR), Regional Economic Outlook (REO)), to what extent has IMF surveillance of climate c</t>
        </is>
      </c>
      <c r="BA1" s="1" t="inlineStr">
        <is>
          <t>5. Based on your country’s experience in the context of flagship reports (e.g., World Economic Outlook (WEO), Fiscal Monitor (FM), Global Financial Stability Report (GFSR), Regional Economic Outlook (REO)), to what extent has IMF surveillance of clim (2)</t>
        </is>
      </c>
      <c r="BB1" s="1" t="inlineStr">
        <is>
          <t>5. Based on your country’s experience in the context of flagship reports (e.g., World Economic Outlook (WEO), Fiscal Monitor (FM), Global Financial Stability Report (GFSR), Regional Economic Outlook (REO)), to what extent has IMF surveillance of clim (3)</t>
        </is>
      </c>
      <c r="BC1" s="1" t="inlineStr">
        <is>
          <t>5. Based on your country’s experience in the context of flagship reports (e.g., World Economic Outlook (WEO), Fiscal Monitor (FM), Global Financial Stability Report (GFSR), Regional Economic Outlook (REO)), to what extent has IMF surveillance of clim (4)</t>
        </is>
      </c>
      <c r="BD1" s="1" t="inlineStr">
        <is>
          <t>5. Based on your country’s experience in the context of flagship reports (e.g., World Economic Outlook (WEO), Fiscal Monitor (FM), Global Financial Stability Report (GFSR), Regional Economic Outlook (REO)), to what extent has IMF surveillance of clim (5)</t>
        </is>
      </c>
      <c r="BE1" s="1" t="inlineStr">
        <is>
          <t>6. Based on your country’s experience in the context of FSAPs, to what extent has IMF surveillance of climate change-related issues:: Been requested by your country</t>
        </is>
      </c>
      <c r="BF1" s="1" t="inlineStr">
        <is>
          <t>6. Based on your country’s experience in the context of FSAPs, to what extent has IMF surveillance of climate change-related issues:: Crowded out other areas of work</t>
        </is>
      </c>
      <c r="BG1" s="1" t="inlineStr">
        <is>
          <t>6. Based on your country’s experience in the context of FSAPs, to what extent has IMF surveillance of climate change-related issues:: Enhanced your country’s understanding of the issues</t>
        </is>
      </c>
      <c r="BH1" s="1" t="inlineStr">
        <is>
          <t>6. Based on your country’s experience in the context of FSAPs, to what extent has IMF surveillance of climate change-related issues:: Had traction (e.g., contributed to policy formulation)</t>
        </is>
      </c>
      <c r="BI1" s="1" t="inlineStr">
        <is>
          <t>6. Based on your country’s experience in the context of FSAPs, to what extent has IMF surveillance of climate change-related issues:: Been conducted in a manner consistent with the principle of uniformity of treatment across countries</t>
        </is>
      </c>
      <c r="BJ1" s="1" t="inlineStr">
        <is>
          <t xml:space="preserve">7. Based on your country’s experience in the context of research and analytical work (e.g., working papers, books, and staff climate notes) to what extent has IMF surveillance of climate change-related issues:: Been integrated within traditional IMF core </t>
        </is>
      </c>
      <c r="BK1" s="1" t="inlineStr">
        <is>
          <t>7. Based on your country’s experience in the context of research and analytical work (e.g., working papers, books, and staff climate notes) to what extent has IMF surveillance of climate change-related issues:: Crowded out other areas of work</t>
        </is>
      </c>
      <c r="BL1" s="1" t="inlineStr">
        <is>
          <t>7. Based on your country’s experience in the context of research and analytical work (e.g., working papers, books, and staff climate notes) to what extent has IMF surveillance of climate change-related issues:: Enhanced your country’s understanding of the</t>
        </is>
      </c>
      <c r="BM1" s="1" t="inlineStr">
        <is>
          <t>7. Based on your country’s experience in the context of research and analytical work (e.g., working papers, books, and staff climate notes) to what extent has IMF surveillance of climate change-related issues:: Had traction (e.g., contributed to policy fo</t>
        </is>
      </c>
      <c r="BN1" s="1" t="inlineStr">
        <is>
          <t>7. Based on your country’s experience in the context of research and analytical work (e.g., working papers, books, and staff climate notes) to what extent has IMF surveillance of climate change-related issues:: Been conducted in a manner consistent with t</t>
        </is>
      </c>
      <c r="BO1" s="1" t="inlineStr">
        <is>
          <t>8. Based on your country’s experience in the context of surveillance (i.e., Article IV consultations, flagship reports, FSAPs, and research and analytical work), to what extent did IMF staff draw on resources or collaborate with staff from the following e</t>
        </is>
      </c>
      <c r="BP1" s="1" t="inlineStr">
        <is>
          <t>8. Based on your country’s experience in the context of surveillance (i.e., Article IV consultations, flagship reports, FSAPs, and research and analytical work), to what extent did IMF staff draw on resources or collaborate with staff from the follow (2)</t>
        </is>
      </c>
      <c r="BQ1" s="1" t="inlineStr">
        <is>
          <t>8. Based on your country’s experience in the context of surveillance (i.e., Article IV consultations, flagship reports, FSAPs, and research and analytical work), to what extent did IMF staff draw on resources or collaborate with staff from the follow (3)</t>
        </is>
      </c>
      <c r="BR1" s="1" t="inlineStr">
        <is>
          <t>8. Based on your country’s experience in the context of surveillance (i.e., Article IV consultations, flagship reports, FSAPs, and research and analytical work), to what extent did IMF staff draw on resources or collaborate with staff from the follow (4)</t>
        </is>
      </c>
      <c r="BS1" s="1" t="inlineStr">
        <is>
          <t>8.1. Please specify 'Other' from above.</t>
        </is>
      </c>
      <c r="BT1" s="1" t="inlineStr">
        <is>
          <t>9. Which statement best reflects your country’s view regarding the extent to which the IMF’s resources dedicated to surveillance of climate change-related issues were appropriate during the evaluation period (2021-2025)?</t>
        </is>
      </c>
      <c r="BU1" s="1" t="inlineStr">
        <is>
          <t>10. In your country’s view and looking ahead, to what extent should the IMF cover the following types of climate change-related issues in the following surveillance outputs?: Adaptation issues in Article IV consultations</t>
        </is>
      </c>
      <c r="BV1" s="1" t="inlineStr">
        <is>
          <t>10. In your country’s view and looking ahead, to what extent should the IMF cover the following types of climate change-related issues in the following surveillance outputs?: Mitigation issues in Article IV consultations</t>
        </is>
      </c>
      <c r="BW1" s="1" t="inlineStr">
        <is>
          <t>10. In your country’s view and looking ahead, to what extent should the IMF cover the following types of climate change-related issues in the following surveillance outputs?: Transition issues in Article IV consultations</t>
        </is>
      </c>
      <c r="BX1" s="1" t="inlineStr">
        <is>
          <t>10. In your country’s view and looking ahead, to what extent should the IMF cover the following types of climate change-related issues in the following surveillance outputs?: Adaptation issues in Flagship reports</t>
        </is>
      </c>
      <c r="BY1" s="1" t="inlineStr">
        <is>
          <t>10. In your country’s view and looking ahead, to what extent should the IMF cover the following types of climate change-related issues in the following surveillance outputs?: Mitigation issues in Flagship reports</t>
        </is>
      </c>
      <c r="BZ1" s="1" t="inlineStr">
        <is>
          <t>10. In your country’s view and looking ahead, to what extent should the IMF cover the following types of climate change-related issues in the following surveillance outputs?: Transition issues in Flagship reports</t>
        </is>
      </c>
      <c r="CA1" s="1" t="inlineStr">
        <is>
          <t>10. In your country’s view and looking ahead, to what extent should the IMF cover the following types of climate change-related issues in the following surveillance outputs?: Adaptation issues in FSAPs</t>
        </is>
      </c>
      <c r="CB1" s="1" t="inlineStr">
        <is>
          <t>10. In your country’s view and looking ahead, to what extent should the IMF cover the following types of climate change-related issues in the following surveillance outputs?: Mitigation issues in FSAPs</t>
        </is>
      </c>
      <c r="CC1" s="1" t="inlineStr">
        <is>
          <t>10. In your country’s view and looking ahead, to what extent should the IMF cover the following types of climate change-related issues in the following surveillance outputs?: Transition issues in FSAPs</t>
        </is>
      </c>
      <c r="CD1" s="1" t="inlineStr">
        <is>
          <t>10. In your country’s view and looking ahead, to what extent should the IMF cover the following types of climate change-related issues in the following surveillance outputs?: Adaptation issues in Research and analytical work</t>
        </is>
      </c>
      <c r="CE1" s="1" t="inlineStr">
        <is>
          <t>10. In your country’s view and looking ahead, to what extent should the IMF cover the following types of climate change-related issues in the following surveillance outputs?: Mitigation issues in Research and analytical work</t>
        </is>
      </c>
      <c r="CF1" s="1" t="inlineStr">
        <is>
          <t>10. In your country’s view and looking ahead, to what extent should the IMF cover the following types of climate change-related issues in the following surveillance outputs?: Transition issues in Research and analytical work</t>
        </is>
      </c>
      <c r="CG1" s="1" t="inlineStr">
        <is>
          <t>C. Lending</t>
        </is>
      </c>
      <c r="CH1" s="1" t="inlineStr">
        <is>
          <t>11. Did your country receive support from the IMF under any of the following facilities during the evaluation period (2021-2025)?: Resilience and Sustainability Facility (RSF)</t>
        </is>
      </c>
      <c r="CI1" s="1" t="inlineStr">
        <is>
          <t>11. Did your country receive support from the IMF under any of the following facilities during the evaluation period (2021-2025)?: Other IMF Facilities (e.g. ECF, EFF, FCL, PCI, PLL, RCF, RFI, SBA, SCF, SLL, SMP (including PMB))</t>
        </is>
      </c>
      <c r="CJ1" s="1" t="inlineStr">
        <is>
          <t>11.1. Based on your country’s experience with an RSF arrangement, to what extent:: Have climate change-related issues been integrated within traditional IMF core policy areas (i.e., exchange rate, monetary, fiscal, and financial sector)</t>
        </is>
      </c>
      <c r="CK1" s="1" t="inlineStr">
        <is>
          <t>11.1. Based on your country’s experience with an RSF arrangement, to what extent:: Have the Reform Measures (RMs) been tailored to your country’s capacity and political economy context</t>
        </is>
      </c>
      <c r="CL1" s="1" t="inlineStr">
        <is>
          <t>11.1. Based on your country’s experience with an RSF arrangement, to what extent:: Have the RMs reflected an adequate level of ambition</t>
        </is>
      </c>
      <c r="CM1" s="1" t="inlineStr">
        <is>
          <t>11.1. Based on your country’s experience with an RSF arrangement, to what extent:: Were the RMs already on your country’s agenda before the RSF</t>
        </is>
      </c>
      <c r="CN1" s="1" t="inlineStr">
        <is>
          <t>11.1. Based on your country’s experience with an RSF arrangement, to what extent:: Did the RMs balance your country’s adaptation, mitigation, and transition priorities</t>
        </is>
      </c>
      <c r="CO1" s="1" t="inlineStr">
        <is>
          <t>11.1. Based on your country’s experience with an RSF arrangement, to what extent:: Did the IMF provide TA to support the RMs</t>
        </is>
      </c>
      <c r="CP1" s="1" t="inlineStr">
        <is>
          <t>11.1. Based on your country’s experience with an RSF arrangement, to what extent:: Were the access levels determined based on clear criteria</t>
        </is>
      </c>
      <c r="CQ1" s="1" t="inlineStr">
        <is>
          <t>11.1. Based on your country’s experience with an RSF arrangement, to what extent:: Were access levels determined in accordance with the principle of uniformity of treatment</t>
        </is>
      </c>
      <c r="CR1" s="1" t="inlineStr">
        <is>
          <t>11.1. Based on your country’s experience with an RSF arrangement, to what extent:: Were the financing amounts approved aligned with the criticality, ambition, and depth of the RMs</t>
        </is>
      </c>
      <c r="CS1" s="1" t="inlineStr">
        <is>
          <t>11.1. Based on your country’s experience with an RSF arrangement, to what extent:: Did the RSF arrangement exhibit strong country ownership</t>
        </is>
      </c>
      <c r="CT1" s="1" t="inlineStr">
        <is>
          <t>11.1. Based on your country’s experience with an RSF arrangement, to what extent:: Did IMF staff possess sufficient expertise to support the design and implementation of the RMs</t>
        </is>
      </c>
      <c r="CU1" s="1" t="inlineStr">
        <is>
          <t>11.1. Based on your country’s experience with an RSF arrangement, to what extent:: Did the RSF arrangement have a catalytic effect</t>
        </is>
      </c>
      <c r="CV1" s="1" t="inlineStr">
        <is>
          <t>11.1. Based on your country’s experience with an RSF arrangement, to what extent:: Could the objectives of the RSF arrangement be achieved using alternative IMF facilities and/or through other partners</t>
        </is>
      </c>
      <c r="CW1" s="1" t="inlineStr">
        <is>
          <t>11.1. Based on your country’s experience with an RSF arrangement, to what extent:: Did the RSF arrangement provide value added for your country</t>
        </is>
      </c>
      <c r="CX1" s="1" t="inlineStr">
        <is>
          <t>11.1. Based on your country’s experience with an RSF arrangement, to what extent:: Did the RSF arrangement fulfill your country’s initial expectations and objectives</t>
        </is>
      </c>
      <c r="CY1" s="1" t="inlineStr">
        <is>
          <t>11.1. Based on your country’s experience with an RSF arrangement, to what extent:: Would your country be willing to enter a subsequent arrangement under the RSF</t>
        </is>
      </c>
      <c r="CZ1" s="1" t="inlineStr">
        <is>
          <t>11.1. Based on your country’s experience with an RSF arrangement, to what extent:: Was IMF collaboration and coordination with partners (e.g., MDBs) effective in the design and implementation of the arrangement</t>
        </is>
      </c>
      <c r="DA1" s="1" t="inlineStr">
        <is>
          <t>11.1. Based on your country’s experience with an RSF arrangement, to what extent:: Have climate finance roundtables played a role in catalyzing additional resources</t>
        </is>
      </c>
      <c r="DB1" s="1" t="inlineStr">
        <is>
          <t>11.2. Based on your country's experience with an RSF arrangement, please indicate what the financing was used for.: Additional new spending</t>
        </is>
      </c>
      <c r="DC1" s="1" t="inlineStr">
        <is>
          <t>11.2. Based on your country's experience with an RSF arrangement, please indicate what the financing was used for.: Existing planned spending (substituting for other financing)</t>
        </is>
      </c>
      <c r="DD1" s="1" t="inlineStr">
        <is>
          <t>11.2. Based on your country's experience with an RSF arrangement, please indicate what the financing was used for.: Refinancing existing borrowing</t>
        </is>
      </c>
      <c r="DE1" s="1" t="inlineStr">
        <is>
          <t>11.2. Based on your country's experience with an RSF arrangement, please indicate what the financing was used for.: Building reserves</t>
        </is>
      </c>
      <c r="DF1" s="1" t="inlineStr">
        <is>
          <t>11.2. Based on your country's experience with an RSF arrangement, please indicate what the financing was used for.: Climate change-related policies</t>
        </is>
      </c>
      <c r="DG1" s="1" t="inlineStr">
        <is>
          <t>11.2. Based on your country's experience with an RSF arrangement, please indicate what the financing was used for.: Other (please specify)</t>
        </is>
      </c>
      <c r="DH1" s="1" t="inlineStr">
        <is>
          <t>11.3. Based on your country’s experience with an RSF arrangement, and considering the facility’s climate change-focused objectives, to what extent:: Has the arrangement contributed to covering any shorter-term balance of payments (BoP)/ fiscal needs direc</t>
        </is>
      </c>
      <c r="DI1" s="1" t="inlineStr">
        <is>
          <t>11.3. Based on your country’s experience with an RSF arrangement, and considering the facility’s climate change-focused objectives, to what extent:: Has the arrangement increased policy space for fiscal spending and reforms associated with climate change-</t>
        </is>
      </c>
      <c r="DJ1" s="1" t="inlineStr">
        <is>
          <t>11.3. Based on your country’s experience with an RSF arrangement, and considering the facility’s climate change-focused objectives, to what extent:: Has the arrangement augmented longer-term buffers to strengthen your country’s ability to face climate cha</t>
        </is>
      </c>
      <c r="DK1" s="1" t="inlineStr">
        <is>
          <t>11.4. Based on your country’s experience with an RSF arrangement, to what extent did IMF staff draw on resources or collaborate with staff from the following external partner organizations when carrying out their work during the evaluation period (2021-20</t>
        </is>
      </c>
      <c r="DL1" s="1" t="inlineStr">
        <is>
          <t>11.4. Based on your country’s experience with an RSF arrangement, to what extent did IMF staff draw on resources or collaborate with staff from the following external partner organizations when carrying out their work during the evaluation period (20 (2)</t>
        </is>
      </c>
      <c r="DM1" s="1" t="inlineStr">
        <is>
          <t>11.4. Based on your country’s experience with an RSF arrangement, to what extent did IMF staff draw on resources or collaborate with staff from the following external partner organizations when carrying out their work during the evaluation period (20 (3)</t>
        </is>
      </c>
      <c r="DN1" s="1" t="inlineStr">
        <is>
          <t>11.4. Based on your country’s experience with an RSF arrangement, to what extent did IMF staff draw on resources or collaborate with staff from the following external partner organizations when carrying out their work during the evaluation period (20 (4)</t>
        </is>
      </c>
      <c r="DO1" s="1" t="inlineStr">
        <is>
          <t>11.4.1. Please specify 'Other' from above.</t>
        </is>
      </c>
      <c r="DP1" s="1" t="inlineStr">
        <is>
          <t>12. Please indicate the reasons why your country has not had an arrangement under the RSF:: My country is not eligible for an RSF arrangement</t>
        </is>
      </c>
      <c r="DQ1" s="1" t="inlineStr">
        <is>
          <t>12. Please indicate the reasons why your country has not had an arrangement under the RSF:: Climate change does not pose a major balance of payments risk in my country</t>
        </is>
      </c>
      <c r="DR1" s="1" t="inlineStr">
        <is>
          <t>12. Please indicate the reasons why your country has not had an arrangement under the RSF:: Insufficient administrative capacity to implement an IMF   program concurrent with an RSF arrangement</t>
        </is>
      </c>
      <c r="DS1" s="1" t="inlineStr">
        <is>
          <t>12. Please indicate the reasons why your country has not had an arrangement under the RSF:: More convenient alternative financing options</t>
        </is>
      </c>
      <c r="DT1" s="1" t="inlineStr">
        <is>
          <t>12. Please indicate the reasons why your country has not had an arrangement under the RSF:: My country requested an RSF arrangement but it has not been approved yet or the request did not progress</t>
        </is>
      </c>
      <c r="DU1" s="1" t="inlineStr">
        <is>
          <t>12. Please indicate the reasons why your country has not had an arrangement under the RSF:: An RSF arrangement would have been useful, but my country had no balance of payments issues/did not need/was not willing to commit to the underlying UCT program</t>
        </is>
      </c>
      <c r="DV1" s="1" t="inlineStr">
        <is>
          <t>12. Please indicate the reasons why your country has not had an arrangement under the RSF:: Other (please specify)</t>
        </is>
      </c>
      <c r="DW1" s="1" t="inlineStr">
        <is>
          <t>13. Did your country receive any climate change-related financing from non-IMF sources over the evaluation period (2021-2025)?</t>
        </is>
      </c>
      <c r="DX1" s="1" t="inlineStr">
        <is>
          <t>13.1. Please indicate from which non-IMF sources your country received climate change-related financing.: World Bank Group</t>
        </is>
      </c>
      <c r="DY1" s="1" t="inlineStr">
        <is>
          <t>13.1. Please indicate from which non-IMF sources your country received climate change-related financing.: Regional development banks</t>
        </is>
      </c>
      <c r="DZ1" s="1" t="inlineStr">
        <is>
          <t>13.1. Please indicate from which non-IMF sources your country received climate change-related financing.: Bilateral sources</t>
        </is>
      </c>
      <c r="EA1" s="1" t="inlineStr">
        <is>
          <t>13.1. Please indicate from which non-IMF sources your country received climate change-related financing.: Private sources</t>
        </is>
      </c>
      <c r="EB1" s="1" t="inlineStr">
        <is>
          <t>13.1. Please indicate from which non-IMF sources your country received climate change-related financing.: Other (please specify)</t>
        </is>
      </c>
      <c r="EC1" s="1" t="inlineStr">
        <is>
          <t>13.2. Based on your country’s experience with climate change-related financing from non-IMF sources to what extent:: Does the RSF provide better financing terms compared to non-IMF sources</t>
        </is>
      </c>
      <c r="ED1" s="1" t="inlineStr">
        <is>
          <t>13.2. Based on your country’s experience with climate change-related financing from non-IMF sources to what extent:: Is the RSF more accessible in terms of eligibility criteria and application process relative to non-IMF sources</t>
        </is>
      </c>
      <c r="EE1" s="1" t="inlineStr">
        <is>
          <t>13.2. Based on your country’s experience with climate change-related financing from non-IMF sources to what extent:: Is the RSF a more suitable instrument to achieve climate change-related goals than non-IMF sources</t>
        </is>
      </c>
      <c r="EF1" s="1" t="inlineStr">
        <is>
          <t>14. In your country’s view, with regards to the design of the RSF instrument, to what extent:: Is the requirement of an underlying UCT program an adequate feature</t>
        </is>
      </c>
      <c r="EG1" s="1" t="inlineStr">
        <is>
          <t>14. In your country’s view, with regards to the design of the RSF instrument, to what extent:: Does it balance the short duration of the implementation phase and long-term climate change goals</t>
        </is>
      </c>
      <c r="EH1" s="1" t="inlineStr">
        <is>
          <t>14. In your country’s view, with regards to the design of the RSF instrument, to what extent:: Does it incorporate an adequate framework to follow up on RMs’ objectives, and outcomes after program completion</t>
        </is>
      </c>
      <c r="EI1" s="1" t="inlineStr">
        <is>
          <t>14. In your country’s view, with regards to the design of the RSF instrument, to what extent:: Does it provide attractive financing terms</t>
        </is>
      </c>
      <c r="EJ1" s="1" t="inlineStr">
        <is>
          <t>15. In your country’s view, with regards to the future of the RSF, to what extent:: Should the cumulative access level cap be raised (from the smaller of 150 percent of quota or SDR 1 billion), enabling countries that have reached the current cap to be el</t>
        </is>
      </c>
      <c r="EK1" s="1" t="inlineStr">
        <is>
          <t>15. In your country’s view, with regards to the future of the RSF, to what extent:: Should the scope be broadened to address longer-term structural challenges beyond climate change-related and pandemic preparedness issues</t>
        </is>
      </c>
      <c r="EL1" s="1" t="inlineStr">
        <is>
          <t>15. In your country’s view, with regards to the future of the RSF, to what extent:: Should the duration of the implementation period be extended to support more ambitious and sustained RMs</t>
        </is>
      </c>
      <c r="EM1" s="1" t="inlineStr">
        <is>
          <t>16. Based on your country’s experience in the context of non-RSF IMF facilities, to what extent: Have climate change-related issues been integrated within traditional core policy areas (i.e., exchange rate, monetary, fiscal, and financial sector)</t>
        </is>
      </c>
      <c r="EN1" s="1" t="inlineStr">
        <is>
          <t>16. Based on your country’s experience in the context of non-RSF IMF facilities, to what extent: Have climate change-related issues crowded out other considerations in program design</t>
        </is>
      </c>
      <c r="EO1" s="1" t="inlineStr">
        <is>
          <t>16. Based on your country’s experience in the context of non-RSF IMF facilities, to what extent: Would it be feasible to achieve climate change-related objectives using non-RSF facilities</t>
        </is>
      </c>
      <c r="EP1" s="1" t="inlineStr">
        <is>
          <t>D. Capacity Development</t>
        </is>
      </c>
      <c r="EQ1" s="1" t="inlineStr">
        <is>
          <t>17. Technical Assistance</t>
        </is>
      </c>
      <c r="ER1" s="1" t="inlineStr">
        <is>
          <t>18. Training</t>
        </is>
      </c>
      <c r="ES1" s="1" t="inlineStr">
        <is>
          <t>D. Capacity Development Continued</t>
        </is>
      </c>
      <c r="ET1" s="1" t="inlineStr">
        <is>
          <t>19. Based on your country’s experience, to what extent has IMF climate change-related technical assistance been initiated by:: Your country</t>
        </is>
      </c>
      <c r="EU1" s="1" t="inlineStr">
        <is>
          <t>19. Based on your country’s experience, to what extent has IMF climate change-related technical assistance been initiated by:: An IMF area department</t>
        </is>
      </c>
      <c r="EV1" s="1" t="inlineStr">
        <is>
          <t>19. Based on your country’s experience, to what extent has IMF climate change-related technical assistance been initiated by:: An IMF functional department</t>
        </is>
      </c>
      <c r="EW1" s="1" t="inlineStr">
        <is>
          <t>19. Based on your country’s experience, to what extent has IMF climate change-related technical assistance been initiated by:: Other (please specify below)</t>
        </is>
      </c>
      <c r="EX1" s="1" t="inlineStr">
        <is>
          <t>19.1. Please specify 'other' from above.</t>
        </is>
      </c>
      <c r="EY1" s="1" t="inlineStr">
        <is>
          <t>20. Based on your country’s experience, to what extent has IMF climate change-related technical assistance:: Been integrated within traditional IMF core policy areas (i.e., exchange rate, monetary, fiscal, and financial sector)?</t>
        </is>
      </c>
      <c r="EZ1" s="1" t="inlineStr">
        <is>
          <t>20. Based on your country’s experience, to what extent has IMF climate change-related technical assistance:: Crowded out technical assistance on other policy areas</t>
        </is>
      </c>
      <c r="FA1" s="1" t="inlineStr">
        <is>
          <t>20. Based on your country’s experience, to what extent has IMF climate change-related technical assistance:: Been tailored to your country’s specific circumstances</t>
        </is>
      </c>
      <c r="FB1" s="1" t="inlineStr">
        <is>
          <t>20. Based on your country’s experience, to what extent has IMF climate change-related technical assistance:: Been effective in building institutional capacity</t>
        </is>
      </c>
      <c r="FC1" s="1" t="inlineStr">
        <is>
          <t>20. Based on your country’s experience, to what extent has IMF climate change-related technical assistance:: Been mutually reinforcing and well-coordinated with IMF surveillance</t>
        </is>
      </c>
      <c r="FD1" s="1" t="inlineStr">
        <is>
          <t>20. Based on your country’s experience, to what extent has IMF climate change-related technical assistance:: Been mutually reinforcing and well-coordinated with IMF lending</t>
        </is>
      </c>
      <c r="FE1" s="1" t="inlineStr">
        <is>
          <t>20. Based on your country’s experience, to what extent has IMF climate change-related technical assistance:: Been monitored for its results</t>
        </is>
      </c>
      <c r="FF1" s="1" t="inlineStr">
        <is>
          <t>20. Based on your country’s experience, to what extent has IMF climate change-related technical assistance:: Been assessed for its effectiveness</t>
        </is>
      </c>
      <c r="FG1" s="1" t="inlineStr">
        <is>
          <t>20. Based on your country’s experience, to what extent has IMF climate change-related technical assistance:: Had follow-up engagement to support its implementation</t>
        </is>
      </c>
      <c r="FH1" s="1" t="inlineStr">
        <is>
          <t>21. Based on your country’s experience, to what extent has IMF-provided climate change-related training:: Been available to your country</t>
        </is>
      </c>
      <c r="FI1" s="1" t="inlineStr">
        <is>
          <t>21. Based on your country’s experience, to what extent has IMF-provided climate change-related training:: Been integrated within traditional IMF core policy areas (i.e., exchange rate, monetary, fiscal, and financial sector)</t>
        </is>
      </c>
      <c r="FJ1" s="1" t="inlineStr">
        <is>
          <t>21. Based on your country’s experience, to what extent has IMF-provided climate change-related training:: Crowded out training on other policy areas</t>
        </is>
      </c>
      <c r="FK1" s="1" t="inlineStr">
        <is>
          <t>21. Based on your country’s experience, to what extent has IMF-provided climate change-related training:: Been tailored to your country’s specific circumstances</t>
        </is>
      </c>
      <c r="FL1" s="1" t="inlineStr">
        <is>
          <t>21. Based on your country’s experience, to what extent has IMF-provided climate change-related training:: Been effective in building institutional capacity</t>
        </is>
      </c>
      <c r="FM1" s="1" t="inlineStr">
        <is>
          <t>21. Based on your country’s experience, to what extent has IMF-provided climate change-related training:: Been mutually reinforcing and well-coordinated with IMF surveillance</t>
        </is>
      </c>
      <c r="FN1" s="1" t="inlineStr">
        <is>
          <t>21. Based on your country’s experience, to what extent has IMF-provided climate change-related training:: Been mutually reinforcing and well-coordinated with IMF lending</t>
        </is>
      </c>
      <c r="FO1" s="1" t="inlineStr">
        <is>
          <t>21. Based on your country’s experience, to what extent has IMF-provided climate change-related training:: Been monitored for its results</t>
        </is>
      </c>
      <c r="FP1" s="1" t="inlineStr">
        <is>
          <t>21. Based on your country’s experience, to what extent has IMF-provided climate change-related training:: Been assessed for its effectiveness</t>
        </is>
      </c>
      <c r="FQ1" s="1" t="inlineStr">
        <is>
          <t>21. Based on your country’s experience, to what extent has IMF-provided climate change-related training:: Had follow-up engagement to support its implementation</t>
        </is>
      </c>
      <c r="FR1" s="1" t="inlineStr">
        <is>
          <t>22. Based on your country’s experience in the context of capacity development (i.e., technical assistance and training), to what extent did IMF staff draw on resources or collaborate with staff from the following external partner organizations when carryi</t>
        </is>
      </c>
      <c r="FS1" s="1" t="inlineStr">
        <is>
          <t>22. Based on your country’s experience in the context of capacity development (i.e., technical assistance and training), to what extent did IMF staff draw on resources or collaborate with staff from the following external partner organizations when c (2)</t>
        </is>
      </c>
      <c r="FT1" s="1" t="inlineStr">
        <is>
          <t>22. Based on your country’s experience in the context of capacity development (i.e., technical assistance and training), to what extent did IMF staff draw on resources or collaborate with staff from the following external partner organizations when c (3)</t>
        </is>
      </c>
      <c r="FU1" s="1" t="inlineStr">
        <is>
          <t>22. Based on your country’s experience in the context of capacity development (i.e., technical assistance and training), to what extent did IMF staff draw on resources or collaborate with staff from the following external partner organizations when c (4)</t>
        </is>
      </c>
      <c r="FV1" s="1" t="inlineStr">
        <is>
          <t>22.1. Please specify 'other' from above.</t>
        </is>
      </c>
      <c r="FW1" s="1" t="inlineStr">
        <is>
          <t>23. Which statement best reflects your country’s view regarding the extent to which the IMF’s resources dedicated to climate change-related capacity development were appropriate during the evaluation period (2021-2025)?</t>
        </is>
      </c>
      <c r="FX1" s="1" t="inlineStr">
        <is>
          <t>E. Overall Views</t>
        </is>
      </c>
      <c r="FY1" s="1" t="inlineStr">
        <is>
          <t>24. To what extent does your country believe the IMF has a comparative advantage in the following areas and therefore should work on them in the future?: Mobilizing climate finance, including through the catalytic effect of IMF lending and climate finance</t>
        </is>
      </c>
      <c r="FZ1" s="1" t="inlineStr">
        <is>
          <t>24. To what extent does your country believe the IMF has a comparative advantage in the following areas and therefore should work on them in the future?: Contributing to inter-institutional coordination, including through the climate roundtables and clima</t>
        </is>
      </c>
      <c r="GA1" s="1" t="inlineStr">
        <is>
          <t>24. To what extent does your country believe the IMF has a comparative advantage in the following areas and therefore should work on them in the future?: Integrating climate and macroeconomic policy (technical and analytical work)</t>
        </is>
      </c>
      <c r="GB1" s="1" t="inlineStr">
        <is>
          <t>24. To what extent does your country believe the IMF has a comparative advantage in the following areas and therefore should work on them in the future?: Facilitating international climate policy coordination on adaptation, mitigation, and transition mana</t>
        </is>
      </c>
      <c r="GC1" s="1" t="inlineStr">
        <is>
          <t>24. To what extent does your country believe the IMF has a comparative advantage in the following areas and therefore should work on them in the future?: Other (please specify below)</t>
        </is>
      </c>
      <c r="GD1" s="1" t="inlineStr">
        <is>
          <t>24.1. Please specify 'other' from above.</t>
        </is>
      </c>
      <c r="GE1" s="1" t="inlineStr">
        <is>
          <t>25. In your view, to what extent should the IMF prioritize in its work the following newer policy areas?: Artificial Intelligence (AI)</t>
        </is>
      </c>
      <c r="GF1" s="1" t="inlineStr">
        <is>
          <t>25. In your view, to what extent should the IMF prioritize in its work the following newer policy areas?: Climate Change</t>
        </is>
      </c>
      <c r="GG1" s="1" t="inlineStr">
        <is>
          <t>25. In your view, to what extent should the IMF prioritize in its work the following newer policy areas?: Digital Money</t>
        </is>
      </c>
      <c r="GH1" s="1" t="inlineStr">
        <is>
          <t>25. In your view, to what extent should the IMF prioritize in its work the following newer policy areas?: Gender</t>
        </is>
      </c>
      <c r="GI1" s="1" t="inlineStr">
        <is>
          <t>25. In your view, to what extent should the IMF prioritize in its work the following newer policy areas?: Governance</t>
        </is>
      </c>
      <c r="GJ1" s="1" t="inlineStr">
        <is>
          <t>25. In your view, to what extent should the IMF prioritize in its work the following newer policy areas?: Social spending</t>
        </is>
      </c>
      <c r="GK1" s="1" t="inlineStr">
        <is>
          <t>26. Please share any other views your country has regarding how the IMF has or should engage on climate change-related issues.</t>
        </is>
      </c>
      <c r="GL1" s="1" t="inlineStr">
        <is>
          <t>Completed Date (GMT-05:00) Eastern [US &amp; Canada]</t>
        </is>
      </c>
    </row>
    <row r="2" ht="63" customHeight="1">
      <c r="A2" s="3" t="inlineStr">
        <is>
          <t>Malik</t>
        </is>
      </c>
      <c r="B2" s="3" t="inlineStr">
        <is>
          <t>Nakamura</t>
        </is>
      </c>
      <c r="C2" s="3" t="inlineStr">
        <is>
          <t>mnakamura@organization.org</t>
        </is>
      </c>
      <c r="D2" s="3" t="inlineStr">
        <is>
          <t>D4QSTIVUV</t>
        </is>
      </c>
      <c r="E2" s="3" t="n"/>
      <c r="F2" s="3" t="inlineStr">
        <is>
          <t>OEDAW</t>
        </is>
      </c>
      <c r="G2" s="3" t="n"/>
      <c r="H2" s="3" t="n"/>
      <c r="I2" s="3" t="n"/>
      <c r="J2" s="3" t="n"/>
      <c r="K2" s="3" t="inlineStr">
        <is>
          <t>Guinea-Bissau</t>
        </is>
      </c>
      <c r="L2" s="3" t="n"/>
      <c r="M2" s="3" t="n"/>
      <c r="N2" s="3" t="n"/>
      <c r="O2" s="3" t="n"/>
      <c r="P2" s="3" t="n"/>
      <c r="Q2" s="3" t="n"/>
      <c r="R2" s="3" t="n"/>
      <c r="S2" s="3" t="n"/>
      <c r="T2" s="3" t="n"/>
      <c r="U2" s="3" t="n"/>
      <c r="V2" s="3" t="n"/>
      <c r="W2" s="3" t="n"/>
      <c r="X2" s="3" t="n"/>
      <c r="Y2" s="3" t="n"/>
      <c r="Z2" s="3" t="n"/>
      <c r="AA2" s="3" t="n"/>
      <c r="AB2" s="3" t="n"/>
      <c r="AC2" s="3" t="n"/>
      <c r="AD2" s="3" t="n"/>
      <c r="AE2" s="3" t="n"/>
      <c r="AF2" s="4" t="inlineStr">
        <is>
          <t>Guinea-Bissau</t>
        </is>
      </c>
      <c r="AG2" s="3" t="inlineStr">
        <is>
          <t>The IMF should engage less on climate change-related issues</t>
        </is>
      </c>
      <c r="AH2" s="3" t="inlineStr">
        <is>
          <t>To a great extent</t>
        </is>
      </c>
      <c r="AI2" s="3" t="inlineStr">
        <is>
          <t>To a moderate extent</t>
        </is>
      </c>
      <c r="AJ2" s="3" t="inlineStr">
        <is>
          <t>To a moderate extent</t>
        </is>
      </c>
      <c r="AK2" s="3" t="inlineStr">
        <is>
          <t>To a slight extent</t>
        </is>
      </c>
      <c r="AL2" s="3" t="inlineStr">
        <is>
          <t>Don’t know or not applicable</t>
        </is>
      </c>
      <c r="AM2" s="3" t="inlineStr">
        <is>
          <t>Don’t know or not applicable</t>
        </is>
      </c>
      <c r="AN2" s="3" t="inlineStr">
        <is>
          <t>Don’t know or not applicable</t>
        </is>
      </c>
      <c r="AO2" s="3" t="inlineStr">
        <is>
          <t>Don’t know or not applicable</t>
        </is>
      </c>
      <c r="AP2" s="3" t="inlineStr">
        <is>
          <t>Not at all</t>
        </is>
      </c>
      <c r="AQ2" s="3" t="inlineStr">
        <is>
          <t>Don’t know or not applicable</t>
        </is>
      </c>
      <c r="AR2" s="3" t="inlineStr">
        <is>
          <t>Don’t know or not applicable</t>
        </is>
      </c>
      <c r="AS2" s="3" t="n"/>
      <c r="AT2" s="3" t="inlineStr">
        <is>
          <t>To a moderate extent</t>
        </is>
      </c>
      <c r="AU2" s="3" t="inlineStr">
        <is>
          <t>To a slight extent</t>
        </is>
      </c>
      <c r="AV2" s="3" t="inlineStr">
        <is>
          <t>Not at all</t>
        </is>
      </c>
      <c r="AW2" s="3" t="inlineStr">
        <is>
          <t>To a moderate extent</t>
        </is>
      </c>
      <c r="AX2" s="3" t="inlineStr">
        <is>
          <t>Don’t know or not applicable</t>
        </is>
      </c>
      <c r="AY2" s="3" t="inlineStr">
        <is>
          <t>Don’t know or not applicable</t>
        </is>
      </c>
      <c r="AZ2" s="3" t="inlineStr">
        <is>
          <t>To a moderate extent</t>
        </is>
      </c>
      <c r="BA2" s="3" t="inlineStr">
        <is>
          <t>To a slight extent</t>
        </is>
      </c>
      <c r="BB2" s="3" t="inlineStr">
        <is>
          <t>To a moderate extent</t>
        </is>
      </c>
      <c r="BC2" s="3" t="inlineStr">
        <is>
          <t>Don’t know or not applicable</t>
        </is>
      </c>
      <c r="BD2" s="3" t="inlineStr">
        <is>
          <t>Don’t know or not applicable</t>
        </is>
      </c>
      <c r="BE2" s="3" t="inlineStr">
        <is>
          <t>To a slight extent</t>
        </is>
      </c>
      <c r="BF2" s="3" t="inlineStr">
        <is>
          <t>Not at all</t>
        </is>
      </c>
      <c r="BG2" s="3" t="inlineStr">
        <is>
          <t>To a moderate extent</t>
        </is>
      </c>
      <c r="BH2" s="3" t="inlineStr">
        <is>
          <t>Don’t know or not applicable</t>
        </is>
      </c>
      <c r="BI2" s="3" t="inlineStr">
        <is>
          <t>Don’t know or not applicable</t>
        </is>
      </c>
      <c r="BJ2" s="3" t="inlineStr">
        <is>
          <t>Don’t know or not applicable</t>
        </is>
      </c>
      <c r="BK2" s="3" t="inlineStr">
        <is>
          <t>Not at all</t>
        </is>
      </c>
      <c r="BL2" s="3" t="inlineStr">
        <is>
          <t>To a moderate extent</t>
        </is>
      </c>
      <c r="BM2" s="3" t="inlineStr">
        <is>
          <t>Don’t know or not applicable</t>
        </is>
      </c>
      <c r="BN2" s="3" t="inlineStr">
        <is>
          <t>Don’t know or not applicable</t>
        </is>
      </c>
      <c r="BO2" s="3" t="inlineStr">
        <is>
          <t>Don’t know or not applicable</t>
        </is>
      </c>
      <c r="BP2" s="3" t="inlineStr">
        <is>
          <t>Don’t know or not applicable</t>
        </is>
      </c>
      <c r="BQ2" s="3" t="inlineStr">
        <is>
          <t>Don’t know or not applicable</t>
        </is>
      </c>
      <c r="BR2" s="3" t="inlineStr">
        <is>
          <t>Don’t know or not applicable</t>
        </is>
      </c>
      <c r="BS2" s="3" t="n"/>
      <c r="BT2" s="3" t="inlineStr">
        <is>
          <t>The IMF dedicated an appropriate amount of resources</t>
        </is>
      </c>
      <c r="BU2" s="3" t="inlineStr">
        <is>
          <t>To a moderate extent</t>
        </is>
      </c>
      <c r="BV2" s="3" t="inlineStr">
        <is>
          <t>To a moderate extent</t>
        </is>
      </c>
      <c r="BW2" s="3" t="inlineStr">
        <is>
          <t>To a moderate extent</t>
        </is>
      </c>
      <c r="BX2" s="3" t="inlineStr">
        <is>
          <t>To a moderate extent</t>
        </is>
      </c>
      <c r="BY2" s="3" t="inlineStr">
        <is>
          <t>To a moderate extent</t>
        </is>
      </c>
      <c r="BZ2" s="3" t="inlineStr">
        <is>
          <t>To a moderate extent</t>
        </is>
      </c>
      <c r="CA2" s="3" t="inlineStr">
        <is>
          <t>To a moderate extent</t>
        </is>
      </c>
      <c r="CB2" s="3" t="inlineStr">
        <is>
          <t>To a moderate extent</t>
        </is>
      </c>
      <c r="CC2" s="3" t="inlineStr">
        <is>
          <t>To a moderate extent</t>
        </is>
      </c>
      <c r="CD2" s="3" t="inlineStr">
        <is>
          <t>To a moderate extent</t>
        </is>
      </c>
      <c r="CE2" s="3" t="inlineStr">
        <is>
          <t>To a moderate extent</t>
        </is>
      </c>
      <c r="CF2" s="3" t="inlineStr">
        <is>
          <t>To a moderate extent</t>
        </is>
      </c>
      <c r="CG2" s="3" t="n"/>
      <c r="CH2" s="3" t="inlineStr">
        <is>
          <t>No</t>
        </is>
      </c>
      <c r="CI2" s="3" t="inlineStr">
        <is>
          <t>Yes</t>
        </is>
      </c>
      <c r="CJ2" s="3" t="n"/>
      <c r="CK2" s="3" t="n"/>
      <c r="CL2" s="3" t="n"/>
      <c r="CM2" s="3" t="n"/>
      <c r="CN2" s="3" t="n"/>
      <c r="CO2" s="3" t="n"/>
      <c r="CP2" s="3" t="n"/>
      <c r="CQ2" s="3" t="n"/>
      <c r="CR2" s="3" t="n"/>
      <c r="CS2" s="3" t="n"/>
      <c r="CT2" s="3" t="n"/>
      <c r="CU2" s="3" t="n"/>
      <c r="CV2" s="3" t="n"/>
      <c r="CW2" s="3" t="n"/>
      <c r="CX2" s="3" t="n"/>
      <c r="CY2" s="3" t="n"/>
      <c r="CZ2" s="3" t="n"/>
      <c r="DA2" s="3" t="n"/>
      <c r="DB2" s="3" t="n"/>
      <c r="DC2" s="3" t="n"/>
      <c r="DD2" s="3" t="n"/>
      <c r="DE2" s="3" t="n"/>
      <c r="DF2" s="3" t="n"/>
      <c r="DG2" s="3" t="n"/>
      <c r="DH2" s="3" t="n"/>
      <c r="DI2" s="3" t="n"/>
      <c r="DJ2" s="3" t="n"/>
      <c r="DK2" s="3" t="n"/>
      <c r="DL2" s="3" t="n"/>
      <c r="DM2" s="3" t="n"/>
      <c r="DN2" s="3" t="n"/>
      <c r="DO2" s="3" t="n"/>
      <c r="DP2" s="3" t="n"/>
      <c r="DQ2" s="3" t="n"/>
      <c r="DR2" s="3" t="inlineStr">
        <is>
          <t>Insufficient administrative capacity to implement an IMF   program concurrent with an RSF arrangement</t>
        </is>
      </c>
      <c r="DS2" s="3" t="n"/>
      <c r="DT2" s="3" t="n"/>
      <c r="DU2" s="3" t="n"/>
      <c r="DV2" s="3" t="n"/>
      <c r="DW2" s="3" t="inlineStr">
        <is>
          <t>No</t>
        </is>
      </c>
      <c r="DX2" s="3" t="n"/>
      <c r="DY2" s="3" t="n"/>
      <c r="DZ2" s="3" t="n"/>
      <c r="EA2" s="3" t="n"/>
      <c r="EB2" s="3" t="n"/>
      <c r="EC2" s="3" t="n"/>
      <c r="ED2" s="3" t="n"/>
      <c r="EE2" s="3" t="n"/>
      <c r="EF2" s="3" t="inlineStr">
        <is>
          <t>Don’t know or not applicable</t>
        </is>
      </c>
      <c r="EG2" s="3" t="inlineStr">
        <is>
          <t>Don’t know or not applicable</t>
        </is>
      </c>
      <c r="EH2" s="3" t="inlineStr">
        <is>
          <t>Don’t know or not applicable</t>
        </is>
      </c>
      <c r="EI2" s="3" t="inlineStr">
        <is>
          <t>Don’t know or not applicable</t>
        </is>
      </c>
      <c r="EJ2" s="3" t="inlineStr">
        <is>
          <t>Don’t know or not applicable</t>
        </is>
      </c>
      <c r="EK2" s="3" t="inlineStr">
        <is>
          <t>Don’t know or not applicable</t>
        </is>
      </c>
      <c r="EL2" s="3" t="inlineStr">
        <is>
          <t>Don’t know or not applicable</t>
        </is>
      </c>
      <c r="EM2" s="3" t="inlineStr">
        <is>
          <t>Don’t know or not applicable</t>
        </is>
      </c>
      <c r="EN2" s="3" t="inlineStr">
        <is>
          <t>Don’t know or not applicable</t>
        </is>
      </c>
      <c r="EO2" s="3" t="inlineStr">
        <is>
          <t>Don’t know or not applicable</t>
        </is>
      </c>
      <c r="EP2" s="3" t="n"/>
      <c r="EQ2" s="3" t="inlineStr">
        <is>
          <t>To a great extent</t>
        </is>
      </c>
      <c r="ER2" s="3" t="inlineStr">
        <is>
          <t>To a great extent</t>
        </is>
      </c>
      <c r="ES2" s="3" t="n"/>
      <c r="ET2" s="3" t="inlineStr">
        <is>
          <t>Don’t know or not applicable</t>
        </is>
      </c>
      <c r="EU2" s="3" t="inlineStr">
        <is>
          <t>Don’t know or not applicable</t>
        </is>
      </c>
      <c r="EV2" s="3" t="inlineStr">
        <is>
          <t>Don’t know or not applicable</t>
        </is>
      </c>
      <c r="EW2" s="3" t="inlineStr">
        <is>
          <t>Don’t know or not applicable</t>
        </is>
      </c>
      <c r="EX2" s="3" t="n"/>
      <c r="EY2" s="3" t="inlineStr">
        <is>
          <t>Don’t know or not applicable</t>
        </is>
      </c>
      <c r="EZ2" s="3" t="inlineStr">
        <is>
          <t>Don’t know or not applicable</t>
        </is>
      </c>
      <c r="FA2" s="3" t="inlineStr">
        <is>
          <t>Don’t know or not applicable</t>
        </is>
      </c>
      <c r="FB2" s="3" t="inlineStr">
        <is>
          <t>Don’t know or not applicable</t>
        </is>
      </c>
      <c r="FC2" s="3" t="inlineStr">
        <is>
          <t>Don’t know or not applicable</t>
        </is>
      </c>
      <c r="FD2" s="3" t="inlineStr">
        <is>
          <t>Don’t know or not applicable</t>
        </is>
      </c>
      <c r="FE2" s="3" t="inlineStr">
        <is>
          <t>Don’t know or not applicable</t>
        </is>
      </c>
      <c r="FF2" s="3" t="inlineStr">
        <is>
          <t>Don’t know or not applicable</t>
        </is>
      </c>
      <c r="FG2" s="3" t="inlineStr">
        <is>
          <t>Don’t know or not applicable</t>
        </is>
      </c>
      <c r="FH2" s="3" t="inlineStr">
        <is>
          <t>Don’t know or not applicable</t>
        </is>
      </c>
      <c r="FI2" s="3" t="inlineStr">
        <is>
          <t>Don’t know or not applicable</t>
        </is>
      </c>
      <c r="FJ2" s="3" t="inlineStr">
        <is>
          <t>Don’t know or not applicable</t>
        </is>
      </c>
      <c r="FK2" s="3" t="inlineStr">
        <is>
          <t>Don’t know or not applicable</t>
        </is>
      </c>
      <c r="FL2" s="3" t="inlineStr">
        <is>
          <t>Don’t know or not applicable</t>
        </is>
      </c>
      <c r="FM2" s="3" t="inlineStr">
        <is>
          <t>Don’t know or not applicable</t>
        </is>
      </c>
      <c r="FN2" s="3" t="inlineStr">
        <is>
          <t>Don’t know or not applicable</t>
        </is>
      </c>
      <c r="FO2" s="3" t="inlineStr">
        <is>
          <t>Don’t know or not applicable</t>
        </is>
      </c>
      <c r="FP2" s="3" t="inlineStr">
        <is>
          <t>Don’t know or not applicable</t>
        </is>
      </c>
      <c r="FQ2" s="3" t="inlineStr">
        <is>
          <t>Don’t know or not applicable</t>
        </is>
      </c>
      <c r="FR2" s="3" t="inlineStr">
        <is>
          <t>Don’t know or not applicable</t>
        </is>
      </c>
      <c r="FS2" s="3" t="inlineStr">
        <is>
          <t>Don’t know or not applicable</t>
        </is>
      </c>
      <c r="FT2" s="3" t="inlineStr">
        <is>
          <t>Don’t know or not applicable</t>
        </is>
      </c>
      <c r="FU2" s="3" t="inlineStr">
        <is>
          <t>Don’t know or not applicable</t>
        </is>
      </c>
      <c r="FV2" s="3" t="n"/>
      <c r="FW2" s="3" t="inlineStr">
        <is>
          <t>The IMF should have dedicated more resources</t>
        </is>
      </c>
      <c r="FX2" s="3" t="n"/>
      <c r="FY2" s="3" t="inlineStr">
        <is>
          <t>To a great extent</t>
        </is>
      </c>
      <c r="FZ2" s="3" t="inlineStr">
        <is>
          <t>To a great extent</t>
        </is>
      </c>
      <c r="GA2" s="3" t="inlineStr">
        <is>
          <t>To a moderate extent</t>
        </is>
      </c>
      <c r="GB2" s="3" t="inlineStr">
        <is>
          <t>To a great extent</t>
        </is>
      </c>
      <c r="GC2" s="3" t="inlineStr">
        <is>
          <t>Not at all</t>
        </is>
      </c>
      <c r="GD2" s="3" t="n"/>
      <c r="GE2" s="3" t="inlineStr">
        <is>
          <t>To a moderate extent</t>
        </is>
      </c>
      <c r="GF2" s="3" t="inlineStr">
        <is>
          <t>To a slight extent</t>
        </is>
      </c>
      <c r="GG2" s="3" t="inlineStr">
        <is>
          <t>To a great extent</t>
        </is>
      </c>
      <c r="GH2" s="3" t="inlineStr">
        <is>
          <t>To a slight extent</t>
        </is>
      </c>
      <c r="GI2" s="3" t="inlineStr">
        <is>
          <t>To a great extent</t>
        </is>
      </c>
      <c r="GJ2" s="3" t="inlineStr">
        <is>
          <t>To a great extent</t>
        </is>
      </c>
      <c r="GK2" s="3" t="n"/>
      <c r="GL2" s="5">
        <f>DATE(2025,7,11)+TIME(17,58,31)</f>
        <v/>
      </c>
    </row>
    <row r="3" ht="78.75" customHeight="1">
      <c r="A3" s="6" t="inlineStr">
        <is>
          <t>Malik</t>
        </is>
      </c>
      <c r="B3" s="6" t="inlineStr">
        <is>
          <t>Nakamura</t>
        </is>
      </c>
      <c r="C3" s="6" t="inlineStr">
        <is>
          <t>mnakamura@organization.org</t>
        </is>
      </c>
      <c r="D3" s="6" t="inlineStr">
        <is>
          <t>Z5U8Y7CB3</t>
        </is>
      </c>
      <c r="E3" s="6" t="n"/>
      <c r="F3" s="6" t="inlineStr">
        <is>
          <t>OEDAW</t>
        </is>
      </c>
      <c r="G3" s="6" t="n"/>
      <c r="H3" s="6" t="n"/>
      <c r="I3" s="6" t="n"/>
      <c r="J3" s="6" t="n"/>
      <c r="K3" s="6" t="inlineStr">
        <is>
          <t>Mali</t>
        </is>
      </c>
      <c r="L3" s="6" t="n"/>
      <c r="M3" s="6" t="n"/>
      <c r="N3" s="6" t="n"/>
      <c r="O3" s="6" t="n"/>
      <c r="P3" s="6" t="n"/>
      <c r="Q3" s="6" t="n"/>
      <c r="R3" s="6" t="n"/>
      <c r="S3" s="6" t="n"/>
      <c r="T3" s="6" t="n"/>
      <c r="U3" s="6" t="n"/>
      <c r="V3" s="6" t="n"/>
      <c r="W3" s="6" t="n"/>
      <c r="X3" s="6" t="n"/>
      <c r="Y3" s="6" t="n"/>
      <c r="Z3" s="6" t="n"/>
      <c r="AA3" s="6" t="n"/>
      <c r="AB3" s="6" t="n"/>
      <c r="AC3" s="6" t="n"/>
      <c r="AD3" s="6" t="n"/>
      <c r="AE3" s="6" t="n"/>
      <c r="AF3" s="4" t="inlineStr">
        <is>
          <t>Mali</t>
        </is>
      </c>
      <c r="AG3" s="6" t="inlineStr">
        <is>
          <t>The IMF should engage more on climate change-related issues</t>
        </is>
      </c>
      <c r="AH3" s="6" t="inlineStr">
        <is>
          <t>Not at all</t>
        </is>
      </c>
      <c r="AI3" s="6" t="inlineStr">
        <is>
          <t>Not at all</t>
        </is>
      </c>
      <c r="AJ3" s="6" t="inlineStr">
        <is>
          <t>Not at all</t>
        </is>
      </c>
      <c r="AK3" s="6" t="inlineStr">
        <is>
          <t>Not at all</t>
        </is>
      </c>
      <c r="AL3" s="6" t="inlineStr">
        <is>
          <t>Not at all</t>
        </is>
      </c>
      <c r="AM3" s="6" t="inlineStr">
        <is>
          <t>Not at all</t>
        </is>
      </c>
      <c r="AN3" s="6" t="inlineStr">
        <is>
          <t>Not at all</t>
        </is>
      </c>
      <c r="AO3" s="6" t="inlineStr">
        <is>
          <t>Not at all</t>
        </is>
      </c>
      <c r="AP3" s="6" t="inlineStr">
        <is>
          <t>Not at all</t>
        </is>
      </c>
      <c r="AQ3" s="6" t="inlineStr">
        <is>
          <t>Not at all</t>
        </is>
      </c>
      <c r="AR3" s="6" t="inlineStr">
        <is>
          <t>Not at all</t>
        </is>
      </c>
      <c r="AS3" s="6" t="n"/>
      <c r="AT3" s="6" t="inlineStr">
        <is>
          <t>To a great extent</t>
        </is>
      </c>
      <c r="AU3" s="6" t="inlineStr">
        <is>
          <t>Not at all</t>
        </is>
      </c>
      <c r="AV3" s="6" t="inlineStr">
        <is>
          <t>Not at all</t>
        </is>
      </c>
      <c r="AW3" s="6" t="inlineStr">
        <is>
          <t>Not at all</t>
        </is>
      </c>
      <c r="AX3" s="6" t="inlineStr">
        <is>
          <t>Not at all</t>
        </is>
      </c>
      <c r="AY3" s="6" t="inlineStr">
        <is>
          <t>Not at all</t>
        </is>
      </c>
      <c r="AZ3" s="6" t="inlineStr">
        <is>
          <t>Not at all</t>
        </is>
      </c>
      <c r="BA3" s="6" t="inlineStr">
        <is>
          <t>Not at all</t>
        </is>
      </c>
      <c r="BB3" s="6" t="inlineStr">
        <is>
          <t>Not at all</t>
        </is>
      </c>
      <c r="BC3" s="6" t="inlineStr">
        <is>
          <t>Not at all</t>
        </is>
      </c>
      <c r="BD3" s="6" t="inlineStr">
        <is>
          <t>Not at all</t>
        </is>
      </c>
      <c r="BE3" s="6" t="inlineStr">
        <is>
          <t>To a great extent</t>
        </is>
      </c>
      <c r="BF3" s="6" t="inlineStr">
        <is>
          <t>Not at all</t>
        </is>
      </c>
      <c r="BG3" s="6" t="inlineStr">
        <is>
          <t>Not at all</t>
        </is>
      </c>
      <c r="BH3" s="6" t="inlineStr">
        <is>
          <t>Not at all</t>
        </is>
      </c>
      <c r="BI3" s="6" t="inlineStr">
        <is>
          <t>Not at all</t>
        </is>
      </c>
      <c r="BJ3" s="6" t="inlineStr">
        <is>
          <t>Not at all</t>
        </is>
      </c>
      <c r="BK3" s="6" t="inlineStr">
        <is>
          <t>Not at all</t>
        </is>
      </c>
      <c r="BL3" s="6" t="inlineStr">
        <is>
          <t>Not at all</t>
        </is>
      </c>
      <c r="BM3" s="6" t="inlineStr">
        <is>
          <t>Not at all</t>
        </is>
      </c>
      <c r="BN3" s="6" t="inlineStr">
        <is>
          <t>Not at all</t>
        </is>
      </c>
      <c r="BO3" s="6" t="inlineStr">
        <is>
          <t>Not at all</t>
        </is>
      </c>
      <c r="BP3" s="6" t="inlineStr">
        <is>
          <t>Not at all</t>
        </is>
      </c>
      <c r="BQ3" s="6" t="inlineStr">
        <is>
          <t>Not at all</t>
        </is>
      </c>
      <c r="BR3" s="6" t="inlineStr">
        <is>
          <t>Not at all</t>
        </is>
      </c>
      <c r="BS3" s="6" t="n"/>
      <c r="BT3" s="6" t="inlineStr">
        <is>
          <t>The IMF should have dedicated more resources</t>
        </is>
      </c>
      <c r="BU3" s="6" t="inlineStr">
        <is>
          <t>To a great extent</t>
        </is>
      </c>
      <c r="BV3" s="6" t="inlineStr">
        <is>
          <t>To a great extent</t>
        </is>
      </c>
      <c r="BW3" s="6" t="inlineStr">
        <is>
          <t>To a great extent</t>
        </is>
      </c>
      <c r="BX3" s="6" t="inlineStr">
        <is>
          <t>To a great extent</t>
        </is>
      </c>
      <c r="BY3" s="6" t="inlineStr">
        <is>
          <t>To a great extent</t>
        </is>
      </c>
      <c r="BZ3" s="6" t="inlineStr">
        <is>
          <t>To a great extent</t>
        </is>
      </c>
      <c r="CA3" s="6" t="inlineStr">
        <is>
          <t>To a great extent</t>
        </is>
      </c>
      <c r="CB3" s="6" t="inlineStr">
        <is>
          <t>To a great extent</t>
        </is>
      </c>
      <c r="CC3" s="6" t="inlineStr">
        <is>
          <t>To a great extent</t>
        </is>
      </c>
      <c r="CD3" s="6" t="inlineStr">
        <is>
          <t>To a great extent</t>
        </is>
      </c>
      <c r="CE3" s="6" t="inlineStr">
        <is>
          <t>To a great extent</t>
        </is>
      </c>
      <c r="CF3" s="6" t="inlineStr">
        <is>
          <t>To a great extent</t>
        </is>
      </c>
      <c r="CG3" s="6" t="n"/>
      <c r="CH3" s="6" t="inlineStr">
        <is>
          <t>No</t>
        </is>
      </c>
      <c r="CI3" s="6" t="inlineStr">
        <is>
          <t>Yes</t>
        </is>
      </c>
      <c r="CJ3" s="6" t="n"/>
      <c r="CK3" s="6" t="n"/>
      <c r="CL3" s="6" t="n"/>
      <c r="CM3" s="6" t="n"/>
      <c r="CN3" s="6" t="n"/>
      <c r="CO3" s="6" t="n"/>
      <c r="CP3" s="6" t="n"/>
      <c r="CQ3" s="6" t="n"/>
      <c r="CR3" s="6" t="n"/>
      <c r="CS3" s="6" t="n"/>
      <c r="CT3" s="6" t="n"/>
      <c r="CU3" s="6" t="n"/>
      <c r="CV3" s="6" t="n"/>
      <c r="CW3" s="6" t="n"/>
      <c r="CX3" s="6" t="n"/>
      <c r="CY3" s="6" t="n"/>
      <c r="CZ3" s="6" t="n"/>
      <c r="DA3" s="6" t="n"/>
      <c r="DB3" s="6" t="n"/>
      <c r="DC3" s="6" t="n"/>
      <c r="DD3" s="6" t="n"/>
      <c r="DE3" s="6" t="n"/>
      <c r="DF3" s="6" t="n"/>
      <c r="DG3" s="6" t="n"/>
      <c r="DH3" s="6" t="n"/>
      <c r="DI3" s="6" t="n"/>
      <c r="DJ3" s="6" t="n"/>
      <c r="DK3" s="6" t="n"/>
      <c r="DL3" s="6" t="n"/>
      <c r="DM3" s="6" t="n"/>
      <c r="DN3" s="6" t="n"/>
      <c r="DO3" s="6" t="n"/>
      <c r="DP3" s="6" t="n"/>
      <c r="DQ3" s="6" t="n"/>
      <c r="DR3" s="6" t="n"/>
      <c r="DS3" s="6" t="n"/>
      <c r="DT3" s="6" t="inlineStr">
        <is>
          <t>My country requested an RSF arrangement but it has not been approved yet or the request did not progress</t>
        </is>
      </c>
      <c r="DU3" s="6" t="n"/>
      <c r="DV3" s="6" t="n"/>
      <c r="DW3" s="6" t="inlineStr">
        <is>
          <t>No</t>
        </is>
      </c>
      <c r="DX3" s="6" t="n"/>
      <c r="DY3" s="6" t="n"/>
      <c r="DZ3" s="6" t="n"/>
      <c r="EA3" s="6" t="n"/>
      <c r="EB3" s="6" t="n"/>
      <c r="EC3" s="6" t="n"/>
      <c r="ED3" s="6" t="n"/>
      <c r="EE3" s="6" t="n"/>
      <c r="EF3" s="6" t="inlineStr">
        <is>
          <t>Not at all</t>
        </is>
      </c>
      <c r="EG3" s="6" t="inlineStr">
        <is>
          <t>To a slight extent</t>
        </is>
      </c>
      <c r="EH3" s="6" t="inlineStr">
        <is>
          <t>To a slight extent</t>
        </is>
      </c>
      <c r="EI3" s="6" t="inlineStr">
        <is>
          <t>To a great extent</t>
        </is>
      </c>
      <c r="EJ3" s="6" t="inlineStr">
        <is>
          <t>To a great extent</t>
        </is>
      </c>
      <c r="EK3" s="6" t="inlineStr">
        <is>
          <t>To a great extent</t>
        </is>
      </c>
      <c r="EL3" s="6" t="inlineStr">
        <is>
          <t>To a great extent</t>
        </is>
      </c>
      <c r="EM3" s="6" t="inlineStr">
        <is>
          <t>To a slight extent</t>
        </is>
      </c>
      <c r="EN3" s="6" t="inlineStr">
        <is>
          <t>Not at all</t>
        </is>
      </c>
      <c r="EO3" s="6" t="inlineStr">
        <is>
          <t>Not at all</t>
        </is>
      </c>
      <c r="EP3" s="6" t="n"/>
      <c r="EQ3" s="6" t="inlineStr">
        <is>
          <t>Not at all</t>
        </is>
      </c>
      <c r="ER3" s="6" t="inlineStr">
        <is>
          <t>Not at all</t>
        </is>
      </c>
      <c r="ES3" s="6" t="n"/>
      <c r="ET3" s="6" t="n"/>
      <c r="EU3" s="6" t="n"/>
      <c r="EV3" s="6" t="n"/>
      <c r="EW3" s="6" t="n"/>
      <c r="EX3" s="6" t="n"/>
      <c r="EY3" s="6" t="n"/>
      <c r="EZ3" s="6" t="n"/>
      <c r="FA3" s="6" t="n"/>
      <c r="FB3" s="6" t="n"/>
      <c r="FC3" s="6" t="n"/>
      <c r="FD3" s="6" t="n"/>
      <c r="FE3" s="6" t="n"/>
      <c r="FF3" s="6" t="n"/>
      <c r="FG3" s="6" t="n"/>
      <c r="FH3" s="6" t="n"/>
      <c r="FI3" s="6" t="n"/>
      <c r="FJ3" s="6" t="n"/>
      <c r="FK3" s="6" t="n"/>
      <c r="FL3" s="6" t="n"/>
      <c r="FM3" s="6" t="n"/>
      <c r="FN3" s="6" t="n"/>
      <c r="FO3" s="6" t="n"/>
      <c r="FP3" s="6" t="n"/>
      <c r="FQ3" s="6" t="n"/>
      <c r="FR3" s="6" t="n"/>
      <c r="FS3" s="6" t="n"/>
      <c r="FT3" s="6" t="n"/>
      <c r="FU3" s="6" t="n"/>
      <c r="FV3" s="6" t="n"/>
      <c r="FW3" s="6" t="n"/>
      <c r="FX3" s="6" t="n"/>
      <c r="FY3" s="6" t="inlineStr">
        <is>
          <t>To a great extent</t>
        </is>
      </c>
      <c r="FZ3" s="6" t="inlineStr">
        <is>
          <t>To a great extent</t>
        </is>
      </c>
      <c r="GA3" s="6" t="inlineStr">
        <is>
          <t>To a great extent</t>
        </is>
      </c>
      <c r="GB3" s="6" t="inlineStr">
        <is>
          <t>To a great extent</t>
        </is>
      </c>
      <c r="GC3" s="6" t="inlineStr">
        <is>
          <t>Not at all</t>
        </is>
      </c>
      <c r="GD3" s="6" t="n"/>
      <c r="GE3" s="6" t="inlineStr">
        <is>
          <t>To a slight extent</t>
        </is>
      </c>
      <c r="GF3" s="6" t="inlineStr">
        <is>
          <t>To a great extent</t>
        </is>
      </c>
      <c r="GG3" s="6" t="inlineStr">
        <is>
          <t>To a moderate extent</t>
        </is>
      </c>
      <c r="GH3" s="6" t="inlineStr">
        <is>
          <t>To a great extent</t>
        </is>
      </c>
      <c r="GI3" s="6" t="inlineStr">
        <is>
          <t>To a great extent</t>
        </is>
      </c>
      <c r="GJ3" s="6" t="inlineStr">
        <is>
          <t>To a great extent</t>
        </is>
      </c>
      <c r="GK3" s="6" t="n"/>
      <c r="GL3" s="7">
        <f>DATE(2025,7,11)+TIME(13,18,26)</f>
        <v/>
      </c>
    </row>
    <row r="4" ht="47.25" customHeight="1">
      <c r="A4" s="3" t="inlineStr">
        <is>
          <t>Malik</t>
        </is>
      </c>
      <c r="B4" s="3" t="inlineStr">
        <is>
          <t>Nakamura</t>
        </is>
      </c>
      <c r="C4" s="3" t="inlineStr">
        <is>
          <t>mnakamura@organization.org</t>
        </is>
      </c>
      <c r="D4" s="3" t="inlineStr">
        <is>
          <t>SYO3ZBY7E</t>
        </is>
      </c>
      <c r="E4" s="3" t="n"/>
      <c r="F4" s="3" t="inlineStr">
        <is>
          <t>OEDAW</t>
        </is>
      </c>
      <c r="G4" s="3" t="n"/>
      <c r="H4" s="3" t="n"/>
      <c r="I4" s="3" t="n"/>
      <c r="J4" s="3" t="n"/>
      <c r="K4" s="3" t="inlineStr">
        <is>
          <t>Niger</t>
        </is>
      </c>
      <c r="L4" s="3" t="n"/>
      <c r="M4" s="3" t="n"/>
      <c r="N4" s="3" t="n"/>
      <c r="O4" s="3" t="n"/>
      <c r="P4" s="3" t="n"/>
      <c r="Q4" s="3" t="n"/>
      <c r="R4" s="3" t="n"/>
      <c r="S4" s="3" t="n"/>
      <c r="T4" s="3" t="n"/>
      <c r="U4" s="3" t="n"/>
      <c r="V4" s="3" t="n"/>
      <c r="W4" s="3" t="n"/>
      <c r="X4" s="3" t="n"/>
      <c r="Y4" s="3" t="n"/>
      <c r="Z4" s="3" t="n"/>
      <c r="AA4" s="3" t="n"/>
      <c r="AB4" s="3" t="n"/>
      <c r="AC4" s="3" t="n"/>
      <c r="AD4" s="3" t="n"/>
      <c r="AE4" s="3" t="n"/>
      <c r="AF4" s="4" t="inlineStr">
        <is>
          <t>Niger</t>
        </is>
      </c>
      <c r="AG4" s="3" t="inlineStr">
        <is>
          <t>The IMF should engage more on climate change-related issues</t>
        </is>
      </c>
      <c r="AH4" s="3" t="inlineStr">
        <is>
          <t>To a slight extent</t>
        </is>
      </c>
      <c r="AI4" s="3" t="inlineStr">
        <is>
          <t>Not at all</t>
        </is>
      </c>
      <c r="AJ4" s="3" t="inlineStr">
        <is>
          <t>To a slight extent</t>
        </is>
      </c>
      <c r="AK4" s="3" t="inlineStr">
        <is>
          <t>To a slight extent</t>
        </is>
      </c>
      <c r="AL4" s="3" t="inlineStr">
        <is>
          <t>To a great extent</t>
        </is>
      </c>
      <c r="AM4" s="3" t="inlineStr">
        <is>
          <t>To a great extent</t>
        </is>
      </c>
      <c r="AN4" s="3" t="inlineStr">
        <is>
          <t>To a slight extent</t>
        </is>
      </c>
      <c r="AO4" s="3" t="inlineStr">
        <is>
          <t>To a great extent</t>
        </is>
      </c>
      <c r="AP4" s="3" t="inlineStr">
        <is>
          <t>Not at all</t>
        </is>
      </c>
      <c r="AQ4" s="3" t="inlineStr">
        <is>
          <t>To a slight extent</t>
        </is>
      </c>
      <c r="AR4" s="3" t="inlineStr">
        <is>
          <t>To a moderate extent</t>
        </is>
      </c>
      <c r="AS4" s="3" t="n"/>
      <c r="AT4" s="3" t="inlineStr">
        <is>
          <t>Not at all</t>
        </is>
      </c>
      <c r="AU4" s="3" t="inlineStr">
        <is>
          <t>To a slight extent</t>
        </is>
      </c>
      <c r="AV4" s="3" t="inlineStr">
        <is>
          <t>Not at all</t>
        </is>
      </c>
      <c r="AW4" s="3" t="inlineStr">
        <is>
          <t>To a slight extent</t>
        </is>
      </c>
      <c r="AX4" s="3" t="inlineStr">
        <is>
          <t>To a slight extent</t>
        </is>
      </c>
      <c r="AY4" s="3" t="inlineStr">
        <is>
          <t>Not at all</t>
        </is>
      </c>
      <c r="AZ4" s="3" t="inlineStr">
        <is>
          <t>To a slight extent</t>
        </is>
      </c>
      <c r="BA4" s="3" t="inlineStr">
        <is>
          <t>Not at all</t>
        </is>
      </c>
      <c r="BB4" s="3" t="inlineStr">
        <is>
          <t>To a slight extent</t>
        </is>
      </c>
      <c r="BC4" s="3" t="inlineStr">
        <is>
          <t>To a slight extent</t>
        </is>
      </c>
      <c r="BD4" s="3" t="inlineStr">
        <is>
          <t>Not at all</t>
        </is>
      </c>
      <c r="BE4" s="3" t="inlineStr">
        <is>
          <t>Not at all</t>
        </is>
      </c>
      <c r="BF4" s="3" t="inlineStr">
        <is>
          <t>Not at all</t>
        </is>
      </c>
      <c r="BG4" s="3" t="inlineStr">
        <is>
          <t>To a slight extent</t>
        </is>
      </c>
      <c r="BH4" s="3" t="inlineStr">
        <is>
          <t>To a slight extent</t>
        </is>
      </c>
      <c r="BI4" s="3" t="inlineStr">
        <is>
          <t>Don’t know or not applicable</t>
        </is>
      </c>
      <c r="BJ4" s="3" t="inlineStr">
        <is>
          <t>To a slight extent</t>
        </is>
      </c>
      <c r="BK4" s="3" t="inlineStr">
        <is>
          <t>Not at all</t>
        </is>
      </c>
      <c r="BL4" s="3" t="inlineStr">
        <is>
          <t>To a slight extent</t>
        </is>
      </c>
      <c r="BM4" s="3" t="inlineStr">
        <is>
          <t>To a slight extent</t>
        </is>
      </c>
      <c r="BN4" s="3" t="inlineStr">
        <is>
          <t>Don’t know or not applicable</t>
        </is>
      </c>
      <c r="BO4" s="3" t="inlineStr">
        <is>
          <t>To a slight extent</t>
        </is>
      </c>
      <c r="BP4" s="3" t="inlineStr">
        <is>
          <t>To a slight extent</t>
        </is>
      </c>
      <c r="BQ4" s="3" t="inlineStr">
        <is>
          <t>To a slight extent</t>
        </is>
      </c>
      <c r="BR4" s="3" t="inlineStr">
        <is>
          <t>Don’t know or not applicable</t>
        </is>
      </c>
      <c r="BS4" s="3" t="n"/>
      <c r="BT4" s="3" t="inlineStr">
        <is>
          <t>The IMF should have dedicated more resources</t>
        </is>
      </c>
      <c r="BU4" s="3" t="inlineStr">
        <is>
          <t>To a great extent</t>
        </is>
      </c>
      <c r="BV4" s="3" t="inlineStr">
        <is>
          <t>To a great extent</t>
        </is>
      </c>
      <c r="BW4" s="3" t="inlineStr">
        <is>
          <t>To a great extent</t>
        </is>
      </c>
      <c r="BX4" s="3" t="inlineStr">
        <is>
          <t>To a great extent</t>
        </is>
      </c>
      <c r="BY4" s="3" t="inlineStr">
        <is>
          <t>To a great extent</t>
        </is>
      </c>
      <c r="BZ4" s="3" t="inlineStr">
        <is>
          <t>To a great extent</t>
        </is>
      </c>
      <c r="CA4" s="3" t="inlineStr">
        <is>
          <t>To a great extent</t>
        </is>
      </c>
      <c r="CB4" s="3" t="inlineStr">
        <is>
          <t>To a great extent</t>
        </is>
      </c>
      <c r="CC4" s="3" t="inlineStr">
        <is>
          <t>To a great extent</t>
        </is>
      </c>
      <c r="CD4" s="3" t="inlineStr">
        <is>
          <t>To a great extent</t>
        </is>
      </c>
      <c r="CE4" s="3" t="inlineStr">
        <is>
          <t>To a great extent</t>
        </is>
      </c>
      <c r="CF4" s="3" t="inlineStr">
        <is>
          <t>To a great extent</t>
        </is>
      </c>
      <c r="CG4" s="3" t="n"/>
      <c r="CH4" s="3" t="inlineStr">
        <is>
          <t>Yes</t>
        </is>
      </c>
      <c r="CI4" s="3" t="inlineStr">
        <is>
          <t>Yes</t>
        </is>
      </c>
      <c r="CJ4" s="3" t="inlineStr">
        <is>
          <t>To a great extent</t>
        </is>
      </c>
      <c r="CK4" s="3" t="inlineStr">
        <is>
          <t>To a great extent</t>
        </is>
      </c>
      <c r="CL4" s="3" t="inlineStr">
        <is>
          <t>To a slight extent</t>
        </is>
      </c>
      <c r="CM4" s="3" t="inlineStr">
        <is>
          <t>To a slight extent</t>
        </is>
      </c>
      <c r="CN4" s="3" t="inlineStr">
        <is>
          <t>To a moderate extent</t>
        </is>
      </c>
      <c r="CO4" s="3" t="inlineStr">
        <is>
          <t>To a great extent</t>
        </is>
      </c>
      <c r="CP4" s="3" t="inlineStr">
        <is>
          <t>Not at all</t>
        </is>
      </c>
      <c r="CQ4" s="3" t="inlineStr">
        <is>
          <t>Not at all</t>
        </is>
      </c>
      <c r="CR4" s="3" t="inlineStr">
        <is>
          <t>Not at all</t>
        </is>
      </c>
      <c r="CS4" s="3" t="inlineStr">
        <is>
          <t>To a great extent</t>
        </is>
      </c>
      <c r="CT4" s="3" t="inlineStr">
        <is>
          <t>To a great extent</t>
        </is>
      </c>
      <c r="CU4" s="3" t="inlineStr">
        <is>
          <t>To a great extent</t>
        </is>
      </c>
      <c r="CV4" s="3" t="inlineStr">
        <is>
          <t>Not at all</t>
        </is>
      </c>
      <c r="CW4" s="3" t="inlineStr">
        <is>
          <t>To a great extent</t>
        </is>
      </c>
      <c r="CX4" s="3" t="inlineStr">
        <is>
          <t>To a great extent</t>
        </is>
      </c>
      <c r="CY4" s="3" t="inlineStr">
        <is>
          <t>To a great extent</t>
        </is>
      </c>
      <c r="CZ4" s="3" t="inlineStr">
        <is>
          <t>To a moderate extent</t>
        </is>
      </c>
      <c r="DA4" s="3" t="inlineStr">
        <is>
          <t>Not at all</t>
        </is>
      </c>
      <c r="DB4" s="3" t="n"/>
      <c r="DC4" s="3" t="n"/>
      <c r="DD4" s="3" t="n"/>
      <c r="DE4" s="3" t="n"/>
      <c r="DF4" s="3" t="inlineStr">
        <is>
          <t>Climate change-related policies</t>
        </is>
      </c>
      <c r="DG4" s="3" t="n"/>
      <c r="DH4" s="3" t="inlineStr">
        <is>
          <t>To a great extent</t>
        </is>
      </c>
      <c r="DI4" s="3" t="inlineStr">
        <is>
          <t>To a great extent</t>
        </is>
      </c>
      <c r="DJ4" s="3" t="inlineStr">
        <is>
          <t>To a great extent</t>
        </is>
      </c>
      <c r="DK4" s="3" t="inlineStr">
        <is>
          <t>To a great extent</t>
        </is>
      </c>
      <c r="DL4" s="3" t="inlineStr">
        <is>
          <t>To a slight extent</t>
        </is>
      </c>
      <c r="DM4" s="3" t="inlineStr">
        <is>
          <t>To a slight extent</t>
        </is>
      </c>
      <c r="DN4" s="3" t="inlineStr">
        <is>
          <t>To a slight extent</t>
        </is>
      </c>
      <c r="DO4" s="3" t="inlineStr">
        <is>
          <t>Green Fund; Bilateral donors</t>
        </is>
      </c>
      <c r="DP4" s="3" t="n"/>
      <c r="DQ4" s="3" t="n"/>
      <c r="DR4" s="3" t="n"/>
      <c r="DS4" s="3" t="n"/>
      <c r="DT4" s="3" t="n"/>
      <c r="DU4" s="3" t="n"/>
      <c r="DV4" s="3" t="n"/>
      <c r="DW4" s="3" t="inlineStr">
        <is>
          <t>Yes</t>
        </is>
      </c>
      <c r="DX4" s="3" t="n"/>
      <c r="DY4" s="3" t="n"/>
      <c r="DZ4" s="3" t="inlineStr">
        <is>
          <t>Bilateral sources</t>
        </is>
      </c>
      <c r="EA4" s="3" t="inlineStr">
        <is>
          <t>Private sources</t>
        </is>
      </c>
      <c r="EB4" s="3" t="n"/>
      <c r="EC4" s="3" t="inlineStr">
        <is>
          <t>To a great extent</t>
        </is>
      </c>
      <c r="ED4" s="3" t="inlineStr">
        <is>
          <t>To a slight extent</t>
        </is>
      </c>
      <c r="EE4" s="3" t="inlineStr">
        <is>
          <t>To a great extent</t>
        </is>
      </c>
      <c r="EF4" s="3" t="inlineStr">
        <is>
          <t>To a slight extent</t>
        </is>
      </c>
      <c r="EG4" s="3" t="inlineStr">
        <is>
          <t>To a slight extent</t>
        </is>
      </c>
      <c r="EH4" s="3" t="inlineStr">
        <is>
          <t>To a slight extent</t>
        </is>
      </c>
      <c r="EI4" s="3" t="inlineStr">
        <is>
          <t>To a great extent</t>
        </is>
      </c>
      <c r="EJ4" s="3" t="inlineStr">
        <is>
          <t>To a great extent</t>
        </is>
      </c>
      <c r="EK4" s="3" t="inlineStr">
        <is>
          <t>To a great extent</t>
        </is>
      </c>
      <c r="EL4" s="3" t="inlineStr">
        <is>
          <t>To a great extent</t>
        </is>
      </c>
      <c r="EM4" s="3" t="inlineStr">
        <is>
          <t>Not at all</t>
        </is>
      </c>
      <c r="EN4" s="3" t="inlineStr">
        <is>
          <t>Not at all</t>
        </is>
      </c>
      <c r="EO4" s="3" t="inlineStr">
        <is>
          <t>To a slight extent</t>
        </is>
      </c>
      <c r="EP4" s="3" t="n"/>
      <c r="EQ4" s="3" t="inlineStr">
        <is>
          <t>To a moderate extent</t>
        </is>
      </c>
      <c r="ER4" s="3" t="inlineStr">
        <is>
          <t>Not at all</t>
        </is>
      </c>
      <c r="ES4" s="3" t="n"/>
      <c r="ET4" s="3" t="inlineStr">
        <is>
          <t>To a great extent</t>
        </is>
      </c>
      <c r="EU4" s="3" t="inlineStr">
        <is>
          <t>Not at all</t>
        </is>
      </c>
      <c r="EV4" s="3" t="inlineStr">
        <is>
          <t>Not at all</t>
        </is>
      </c>
      <c r="EW4" s="3" t="inlineStr">
        <is>
          <t>Don’t know or not applicable</t>
        </is>
      </c>
      <c r="EX4" s="3" t="n"/>
      <c r="EY4" s="3" t="inlineStr">
        <is>
          <t>To a moderate extent</t>
        </is>
      </c>
      <c r="EZ4" s="3" t="inlineStr">
        <is>
          <t>Not at all</t>
        </is>
      </c>
      <c r="FA4" s="3" t="inlineStr">
        <is>
          <t>To a great extent</t>
        </is>
      </c>
      <c r="FB4" s="3" t="inlineStr">
        <is>
          <t>To a great extent</t>
        </is>
      </c>
      <c r="FC4" s="3" t="inlineStr">
        <is>
          <t>To a slight extent</t>
        </is>
      </c>
      <c r="FD4" s="3" t="inlineStr">
        <is>
          <t>To a great extent</t>
        </is>
      </c>
      <c r="FE4" s="3" t="inlineStr">
        <is>
          <t>To a slight extent</t>
        </is>
      </c>
      <c r="FF4" s="3" t="inlineStr">
        <is>
          <t>To a slight extent</t>
        </is>
      </c>
      <c r="FG4" s="3" t="inlineStr">
        <is>
          <t>To a slight extent</t>
        </is>
      </c>
      <c r="FH4" s="3" t="n"/>
      <c r="FI4" s="3" t="n"/>
      <c r="FJ4" s="3" t="n"/>
      <c r="FK4" s="3" t="n"/>
      <c r="FL4" s="3" t="n"/>
      <c r="FM4" s="3" t="n"/>
      <c r="FN4" s="3" t="n"/>
      <c r="FO4" s="3" t="n"/>
      <c r="FP4" s="3" t="n"/>
      <c r="FQ4" s="3" t="n"/>
      <c r="FR4" s="3" t="inlineStr">
        <is>
          <t>To a great extent</t>
        </is>
      </c>
      <c r="FS4" s="3" t="inlineStr">
        <is>
          <t>To a great extent</t>
        </is>
      </c>
      <c r="FT4" s="3" t="inlineStr">
        <is>
          <t>To a great extent</t>
        </is>
      </c>
      <c r="FU4" s="3" t="inlineStr">
        <is>
          <t>Don’t know or not applicable</t>
        </is>
      </c>
      <c r="FV4" s="3" t="n"/>
      <c r="FW4" s="3" t="inlineStr">
        <is>
          <t>The IMF should have dedicated more resources</t>
        </is>
      </c>
      <c r="FX4" s="3" t="n"/>
      <c r="FY4" s="3" t="inlineStr">
        <is>
          <t>To a great extent</t>
        </is>
      </c>
      <c r="FZ4" s="3" t="inlineStr">
        <is>
          <t>To a great extent</t>
        </is>
      </c>
      <c r="GA4" s="3" t="inlineStr">
        <is>
          <t>To a great extent</t>
        </is>
      </c>
      <c r="GB4" s="3" t="inlineStr">
        <is>
          <t>To a moderate extent</t>
        </is>
      </c>
      <c r="GC4" s="3" t="inlineStr">
        <is>
          <t>Don’t know or not applicable</t>
        </is>
      </c>
      <c r="GD4" s="3" t="n"/>
      <c r="GE4" s="3" t="inlineStr">
        <is>
          <t>To a slight extent</t>
        </is>
      </c>
      <c r="GF4" s="3" t="inlineStr">
        <is>
          <t>To a great extent</t>
        </is>
      </c>
      <c r="GG4" s="3" t="inlineStr">
        <is>
          <t>To a moderate extent</t>
        </is>
      </c>
      <c r="GH4" s="3" t="inlineStr">
        <is>
          <t>To a great extent</t>
        </is>
      </c>
      <c r="GI4" s="3" t="inlineStr">
        <is>
          <t>To a great extent</t>
        </is>
      </c>
      <c r="GJ4" s="3" t="inlineStr">
        <is>
          <t>To a great extent</t>
        </is>
      </c>
      <c r="GK4" s="3" t="n"/>
      <c r="GL4" s="5">
        <f>DATE(2025,7,11)+TIME(12,40,7)</f>
        <v/>
      </c>
    </row>
    <row r="5" ht="63" customHeight="1">
      <c r="A5" s="6" t="inlineStr">
        <is>
          <t>James</t>
        </is>
      </c>
      <c r="B5" s="6" t="inlineStr">
        <is>
          <t>Nakamura</t>
        </is>
      </c>
      <c r="C5" s="6" t="inlineStr">
        <is>
          <t>jnakamura@organization.org</t>
        </is>
      </c>
      <c r="D5" s="6" t="inlineStr">
        <is>
          <t>84MW0RNLZ</t>
        </is>
      </c>
      <c r="E5" s="6" t="n"/>
      <c r="F5" s="6" t="inlineStr">
        <is>
          <t>OEDSZ</t>
        </is>
      </c>
      <c r="G5" s="6" t="n"/>
      <c r="H5" s="6" t="n"/>
      <c r="I5" s="6" t="n"/>
      <c r="J5" s="6" t="n"/>
      <c r="K5" s="6" t="n"/>
      <c r="L5" s="6" t="n"/>
      <c r="M5" s="6" t="n"/>
      <c r="N5" s="6" t="n"/>
      <c r="O5" s="6" t="n"/>
      <c r="P5" s="6" t="n"/>
      <c r="Q5" s="6" t="n"/>
      <c r="R5" s="6" t="n"/>
      <c r="S5" s="6" t="n"/>
      <c r="T5" s="6" t="n"/>
      <c r="U5" s="6" t="n"/>
      <c r="V5" s="6" t="n"/>
      <c r="W5" s="6" t="n"/>
      <c r="X5" s="6" t="n"/>
      <c r="Y5" s="6" t="n"/>
      <c r="Z5" s="6" t="n"/>
      <c r="AA5" s="6" t="n"/>
      <c r="AB5" s="6" t="n"/>
      <c r="AC5" s="6" t="inlineStr">
        <is>
          <t>Tajikistan</t>
        </is>
      </c>
      <c r="AD5" s="6" t="n"/>
      <c r="AE5" s="6" t="n"/>
      <c r="AF5" s="4" t="inlineStr">
        <is>
          <t>Tajikistan</t>
        </is>
      </c>
      <c r="AG5" s="6" t="inlineStr">
        <is>
          <t>The IMF should engage more on climate change-related issues</t>
        </is>
      </c>
      <c r="AH5" s="6" t="inlineStr">
        <is>
          <t>To a moderate extent</t>
        </is>
      </c>
      <c r="AI5" s="6" t="inlineStr">
        <is>
          <t>To a moderate extent</t>
        </is>
      </c>
      <c r="AJ5" s="6" t="inlineStr">
        <is>
          <t>To a moderate extent</t>
        </is>
      </c>
      <c r="AK5" s="6" t="inlineStr">
        <is>
          <t>To a slight extent</t>
        </is>
      </c>
      <c r="AL5" s="6" t="inlineStr">
        <is>
          <t>To a moderate extent</t>
        </is>
      </c>
      <c r="AM5" s="6" t="inlineStr">
        <is>
          <t>To a moderate extent</t>
        </is>
      </c>
      <c r="AN5" s="6" t="inlineStr">
        <is>
          <t>To a slight extent</t>
        </is>
      </c>
      <c r="AO5" s="6" t="inlineStr">
        <is>
          <t>To a slight extent</t>
        </is>
      </c>
      <c r="AP5" s="6" t="inlineStr">
        <is>
          <t>To a slight extent</t>
        </is>
      </c>
      <c r="AQ5" s="6" t="inlineStr">
        <is>
          <t>To a slight extent</t>
        </is>
      </c>
      <c r="AR5" s="6" t="inlineStr">
        <is>
          <t>To a moderate extent</t>
        </is>
      </c>
      <c r="AS5" s="6" t="n"/>
      <c r="AT5" s="6" t="inlineStr">
        <is>
          <t>To a slight extent</t>
        </is>
      </c>
      <c r="AU5" s="6" t="inlineStr">
        <is>
          <t>To a moderate extent</t>
        </is>
      </c>
      <c r="AV5" s="6" t="inlineStr">
        <is>
          <t>To a slight extent</t>
        </is>
      </c>
      <c r="AW5" s="6" t="inlineStr">
        <is>
          <t>To a great extent</t>
        </is>
      </c>
      <c r="AX5" s="6" t="inlineStr">
        <is>
          <t>To a moderate extent</t>
        </is>
      </c>
      <c r="AY5" s="6" t="inlineStr">
        <is>
          <t>To a moderate extent</t>
        </is>
      </c>
      <c r="AZ5" s="6" t="inlineStr">
        <is>
          <t>To a slight extent</t>
        </is>
      </c>
      <c r="BA5" s="6" t="inlineStr">
        <is>
          <t>To a moderate extent</t>
        </is>
      </c>
      <c r="BB5" s="6" t="inlineStr">
        <is>
          <t>To a slight extent</t>
        </is>
      </c>
      <c r="BC5" s="6" t="inlineStr">
        <is>
          <t>To a moderate extent</t>
        </is>
      </c>
      <c r="BD5" s="6" t="inlineStr">
        <is>
          <t>To a moderate extent</t>
        </is>
      </c>
      <c r="BE5" s="6" t="inlineStr">
        <is>
          <t>To a moderate extent</t>
        </is>
      </c>
      <c r="BF5" s="6" t="inlineStr">
        <is>
          <t>To a moderate extent</t>
        </is>
      </c>
      <c r="BG5" s="6" t="inlineStr">
        <is>
          <t>To a moderate extent</t>
        </is>
      </c>
      <c r="BH5" s="6" t="inlineStr">
        <is>
          <t>To a moderate extent</t>
        </is>
      </c>
      <c r="BI5" s="6" t="inlineStr">
        <is>
          <t>To a moderate extent</t>
        </is>
      </c>
      <c r="BJ5" s="6" t="inlineStr">
        <is>
          <t>To a great extent</t>
        </is>
      </c>
      <c r="BK5" s="6" t="inlineStr">
        <is>
          <t>To a moderate extent</t>
        </is>
      </c>
      <c r="BL5" s="6" t="inlineStr">
        <is>
          <t>To a moderate extent</t>
        </is>
      </c>
      <c r="BM5" s="6" t="inlineStr">
        <is>
          <t>To a moderate extent</t>
        </is>
      </c>
      <c r="BN5" s="6" t="inlineStr">
        <is>
          <t>To a great extent</t>
        </is>
      </c>
      <c r="BO5" s="6" t="inlineStr">
        <is>
          <t>To a moderate extent</t>
        </is>
      </c>
      <c r="BP5" s="6" t="inlineStr">
        <is>
          <t>Don’t know or not applicable</t>
        </is>
      </c>
      <c r="BQ5" s="6" t="inlineStr">
        <is>
          <t>Don’t know or not applicable</t>
        </is>
      </c>
      <c r="BR5" s="6" t="inlineStr">
        <is>
          <t>Don’t know or not applicable</t>
        </is>
      </c>
      <c r="BS5" s="6" t="n"/>
      <c r="BT5" s="6" t="inlineStr">
        <is>
          <t>The IMF should have dedicated more resources</t>
        </is>
      </c>
      <c r="BU5" s="6" t="inlineStr">
        <is>
          <t>To a moderate extent</t>
        </is>
      </c>
      <c r="BV5" s="6" t="inlineStr">
        <is>
          <t>To a slight extent</t>
        </is>
      </c>
      <c r="BW5" s="6" t="inlineStr">
        <is>
          <t>To a moderate extent</t>
        </is>
      </c>
      <c r="BX5" s="6" t="inlineStr">
        <is>
          <t>To a moderate extent</t>
        </is>
      </c>
      <c r="BY5" s="6" t="inlineStr">
        <is>
          <t>To a moderate extent</t>
        </is>
      </c>
      <c r="BZ5" s="6" t="inlineStr">
        <is>
          <t>To a moderate extent</t>
        </is>
      </c>
      <c r="CA5" s="6" t="inlineStr">
        <is>
          <t>To a slight extent</t>
        </is>
      </c>
      <c r="CB5" s="6" t="inlineStr">
        <is>
          <t>To a slight extent</t>
        </is>
      </c>
      <c r="CC5" s="6" t="inlineStr">
        <is>
          <t>To a slight extent</t>
        </is>
      </c>
      <c r="CD5" s="6" t="inlineStr">
        <is>
          <t>To a moderate extent</t>
        </is>
      </c>
      <c r="CE5" s="6" t="inlineStr">
        <is>
          <t>To a moderate extent</t>
        </is>
      </c>
      <c r="CF5" s="6" t="inlineStr">
        <is>
          <t>To a moderate extent</t>
        </is>
      </c>
      <c r="CG5" s="6" t="n"/>
      <c r="CH5" s="6" t="inlineStr">
        <is>
          <t>No</t>
        </is>
      </c>
      <c r="CI5" s="6" t="inlineStr">
        <is>
          <t>No</t>
        </is>
      </c>
      <c r="CJ5" s="6" t="n"/>
      <c r="CK5" s="6" t="n"/>
      <c r="CL5" s="6" t="n"/>
      <c r="CM5" s="6" t="n"/>
      <c r="CN5" s="6" t="n"/>
      <c r="CO5" s="6" t="n"/>
      <c r="CP5" s="6" t="n"/>
      <c r="CQ5" s="6" t="n"/>
      <c r="CR5" s="6" t="n"/>
      <c r="CS5" s="6" t="n"/>
      <c r="CT5" s="6" t="n"/>
      <c r="CU5" s="6" t="n"/>
      <c r="CV5" s="6" t="n"/>
      <c r="CW5" s="6" t="n"/>
      <c r="CX5" s="6" t="n"/>
      <c r="CY5" s="6" t="n"/>
      <c r="CZ5" s="6" t="n"/>
      <c r="DA5" s="6" t="n"/>
      <c r="DB5" s="6" t="n"/>
      <c r="DC5" s="6" t="n"/>
      <c r="DD5" s="6" t="n"/>
      <c r="DE5" s="6" t="n"/>
      <c r="DF5" s="6" t="n"/>
      <c r="DG5" s="6" t="n"/>
      <c r="DH5" s="6" t="n"/>
      <c r="DI5" s="6" t="n"/>
      <c r="DJ5" s="6" t="n"/>
      <c r="DK5" s="6" t="n"/>
      <c r="DL5" s="6" t="n"/>
      <c r="DM5" s="6" t="n"/>
      <c r="DN5" s="6" t="n"/>
      <c r="DO5" s="6" t="n"/>
      <c r="DP5" s="6" t="n"/>
      <c r="DQ5" s="6" t="n"/>
      <c r="DR5" s="6" t="n"/>
      <c r="DS5" s="6" t="n"/>
      <c r="DT5" s="6" t="n"/>
      <c r="DU5" s="6" t="n"/>
      <c r="DV5" s="6" t="inlineStr">
        <is>
          <t>Other (please specify) : From 2020 Tajikistan has the RCF and PCI programs with the IMF</t>
        </is>
      </c>
      <c r="DW5" s="6" t="inlineStr">
        <is>
          <t>Don't know</t>
        </is>
      </c>
      <c r="DX5" s="6" t="n"/>
      <c r="DY5" s="6" t="n"/>
      <c r="DZ5" s="6" t="n"/>
      <c r="EA5" s="6" t="n"/>
      <c r="EB5" s="6" t="n"/>
      <c r="EC5" s="6" t="n"/>
      <c r="ED5" s="6" t="n"/>
      <c r="EE5" s="6" t="n"/>
      <c r="EF5" s="6" t="inlineStr">
        <is>
          <t>To a moderate extent</t>
        </is>
      </c>
      <c r="EG5" s="6" t="inlineStr">
        <is>
          <t>Don’t know or not applicable</t>
        </is>
      </c>
      <c r="EH5" s="6" t="inlineStr">
        <is>
          <t>Don’t know or not applicable</t>
        </is>
      </c>
      <c r="EI5" s="6" t="inlineStr">
        <is>
          <t>To a great extent</t>
        </is>
      </c>
      <c r="EJ5" s="6" t="inlineStr">
        <is>
          <t>To a moderate extent</t>
        </is>
      </c>
      <c r="EK5" s="6" t="inlineStr">
        <is>
          <t>To a great extent</t>
        </is>
      </c>
      <c r="EL5" s="6" t="inlineStr">
        <is>
          <t>To a moderate extent</t>
        </is>
      </c>
      <c r="EM5" s="6" t="n"/>
      <c r="EN5" s="6" t="n"/>
      <c r="EO5" s="6" t="n"/>
      <c r="EP5" s="6" t="n"/>
      <c r="EQ5" s="6" t="inlineStr">
        <is>
          <t>Not at all</t>
        </is>
      </c>
      <c r="ER5" s="6" t="inlineStr">
        <is>
          <t>To a slight extent</t>
        </is>
      </c>
      <c r="ES5" s="6" t="n"/>
      <c r="ET5" s="6" t="n"/>
      <c r="EU5" s="6" t="n"/>
      <c r="EV5" s="6" t="n"/>
      <c r="EW5" s="6" t="n"/>
      <c r="EX5" s="6" t="n"/>
      <c r="EY5" s="6" t="n"/>
      <c r="EZ5" s="6" t="n"/>
      <c r="FA5" s="6" t="n"/>
      <c r="FB5" s="6" t="n"/>
      <c r="FC5" s="6" t="n"/>
      <c r="FD5" s="6" t="n"/>
      <c r="FE5" s="6" t="n"/>
      <c r="FF5" s="6" t="n"/>
      <c r="FG5" s="6" t="n"/>
      <c r="FH5" s="6" t="inlineStr">
        <is>
          <t>To a moderate extent</t>
        </is>
      </c>
      <c r="FI5" s="6" t="inlineStr">
        <is>
          <t>Don’t know or not applicable</t>
        </is>
      </c>
      <c r="FJ5" s="6" t="inlineStr">
        <is>
          <t>To a moderate extent</t>
        </is>
      </c>
      <c r="FK5" s="6" t="inlineStr">
        <is>
          <t>To a slight extent</t>
        </is>
      </c>
      <c r="FL5" s="6" t="inlineStr">
        <is>
          <t>To a moderate extent</t>
        </is>
      </c>
      <c r="FM5" s="6" t="inlineStr">
        <is>
          <t>To a moderate extent</t>
        </is>
      </c>
      <c r="FN5" s="6" t="inlineStr">
        <is>
          <t>Don’t know or not applicable</t>
        </is>
      </c>
      <c r="FO5" s="6" t="inlineStr">
        <is>
          <t>To a slight extent</t>
        </is>
      </c>
      <c r="FP5" s="6" t="inlineStr">
        <is>
          <t>To a slight extent</t>
        </is>
      </c>
      <c r="FQ5" s="6" t="inlineStr">
        <is>
          <t>To a slight extent</t>
        </is>
      </c>
      <c r="FR5" s="6" t="inlineStr">
        <is>
          <t>To a slight extent</t>
        </is>
      </c>
      <c r="FS5" s="6" t="inlineStr">
        <is>
          <t>Don’t know or not applicable</t>
        </is>
      </c>
      <c r="FT5" s="6" t="inlineStr">
        <is>
          <t>Don’t know or not applicable</t>
        </is>
      </c>
      <c r="FU5" s="6" t="inlineStr">
        <is>
          <t>Don’t know or not applicable</t>
        </is>
      </c>
      <c r="FV5" s="6" t="n"/>
      <c r="FW5" s="6" t="inlineStr">
        <is>
          <t>The IMF should have dedicated more resources</t>
        </is>
      </c>
      <c r="FX5" s="6" t="n"/>
      <c r="FY5" s="6" t="inlineStr">
        <is>
          <t>To a great extent</t>
        </is>
      </c>
      <c r="FZ5" s="6" t="inlineStr">
        <is>
          <t>To a moderate extent</t>
        </is>
      </c>
      <c r="GA5" s="6" t="inlineStr">
        <is>
          <t>To a great extent</t>
        </is>
      </c>
      <c r="GB5" s="6" t="inlineStr">
        <is>
          <t>To a great extent</t>
        </is>
      </c>
      <c r="GC5" s="6" t="n"/>
      <c r="GD5" s="6" t="n"/>
      <c r="GE5" s="6" t="inlineStr">
        <is>
          <t>To a great extent</t>
        </is>
      </c>
      <c r="GF5" s="6" t="inlineStr">
        <is>
          <t>To a great extent</t>
        </is>
      </c>
      <c r="GG5" s="6" t="inlineStr">
        <is>
          <t>To a great extent</t>
        </is>
      </c>
      <c r="GH5" s="6" t="inlineStr">
        <is>
          <t>To a moderate extent</t>
        </is>
      </c>
      <c r="GI5" s="6" t="inlineStr">
        <is>
          <t>To a great extent</t>
        </is>
      </c>
      <c r="GJ5" s="6" t="inlineStr">
        <is>
          <t>To a moderate extent</t>
        </is>
      </c>
      <c r="GK5" s="6" t="n"/>
      <c r="GL5" s="7">
        <f>DATE(2025,7,11)+TIME(9,49,6)</f>
        <v/>
      </c>
    </row>
    <row r="6" ht="173.25" customFormat="1" customHeight="1" s="9">
      <c r="A6" s="8" t="inlineStr">
        <is>
          <t>Leo</t>
        </is>
      </c>
      <c r="B6" s="8" t="inlineStr">
        <is>
          <t>Sato</t>
        </is>
      </c>
      <c r="C6" s="8" t="inlineStr">
        <is>
          <t>lsato@organization.org</t>
        </is>
      </c>
      <c r="D6" s="8" t="inlineStr">
        <is>
          <t>1XDURR02T</t>
        </is>
      </c>
      <c r="E6" s="8" t="n"/>
      <c r="F6" s="8" t="inlineStr">
        <is>
          <t>OEDST</t>
        </is>
      </c>
      <c r="G6" s="3" t="n"/>
      <c r="H6" s="3" t="n"/>
      <c r="I6" s="3" t="n"/>
      <c r="J6" s="3" t="n"/>
      <c r="K6" s="3" t="n"/>
      <c r="L6" s="3" t="n"/>
      <c r="M6" s="3" t="n"/>
      <c r="N6" s="3" t="n"/>
      <c r="O6" s="3" t="n"/>
      <c r="P6" s="3" t="n"/>
      <c r="Q6" s="3" t="n"/>
      <c r="R6" s="3" t="n"/>
      <c r="S6" s="3" t="n"/>
      <c r="T6" s="3" t="n"/>
      <c r="U6" s="3" t="n"/>
      <c r="V6" s="3" t="n"/>
      <c r="W6" s="3" t="n"/>
      <c r="X6" s="3" t="n"/>
      <c r="Y6" s="3" t="n"/>
      <c r="Z6" s="3" t="n"/>
      <c r="AA6" s="3" t="n"/>
      <c r="AB6" s="3" t="inlineStr">
        <is>
          <t>Thailand</t>
        </is>
      </c>
      <c r="AC6" s="3" t="n"/>
      <c r="AD6" s="3" t="n"/>
      <c r="AE6" s="3" t="n"/>
      <c r="AF6" s="9" t="inlineStr">
        <is>
          <t>Thailand</t>
        </is>
      </c>
      <c r="AG6" s="8" t="inlineStr">
        <is>
          <t>The IMF should engage a similar amount on climate change-related issues</t>
        </is>
      </c>
      <c r="AH6" s="8" t="inlineStr">
        <is>
          <t>To a moderate extent</t>
        </is>
      </c>
      <c r="AI6" s="8" t="inlineStr">
        <is>
          <t>To a slight extent</t>
        </is>
      </c>
      <c r="AJ6" s="8" t="inlineStr">
        <is>
          <t>To a slight extent</t>
        </is>
      </c>
      <c r="AK6" s="8" t="inlineStr">
        <is>
          <t>To a slight extent</t>
        </is>
      </c>
      <c r="AL6" s="8" t="inlineStr">
        <is>
          <t>To a moderate extent</t>
        </is>
      </c>
      <c r="AM6" s="8" t="inlineStr">
        <is>
          <t>Not at all</t>
        </is>
      </c>
      <c r="AN6" s="8" t="inlineStr">
        <is>
          <t>Not at all</t>
        </is>
      </c>
      <c r="AO6" s="8" t="inlineStr">
        <is>
          <t>To a slight extent</t>
        </is>
      </c>
      <c r="AP6" s="8" t="inlineStr">
        <is>
          <t>To a moderate extent</t>
        </is>
      </c>
      <c r="AQ6" s="8" t="inlineStr">
        <is>
          <t>To a slight extent</t>
        </is>
      </c>
      <c r="AR6" s="8" t="inlineStr">
        <is>
          <t>To a slight extent</t>
        </is>
      </c>
      <c r="AS6" s="8" t="n"/>
      <c r="AT6" s="8" t="inlineStr">
        <is>
          <t>Not at all</t>
        </is>
      </c>
      <c r="AU6" s="8" t="inlineStr">
        <is>
          <t>To a slight extent</t>
        </is>
      </c>
      <c r="AV6" s="8" t="inlineStr">
        <is>
          <t>To a slight extent</t>
        </is>
      </c>
      <c r="AW6" s="8" t="inlineStr">
        <is>
          <t>To a moderate extent</t>
        </is>
      </c>
      <c r="AX6" s="8" t="inlineStr">
        <is>
          <t>To a moderate extent</t>
        </is>
      </c>
      <c r="AY6" s="8" t="inlineStr">
        <is>
          <t>To a great extent</t>
        </is>
      </c>
      <c r="AZ6" s="8" t="inlineStr">
        <is>
          <t>To a moderate extent</t>
        </is>
      </c>
      <c r="BA6" s="8" t="inlineStr">
        <is>
          <t>To a slight extent</t>
        </is>
      </c>
      <c r="BB6" s="8" t="inlineStr">
        <is>
          <t>To a slight extent</t>
        </is>
      </c>
      <c r="BC6" s="8" t="inlineStr">
        <is>
          <t>To a slight extent</t>
        </is>
      </c>
      <c r="BD6" s="8" t="inlineStr">
        <is>
          <t>To a moderate extent</t>
        </is>
      </c>
      <c r="BE6" s="8" t="inlineStr">
        <is>
          <t>Don’t know or not applicable</t>
        </is>
      </c>
      <c r="BF6" s="8" t="inlineStr">
        <is>
          <t>Don’t know or not applicable</t>
        </is>
      </c>
      <c r="BG6" s="8" t="inlineStr">
        <is>
          <t>Don’t know or not applicable</t>
        </is>
      </c>
      <c r="BH6" s="8" t="inlineStr">
        <is>
          <t>Don’t know or not applicable</t>
        </is>
      </c>
      <c r="BI6" s="8" t="inlineStr">
        <is>
          <t>Don’t know or not applicable</t>
        </is>
      </c>
      <c r="BJ6" s="8" t="inlineStr">
        <is>
          <t>To a moderate extent</t>
        </is>
      </c>
      <c r="BK6" s="8" t="inlineStr">
        <is>
          <t>To a slight extent</t>
        </is>
      </c>
      <c r="BL6" s="8" t="inlineStr">
        <is>
          <t>To a moderate extent</t>
        </is>
      </c>
      <c r="BM6" s="8" t="inlineStr">
        <is>
          <t>To a slight extent</t>
        </is>
      </c>
      <c r="BN6" s="8" t="inlineStr">
        <is>
          <t>To a moderate extent</t>
        </is>
      </c>
      <c r="BO6" s="8" t="inlineStr">
        <is>
          <t>To a moderate extent</t>
        </is>
      </c>
      <c r="BP6" s="8" t="inlineStr">
        <is>
          <t>To a slight extent</t>
        </is>
      </c>
      <c r="BQ6" s="8" t="inlineStr">
        <is>
          <t>To a moderate extent</t>
        </is>
      </c>
      <c r="BR6" s="8" t="n"/>
      <c r="BS6" s="8" t="n"/>
      <c r="BT6" s="8" t="inlineStr">
        <is>
          <t>The IMF dedicated an appropriate amount of resources</t>
        </is>
      </c>
      <c r="BU6" s="8" t="inlineStr">
        <is>
          <t>To a moderate extent</t>
        </is>
      </c>
      <c r="BV6" s="8" t="inlineStr">
        <is>
          <t>To a moderate extent</t>
        </is>
      </c>
      <c r="BW6" s="8" t="inlineStr">
        <is>
          <t>To a great extent</t>
        </is>
      </c>
      <c r="BX6" s="8" t="inlineStr">
        <is>
          <t>To a slight extent</t>
        </is>
      </c>
      <c r="BY6" s="8" t="inlineStr">
        <is>
          <t>To a slight extent</t>
        </is>
      </c>
      <c r="BZ6" s="8" t="inlineStr">
        <is>
          <t>To a great extent</t>
        </is>
      </c>
      <c r="CA6" s="8" t="inlineStr">
        <is>
          <t>To a moderate extent</t>
        </is>
      </c>
      <c r="CB6" s="8" t="inlineStr">
        <is>
          <t>To a moderate extent</t>
        </is>
      </c>
      <c r="CC6" s="8" t="inlineStr">
        <is>
          <t>To a moderate extent</t>
        </is>
      </c>
      <c r="CD6" s="8" t="inlineStr">
        <is>
          <t>To a moderate extent</t>
        </is>
      </c>
      <c r="CE6" s="8" t="inlineStr">
        <is>
          <t>To a moderate extent</t>
        </is>
      </c>
      <c r="CF6" s="8" t="inlineStr">
        <is>
          <t>To a great extent</t>
        </is>
      </c>
      <c r="CG6" s="8" t="n"/>
      <c r="CH6" s="8" t="inlineStr">
        <is>
          <t>No</t>
        </is>
      </c>
      <c r="CI6" s="8" t="inlineStr">
        <is>
          <t>No</t>
        </is>
      </c>
      <c r="CJ6" s="8" t="n"/>
      <c r="CK6" s="8" t="n"/>
      <c r="CL6" s="8" t="n"/>
      <c r="CM6" s="8" t="n"/>
      <c r="CN6" s="8" t="n"/>
      <c r="CO6" s="8" t="n"/>
      <c r="CP6" s="8" t="n"/>
      <c r="CQ6" s="8" t="n"/>
      <c r="CR6" s="8" t="n"/>
      <c r="CS6" s="8" t="n"/>
      <c r="CT6" s="8" t="n"/>
      <c r="CU6" s="8" t="n"/>
      <c r="CV6" s="8" t="n"/>
      <c r="CW6" s="8" t="n"/>
      <c r="CX6" s="8" t="n"/>
      <c r="CY6" s="8" t="n"/>
      <c r="CZ6" s="8" t="n"/>
      <c r="DA6" s="8" t="n"/>
      <c r="DB6" s="8" t="n"/>
      <c r="DC6" s="8" t="n"/>
      <c r="DD6" s="8" t="n"/>
      <c r="DE6" s="8" t="n"/>
      <c r="DF6" s="8" t="n"/>
      <c r="DG6" s="8" t="n"/>
      <c r="DH6" s="8" t="n"/>
      <c r="DI6" s="8" t="n"/>
      <c r="DJ6" s="8" t="n"/>
      <c r="DK6" s="8" t="n"/>
      <c r="DL6" s="8" t="n"/>
      <c r="DM6" s="8" t="n"/>
      <c r="DN6" s="8" t="n"/>
      <c r="DO6" s="8" t="n"/>
      <c r="DP6" s="8" t="inlineStr">
        <is>
          <t>My country is not eligible for an RSF arrangement</t>
        </is>
      </c>
      <c r="DQ6" s="8" t="inlineStr">
        <is>
          <t>Climate change does not pose a major balance of payments risk in my country</t>
        </is>
      </c>
      <c r="DR6" s="8" t="n"/>
      <c r="DS6" s="8" t="n"/>
      <c r="DT6" s="8" t="n"/>
      <c r="DU6" s="8" t="n"/>
      <c r="DV6" s="8" t="n"/>
      <c r="DW6" s="8" t="inlineStr">
        <is>
          <t>Don't know</t>
        </is>
      </c>
      <c r="DX6" s="8" t="n"/>
      <c r="DY6" s="8" t="n"/>
      <c r="DZ6" s="8" t="n"/>
      <c r="EA6" s="8" t="n"/>
      <c r="EB6" s="8" t="n"/>
      <c r="EC6" s="8" t="n"/>
      <c r="ED6" s="8" t="n"/>
      <c r="EE6" s="8" t="n"/>
      <c r="EF6" s="8" t="inlineStr">
        <is>
          <t>To a moderate extent</t>
        </is>
      </c>
      <c r="EG6" s="8" t="inlineStr">
        <is>
          <t>To a moderate extent</t>
        </is>
      </c>
      <c r="EH6" s="8" t="inlineStr">
        <is>
          <t>To a moderate extent</t>
        </is>
      </c>
      <c r="EI6" s="8" t="inlineStr">
        <is>
          <t>To a slight extent</t>
        </is>
      </c>
      <c r="EJ6" s="8" t="inlineStr">
        <is>
          <t>To a slight extent</t>
        </is>
      </c>
      <c r="EK6" s="8" t="inlineStr">
        <is>
          <t>Not at all</t>
        </is>
      </c>
      <c r="EL6" s="8" t="inlineStr">
        <is>
          <t>To a slight extent</t>
        </is>
      </c>
      <c r="EM6" s="8" t="n"/>
      <c r="EN6" s="8" t="n"/>
      <c r="EO6" s="8" t="n"/>
      <c r="EP6" s="8" t="n"/>
      <c r="EQ6" s="8" t="inlineStr">
        <is>
          <t>To a slight extent</t>
        </is>
      </c>
      <c r="ER6" s="8" t="inlineStr">
        <is>
          <t>To a moderate extent</t>
        </is>
      </c>
      <c r="ES6" s="8" t="n"/>
      <c r="ET6" s="8" t="inlineStr">
        <is>
          <t>Don’t know or not applicable</t>
        </is>
      </c>
      <c r="EU6" s="8" t="inlineStr">
        <is>
          <t>Don’t know or not applicable</t>
        </is>
      </c>
      <c r="EV6" s="8" t="inlineStr">
        <is>
          <t>Don’t know or not applicable</t>
        </is>
      </c>
      <c r="EW6" s="8" t="inlineStr">
        <is>
          <t>Don’t know or not applicable</t>
        </is>
      </c>
      <c r="EX6" s="8" t="n"/>
      <c r="EY6" s="8" t="inlineStr">
        <is>
          <t>Don’t know or not applicable</t>
        </is>
      </c>
      <c r="EZ6" s="8" t="inlineStr">
        <is>
          <t>Don’t know or not applicable</t>
        </is>
      </c>
      <c r="FA6" s="8" t="inlineStr">
        <is>
          <t>Don’t know or not applicable</t>
        </is>
      </c>
      <c r="FB6" s="8" t="inlineStr">
        <is>
          <t>Don’t know or not applicable</t>
        </is>
      </c>
      <c r="FC6" s="8" t="inlineStr">
        <is>
          <t>Don’t know or not applicable</t>
        </is>
      </c>
      <c r="FD6" s="8" t="inlineStr">
        <is>
          <t>Don’t know or not applicable</t>
        </is>
      </c>
      <c r="FE6" s="8" t="inlineStr">
        <is>
          <t>Don’t know or not applicable</t>
        </is>
      </c>
      <c r="FF6" s="8" t="inlineStr">
        <is>
          <t>Don’t know or not applicable</t>
        </is>
      </c>
      <c r="FG6" s="8" t="inlineStr">
        <is>
          <t>Don’t know or not applicable</t>
        </is>
      </c>
      <c r="FH6" s="8" t="inlineStr">
        <is>
          <t>To a slight extent</t>
        </is>
      </c>
      <c r="FI6" s="8" t="inlineStr">
        <is>
          <t>To a slight extent</t>
        </is>
      </c>
      <c r="FJ6" s="8" t="inlineStr">
        <is>
          <t>Not at all</t>
        </is>
      </c>
      <c r="FK6" s="8" t="inlineStr">
        <is>
          <t>To a slight extent</t>
        </is>
      </c>
      <c r="FL6" s="8" t="inlineStr">
        <is>
          <t>To a slight extent</t>
        </is>
      </c>
      <c r="FM6" s="8" t="inlineStr">
        <is>
          <t>To a slight extent</t>
        </is>
      </c>
      <c r="FN6" s="8" t="inlineStr">
        <is>
          <t>Don’t know or not applicable</t>
        </is>
      </c>
      <c r="FO6" s="8" t="inlineStr">
        <is>
          <t>Don’t know or not applicable</t>
        </is>
      </c>
      <c r="FP6" s="8" t="inlineStr">
        <is>
          <t>Don’t know or not applicable</t>
        </is>
      </c>
      <c r="FQ6" s="8" t="inlineStr">
        <is>
          <t>Don’t know or not applicable</t>
        </is>
      </c>
      <c r="FR6" s="8" t="inlineStr">
        <is>
          <t>Don’t know or not applicable</t>
        </is>
      </c>
      <c r="FS6" s="8" t="inlineStr">
        <is>
          <t>Don’t know or not applicable</t>
        </is>
      </c>
      <c r="FT6" s="8" t="inlineStr">
        <is>
          <t>Don’t know or not applicable</t>
        </is>
      </c>
      <c r="FU6" s="8" t="inlineStr">
        <is>
          <t>Don’t know or not applicable</t>
        </is>
      </c>
      <c r="FV6" s="8" t="n"/>
      <c r="FW6" s="8" t="inlineStr">
        <is>
          <t>The IMF dedicated the appropriate amount of resources</t>
        </is>
      </c>
      <c r="FX6" s="8" t="n"/>
      <c r="FY6" s="8" t="inlineStr">
        <is>
          <t>To a moderate extent</t>
        </is>
      </c>
      <c r="FZ6" s="8" t="inlineStr">
        <is>
          <t>To a slight extent</t>
        </is>
      </c>
      <c r="GA6" s="8" t="inlineStr">
        <is>
          <t>To a slight extent</t>
        </is>
      </c>
      <c r="GB6" s="8" t="inlineStr">
        <is>
          <t>To a great extent</t>
        </is>
      </c>
      <c r="GC6" s="8" t="n"/>
      <c r="GD6" s="8" t="n"/>
      <c r="GE6" s="8" t="inlineStr">
        <is>
          <t>To a moderate extent</t>
        </is>
      </c>
      <c r="GF6" s="8" t="inlineStr">
        <is>
          <t>To a slight extent</t>
        </is>
      </c>
      <c r="GG6" s="8" t="inlineStr">
        <is>
          <t>To a great extent</t>
        </is>
      </c>
      <c r="GH6" s="8" t="inlineStr">
        <is>
          <t>Not at all</t>
        </is>
      </c>
      <c r="GI6" s="8" t="inlineStr">
        <is>
          <t>To a moderate extent</t>
        </is>
      </c>
      <c r="GJ6" s="8" t="inlineStr">
        <is>
          <t>To a slight extent</t>
        </is>
      </c>
      <c r="GK6" s="8" t="inlineStr">
        <is>
          <t>IMF should continue its work on climate-related and digital money issues.
However, the focus should be mainly on the macroeconomic impacts and
policy implications, while outsourcing the technical aspects to other organizations.</t>
        </is>
      </c>
      <c r="GL6" s="10">
        <f>DATE(2025,6,17)+TIME(11,33,55)</f>
        <v/>
      </c>
    </row>
    <row r="7" ht="47.25" customHeight="1">
      <c r="A7" s="6" t="inlineStr">
        <is>
          <t>Priya</t>
        </is>
      </c>
      <c r="B7" s="6" t="inlineStr">
        <is>
          <t>Diallo</t>
        </is>
      </c>
      <c r="C7" s="6" t="inlineStr">
        <is>
          <t>pdiallo@organization.org</t>
        </is>
      </c>
      <c r="D7" s="6" t="inlineStr">
        <is>
          <t>O6IZSPOGP</t>
        </is>
      </c>
      <c r="E7" s="6" t="n"/>
      <c r="F7" s="6" t="inlineStr">
        <is>
          <t>OEDAG</t>
        </is>
      </c>
      <c r="G7" s="6" t="n"/>
      <c r="H7" s="6" t="inlineStr">
        <is>
          <t>Chile</t>
        </is>
      </c>
      <c r="I7" s="6" t="n"/>
      <c r="J7" s="6" t="n"/>
      <c r="K7" s="6" t="n"/>
      <c r="L7" s="6" t="n"/>
      <c r="M7" s="6" t="n"/>
      <c r="N7" s="6" t="n"/>
      <c r="O7" s="6" t="n"/>
      <c r="P7" s="6" t="n"/>
      <c r="Q7" s="6" t="n"/>
      <c r="R7" s="6" t="n"/>
      <c r="S7" s="6" t="n"/>
      <c r="T7" s="6" t="n"/>
      <c r="U7" s="6" t="n"/>
      <c r="V7" s="6" t="n"/>
      <c r="W7" s="6" t="n"/>
      <c r="X7" s="6" t="n"/>
      <c r="Y7" s="6" t="n"/>
      <c r="Z7" s="6" t="n"/>
      <c r="AA7" s="6" t="n"/>
      <c r="AB7" s="6" t="n"/>
      <c r="AC7" s="6" t="n"/>
      <c r="AD7" s="6" t="n"/>
      <c r="AE7" s="6" t="n"/>
      <c r="AF7" s="4" t="inlineStr">
        <is>
          <t>Chile</t>
        </is>
      </c>
      <c r="AG7" s="6" t="inlineStr">
        <is>
          <t>The IMF should engage a similar amount on climate change-related issues</t>
        </is>
      </c>
      <c r="AH7" s="6" t="inlineStr">
        <is>
          <t>To a moderate extent</t>
        </is>
      </c>
      <c r="AI7" s="6" t="inlineStr">
        <is>
          <t>To a moderate extent</t>
        </is>
      </c>
      <c r="AJ7" s="6" t="inlineStr">
        <is>
          <t>To a moderate extent</t>
        </is>
      </c>
      <c r="AK7" s="6" t="inlineStr">
        <is>
          <t>To a moderate extent</t>
        </is>
      </c>
      <c r="AL7" s="6" t="inlineStr">
        <is>
          <t>To a great extent</t>
        </is>
      </c>
      <c r="AM7" s="6" t="inlineStr">
        <is>
          <t>Don’t know or not applicable</t>
        </is>
      </c>
      <c r="AN7" s="6" t="inlineStr">
        <is>
          <t>To a great extent</t>
        </is>
      </c>
      <c r="AO7" s="6" t="inlineStr">
        <is>
          <t>To a great extent</t>
        </is>
      </c>
      <c r="AP7" s="6" t="inlineStr">
        <is>
          <t>To a great extent</t>
        </is>
      </c>
      <c r="AQ7" s="6" t="inlineStr">
        <is>
          <t>To a moderate extent</t>
        </is>
      </c>
      <c r="AR7" s="6" t="inlineStr">
        <is>
          <t>To a moderate extent</t>
        </is>
      </c>
      <c r="AS7" s="6" t="n"/>
      <c r="AT7" s="6" t="inlineStr">
        <is>
          <t>To a moderate extent</t>
        </is>
      </c>
      <c r="AU7" s="6" t="inlineStr">
        <is>
          <t>To a moderate extent</t>
        </is>
      </c>
      <c r="AV7" s="6" t="inlineStr">
        <is>
          <t>To a slight extent</t>
        </is>
      </c>
      <c r="AW7" s="6" t="inlineStr">
        <is>
          <t>To a slight extent</t>
        </is>
      </c>
      <c r="AX7" s="6" t="inlineStr">
        <is>
          <t>To a slight extent</t>
        </is>
      </c>
      <c r="AY7" s="6" t="inlineStr">
        <is>
          <t>To a moderate extent</t>
        </is>
      </c>
      <c r="AZ7" s="6" t="inlineStr">
        <is>
          <t>To a moderate extent</t>
        </is>
      </c>
      <c r="BA7" s="6" t="inlineStr">
        <is>
          <t>Not at all</t>
        </is>
      </c>
      <c r="BB7" s="6" t="inlineStr">
        <is>
          <t>To a moderate extent</t>
        </is>
      </c>
      <c r="BC7" s="6" t="inlineStr">
        <is>
          <t>To a moderate extent</t>
        </is>
      </c>
      <c r="BD7" s="6" t="inlineStr">
        <is>
          <t>To a moderate extent</t>
        </is>
      </c>
      <c r="BE7" s="6" t="inlineStr">
        <is>
          <t>To a moderate extent</t>
        </is>
      </c>
      <c r="BF7" s="6" t="inlineStr">
        <is>
          <t>Not at all</t>
        </is>
      </c>
      <c r="BG7" s="6" t="inlineStr">
        <is>
          <t>To a moderate extent</t>
        </is>
      </c>
      <c r="BH7" s="6" t="inlineStr">
        <is>
          <t>To a moderate extent</t>
        </is>
      </c>
      <c r="BI7" s="6" t="inlineStr">
        <is>
          <t>To a moderate extent</t>
        </is>
      </c>
      <c r="BJ7" s="6" t="inlineStr">
        <is>
          <t>To a slight extent</t>
        </is>
      </c>
      <c r="BK7" s="6" t="inlineStr">
        <is>
          <t>Not at all</t>
        </is>
      </c>
      <c r="BL7" s="6" t="inlineStr">
        <is>
          <t>To a moderate extent</t>
        </is>
      </c>
      <c r="BM7" s="6" t="inlineStr">
        <is>
          <t>To a moderate extent</t>
        </is>
      </c>
      <c r="BN7" s="6" t="inlineStr">
        <is>
          <t>To a moderate extent</t>
        </is>
      </c>
      <c r="BO7" s="6" t="inlineStr">
        <is>
          <t>To a moderate extent</t>
        </is>
      </c>
      <c r="BP7" s="6" t="inlineStr">
        <is>
          <t>To a moderate extent</t>
        </is>
      </c>
      <c r="BQ7" s="6" t="inlineStr">
        <is>
          <t>Don’t know or not applicable</t>
        </is>
      </c>
      <c r="BR7" s="6" t="inlineStr">
        <is>
          <t>Don’t know or not applicable</t>
        </is>
      </c>
      <c r="BS7" s="6" t="n"/>
      <c r="BT7" s="6" t="inlineStr">
        <is>
          <t>The IMF dedicated an appropriate amount of resources</t>
        </is>
      </c>
      <c r="BU7" s="6" t="inlineStr">
        <is>
          <t>To a great extent</t>
        </is>
      </c>
      <c r="BV7" s="6" t="inlineStr">
        <is>
          <t>To a moderate extent</t>
        </is>
      </c>
      <c r="BW7" s="6" t="inlineStr">
        <is>
          <t>To a moderate extent</t>
        </is>
      </c>
      <c r="BX7" s="6" t="inlineStr">
        <is>
          <t>To a great extent</t>
        </is>
      </c>
      <c r="BY7" s="6" t="inlineStr">
        <is>
          <t>To a great extent</t>
        </is>
      </c>
      <c r="BZ7" s="6" t="inlineStr">
        <is>
          <t>To a great extent</t>
        </is>
      </c>
      <c r="CA7" s="6" t="inlineStr">
        <is>
          <t>To a moderate extent</t>
        </is>
      </c>
      <c r="CB7" s="6" t="inlineStr">
        <is>
          <t>To a moderate extent</t>
        </is>
      </c>
      <c r="CC7" s="6" t="inlineStr">
        <is>
          <t>To a moderate extent</t>
        </is>
      </c>
      <c r="CD7" s="6" t="inlineStr">
        <is>
          <t>To a great extent</t>
        </is>
      </c>
      <c r="CE7" s="6" t="inlineStr">
        <is>
          <t>To a great extent</t>
        </is>
      </c>
      <c r="CF7" s="6" t="inlineStr">
        <is>
          <t>To a great extent</t>
        </is>
      </c>
      <c r="CG7" s="6" t="n"/>
      <c r="CH7" s="6" t="inlineStr">
        <is>
          <t>No</t>
        </is>
      </c>
      <c r="CI7" s="6" t="inlineStr">
        <is>
          <t>Yes</t>
        </is>
      </c>
      <c r="CJ7" s="6" t="n"/>
      <c r="CK7" s="6" t="n"/>
      <c r="CL7" s="6" t="n"/>
      <c r="CM7" s="6" t="n"/>
      <c r="CN7" s="6" t="n"/>
      <c r="CO7" s="6" t="n"/>
      <c r="CP7" s="6" t="n"/>
      <c r="CQ7" s="6" t="n"/>
      <c r="CR7" s="6" t="n"/>
      <c r="CS7" s="6" t="n"/>
      <c r="CT7" s="6" t="n"/>
      <c r="CU7" s="6" t="n"/>
      <c r="CV7" s="6" t="n"/>
      <c r="CW7" s="6" t="n"/>
      <c r="CX7" s="6" t="n"/>
      <c r="CY7" s="6" t="n"/>
      <c r="CZ7" s="6" t="n"/>
      <c r="DA7" s="6" t="n"/>
      <c r="DB7" s="6" t="n"/>
      <c r="DC7" s="6" t="n"/>
      <c r="DD7" s="6" t="n"/>
      <c r="DE7" s="6" t="n"/>
      <c r="DF7" s="6" t="n"/>
      <c r="DG7" s="6" t="n"/>
      <c r="DH7" s="6" t="n"/>
      <c r="DI7" s="6" t="n"/>
      <c r="DJ7" s="6" t="n"/>
      <c r="DK7" s="6" t="n"/>
      <c r="DL7" s="6" t="n"/>
      <c r="DM7" s="6" t="n"/>
      <c r="DN7" s="6" t="n"/>
      <c r="DO7" s="6" t="n"/>
      <c r="DP7" s="6" t="inlineStr">
        <is>
          <t>My country is not eligible for an RSF arrangement</t>
        </is>
      </c>
      <c r="DQ7" s="6" t="n"/>
      <c r="DR7" s="6" t="n"/>
      <c r="DS7" s="6" t="n"/>
      <c r="DT7" s="6" t="n"/>
      <c r="DU7" s="6" t="n"/>
      <c r="DV7" s="6" t="n"/>
      <c r="DW7" s="6" t="inlineStr">
        <is>
          <t>Yes</t>
        </is>
      </c>
      <c r="DX7" s="6" t="inlineStr">
        <is>
          <t>World Bank Group</t>
        </is>
      </c>
      <c r="DY7" s="6" t="inlineStr">
        <is>
          <t>Regional development banks</t>
        </is>
      </c>
      <c r="DZ7" s="6" t="inlineStr">
        <is>
          <t>Bilateral sources</t>
        </is>
      </c>
      <c r="EA7" s="6" t="n"/>
      <c r="EB7" s="6" t="n"/>
      <c r="EC7" s="6" t="inlineStr">
        <is>
          <t>Don’t know or not applicable</t>
        </is>
      </c>
      <c r="ED7" s="6" t="inlineStr">
        <is>
          <t>Don’t know or not applicable</t>
        </is>
      </c>
      <c r="EE7" s="6" t="inlineStr">
        <is>
          <t>Don’t know or not applicable</t>
        </is>
      </c>
      <c r="EF7" s="6" t="inlineStr">
        <is>
          <t>Don’t know or not applicable</t>
        </is>
      </c>
      <c r="EG7" s="6" t="inlineStr">
        <is>
          <t>Don’t know or not applicable</t>
        </is>
      </c>
      <c r="EH7" s="6" t="inlineStr">
        <is>
          <t>Don’t know or not applicable</t>
        </is>
      </c>
      <c r="EI7" s="6" t="inlineStr">
        <is>
          <t>Don’t know or not applicable</t>
        </is>
      </c>
      <c r="EJ7" s="6" t="inlineStr">
        <is>
          <t>Don’t know or not applicable</t>
        </is>
      </c>
      <c r="EK7" s="6" t="inlineStr">
        <is>
          <t>To a great extent</t>
        </is>
      </c>
      <c r="EL7" s="6" t="inlineStr">
        <is>
          <t>Not at all</t>
        </is>
      </c>
      <c r="EM7" s="6" t="inlineStr">
        <is>
          <t>Don’t know or not applicable</t>
        </is>
      </c>
      <c r="EN7" s="6" t="inlineStr">
        <is>
          <t>Don’t know or not applicable</t>
        </is>
      </c>
      <c r="EO7" s="6" t="inlineStr">
        <is>
          <t>Don’t know or not applicable</t>
        </is>
      </c>
      <c r="EP7" s="6" t="n"/>
      <c r="EQ7" s="6" t="inlineStr">
        <is>
          <t>To a great extent</t>
        </is>
      </c>
      <c r="ER7" s="6" t="inlineStr">
        <is>
          <t>To a moderate extent</t>
        </is>
      </c>
      <c r="ES7" s="6" t="n"/>
      <c r="ET7" s="6" t="inlineStr">
        <is>
          <t>Not at all</t>
        </is>
      </c>
      <c r="EU7" s="6" t="inlineStr">
        <is>
          <t>To a great extent</t>
        </is>
      </c>
      <c r="EV7" s="6" t="inlineStr">
        <is>
          <t>To a moderate extent</t>
        </is>
      </c>
      <c r="EW7" s="6" t="inlineStr">
        <is>
          <t>Don’t know or not applicable</t>
        </is>
      </c>
      <c r="EX7" s="6" t="n"/>
      <c r="EY7" s="6" t="inlineStr">
        <is>
          <t>To a moderate extent</t>
        </is>
      </c>
      <c r="EZ7" s="6" t="inlineStr">
        <is>
          <t>Not at all</t>
        </is>
      </c>
      <c r="FA7" s="6" t="inlineStr">
        <is>
          <t>To a great extent</t>
        </is>
      </c>
      <c r="FB7" s="6" t="inlineStr">
        <is>
          <t>To a great extent</t>
        </is>
      </c>
      <c r="FC7" s="6" t="inlineStr">
        <is>
          <t>To a great extent</t>
        </is>
      </c>
      <c r="FD7" s="6" t="inlineStr">
        <is>
          <t>Don’t know or not applicable</t>
        </is>
      </c>
      <c r="FE7" s="6" t="inlineStr">
        <is>
          <t>To a moderate extent</t>
        </is>
      </c>
      <c r="FF7" s="6" t="inlineStr">
        <is>
          <t>To a great extent</t>
        </is>
      </c>
      <c r="FG7" s="6" t="inlineStr">
        <is>
          <t>To a great extent</t>
        </is>
      </c>
      <c r="FH7" s="6" t="inlineStr">
        <is>
          <t>To a great extent</t>
        </is>
      </c>
      <c r="FI7" s="6" t="inlineStr">
        <is>
          <t>To a moderate extent</t>
        </is>
      </c>
      <c r="FJ7" s="6" t="inlineStr">
        <is>
          <t>Not at all</t>
        </is>
      </c>
      <c r="FK7" s="6" t="inlineStr">
        <is>
          <t>To a great extent</t>
        </is>
      </c>
      <c r="FL7" s="6" t="inlineStr">
        <is>
          <t>To a moderate extent</t>
        </is>
      </c>
      <c r="FM7" s="6" t="inlineStr">
        <is>
          <t>To a moderate extent</t>
        </is>
      </c>
      <c r="FN7" s="6" t="inlineStr">
        <is>
          <t>Don’t know or not applicable</t>
        </is>
      </c>
      <c r="FO7" s="6" t="inlineStr">
        <is>
          <t>To a moderate extent</t>
        </is>
      </c>
      <c r="FP7" s="6" t="inlineStr">
        <is>
          <t>To a moderate extent</t>
        </is>
      </c>
      <c r="FQ7" s="6" t="inlineStr">
        <is>
          <t>To a moderate extent</t>
        </is>
      </c>
      <c r="FR7" s="6" t="inlineStr">
        <is>
          <t>Not at all</t>
        </is>
      </c>
      <c r="FS7" s="6" t="inlineStr">
        <is>
          <t>Not at all</t>
        </is>
      </c>
      <c r="FT7" s="6" t="inlineStr">
        <is>
          <t>Not at all</t>
        </is>
      </c>
      <c r="FU7" s="6" t="inlineStr">
        <is>
          <t>Don’t know or not applicable</t>
        </is>
      </c>
      <c r="FV7" s="6" t="n"/>
      <c r="FW7" s="6" t="inlineStr">
        <is>
          <t>The IMF dedicated the appropriate amount of resources</t>
        </is>
      </c>
      <c r="FX7" s="6" t="n"/>
      <c r="FY7" s="6" t="inlineStr">
        <is>
          <t>To a slight extent</t>
        </is>
      </c>
      <c r="FZ7" s="6" t="inlineStr">
        <is>
          <t>To a great extent</t>
        </is>
      </c>
      <c r="GA7" s="6" t="inlineStr">
        <is>
          <t>To a great extent</t>
        </is>
      </c>
      <c r="GB7" s="6" t="inlineStr">
        <is>
          <t>To a great extent</t>
        </is>
      </c>
      <c r="GC7" s="6" t="n"/>
      <c r="GD7" s="6" t="n"/>
      <c r="GE7" s="6" t="inlineStr">
        <is>
          <t>To a great extent</t>
        </is>
      </c>
      <c r="GF7" s="6" t="inlineStr">
        <is>
          <t>To a great extent</t>
        </is>
      </c>
      <c r="GG7" s="6" t="inlineStr">
        <is>
          <t>To a great extent</t>
        </is>
      </c>
      <c r="GH7" s="6" t="inlineStr">
        <is>
          <t>To a moderate extent</t>
        </is>
      </c>
      <c r="GI7" s="6" t="inlineStr">
        <is>
          <t>To a moderate extent</t>
        </is>
      </c>
      <c r="GJ7" s="6" t="inlineStr">
        <is>
          <t>To a moderate extent</t>
        </is>
      </c>
      <c r="GK7" s="6" t="n"/>
      <c r="GL7" s="7">
        <f>DATE(2025,6,26)+TIME(12,16,41)</f>
        <v/>
      </c>
    </row>
    <row r="8" ht="63" customHeight="1">
      <c r="A8" s="3" t="inlineStr">
        <is>
          <t>Isla</t>
        </is>
      </c>
      <c r="B8" s="3" t="inlineStr">
        <is>
          <t>Visser</t>
        </is>
      </c>
      <c r="C8" s="3" t="inlineStr">
        <is>
          <t>ivisser@organization.org</t>
        </is>
      </c>
      <c r="D8" s="3" t="inlineStr">
        <is>
          <t>WJWRXX5GO</t>
        </is>
      </c>
      <c r="E8" s="3" t="n"/>
      <c r="F8" s="3" t="inlineStr">
        <is>
          <t>OEDNE</t>
        </is>
      </c>
      <c r="G8" s="3" t="n"/>
      <c r="H8" s="3" t="n"/>
      <c r="I8" s="3" t="n"/>
      <c r="J8" s="3" t="n"/>
      <c r="K8" s="3" t="n"/>
      <c r="L8" s="3" t="n"/>
      <c r="M8" s="3" t="n"/>
      <c r="N8" s="3" t="n"/>
      <c r="O8" s="3" t="n"/>
      <c r="P8" s="3" t="n"/>
      <c r="Q8" s="3" t="n"/>
      <c r="R8" s="3" t="n"/>
      <c r="S8" s="3" t="n"/>
      <c r="T8" s="3" t="n"/>
      <c r="U8" s="3" t="n"/>
      <c r="V8" s="3" t="n"/>
      <c r="W8" s="3" t="n"/>
      <c r="X8" s="3" t="inlineStr">
        <is>
          <t>Cyprus</t>
        </is>
      </c>
      <c r="Y8" s="3" t="n"/>
      <c r="Z8" s="3" t="n"/>
      <c r="AA8" s="3" t="n"/>
      <c r="AB8" s="3" t="n"/>
      <c r="AC8" s="3" t="n"/>
      <c r="AD8" s="3" t="n"/>
      <c r="AE8" s="3" t="n"/>
      <c r="AF8" s="4" t="inlineStr">
        <is>
          <t>Cyprus</t>
        </is>
      </c>
      <c r="AG8" s="3" t="inlineStr">
        <is>
          <t>The IMF should engage more on climate change-related issues</t>
        </is>
      </c>
      <c r="AH8" s="3" t="inlineStr">
        <is>
          <t>To a great extent</t>
        </is>
      </c>
      <c r="AI8" s="3" t="inlineStr">
        <is>
          <t>To a great extent</t>
        </is>
      </c>
      <c r="AJ8" s="3" t="inlineStr">
        <is>
          <t>Don’t know or not applicable</t>
        </is>
      </c>
      <c r="AK8" s="3" t="inlineStr">
        <is>
          <t>To a great extent</t>
        </is>
      </c>
      <c r="AL8" s="3" t="inlineStr">
        <is>
          <t>Don’t know or not applicable</t>
        </is>
      </c>
      <c r="AM8" s="3" t="inlineStr">
        <is>
          <t>Don’t know or not applicable</t>
        </is>
      </c>
      <c r="AN8" s="3" t="inlineStr">
        <is>
          <t>Don’t know or not applicable</t>
        </is>
      </c>
      <c r="AO8" s="3" t="inlineStr">
        <is>
          <t>Don’t know or not applicable</t>
        </is>
      </c>
      <c r="AP8" s="3" t="inlineStr">
        <is>
          <t>Don’t know or not applicable</t>
        </is>
      </c>
      <c r="AQ8" s="3" t="inlineStr">
        <is>
          <t>To a moderate extent</t>
        </is>
      </c>
      <c r="AR8" s="3" t="inlineStr">
        <is>
          <t>To a great extent</t>
        </is>
      </c>
      <c r="AS8" s="3" t="n"/>
      <c r="AT8" s="3" t="inlineStr">
        <is>
          <t>To a great extent</t>
        </is>
      </c>
      <c r="AU8" s="3" t="inlineStr">
        <is>
          <t>To a great extent</t>
        </is>
      </c>
      <c r="AV8" s="3" t="inlineStr">
        <is>
          <t>To a slight extent</t>
        </is>
      </c>
      <c r="AW8" s="3" t="inlineStr">
        <is>
          <t>To a great extent</t>
        </is>
      </c>
      <c r="AX8" s="3" t="inlineStr">
        <is>
          <t>To a great extent</t>
        </is>
      </c>
      <c r="AY8" s="3" t="inlineStr">
        <is>
          <t>To a great extent</t>
        </is>
      </c>
      <c r="AZ8" s="3" t="inlineStr">
        <is>
          <t>To a moderate extent</t>
        </is>
      </c>
      <c r="BA8" s="3" t="inlineStr">
        <is>
          <t>To a slight extent</t>
        </is>
      </c>
      <c r="BB8" s="3" t="inlineStr">
        <is>
          <t>To a moderate extent</t>
        </is>
      </c>
      <c r="BC8" s="3" t="inlineStr">
        <is>
          <t>To a moderate extent</t>
        </is>
      </c>
      <c r="BD8" s="3" t="inlineStr">
        <is>
          <t>To a great extent</t>
        </is>
      </c>
      <c r="BE8" s="3" t="inlineStr">
        <is>
          <t>To a slight extent</t>
        </is>
      </c>
      <c r="BF8" s="3" t="inlineStr">
        <is>
          <t>To a slight extent</t>
        </is>
      </c>
      <c r="BG8" s="3" t="inlineStr">
        <is>
          <t>To a moderate extent</t>
        </is>
      </c>
      <c r="BH8" s="3" t="inlineStr">
        <is>
          <t>To a moderate extent</t>
        </is>
      </c>
      <c r="BI8" s="3" t="inlineStr">
        <is>
          <t>To a great extent</t>
        </is>
      </c>
      <c r="BJ8" s="3" t="inlineStr">
        <is>
          <t>To a moderate extent</t>
        </is>
      </c>
      <c r="BK8" s="3" t="inlineStr">
        <is>
          <t>To a slight extent</t>
        </is>
      </c>
      <c r="BL8" s="3" t="inlineStr">
        <is>
          <t>To a great extent</t>
        </is>
      </c>
      <c r="BM8" s="3" t="inlineStr">
        <is>
          <t>To a moderate extent</t>
        </is>
      </c>
      <c r="BN8" s="3" t="inlineStr">
        <is>
          <t>To a great extent</t>
        </is>
      </c>
      <c r="BO8" s="3" t="inlineStr">
        <is>
          <t>To a moderate extent</t>
        </is>
      </c>
      <c r="BP8" s="3" t="inlineStr">
        <is>
          <t>To a slight extent</t>
        </is>
      </c>
      <c r="BQ8" s="3" t="inlineStr">
        <is>
          <t>To a slight extent</t>
        </is>
      </c>
      <c r="BR8" s="3" t="inlineStr">
        <is>
          <t>Don’t know or not applicable</t>
        </is>
      </c>
      <c r="BS8" s="3" t="n"/>
      <c r="BT8" s="3" t="inlineStr">
        <is>
          <t>The IMF should have dedicated more resources</t>
        </is>
      </c>
      <c r="BU8" s="3" t="inlineStr">
        <is>
          <t>To a great extent</t>
        </is>
      </c>
      <c r="BV8" s="3" t="inlineStr">
        <is>
          <t>To a great extent</t>
        </is>
      </c>
      <c r="BW8" s="3" t="inlineStr">
        <is>
          <t>To a great extent</t>
        </is>
      </c>
      <c r="BX8" s="3" t="inlineStr">
        <is>
          <t>To a great extent</t>
        </is>
      </c>
      <c r="BY8" s="3" t="inlineStr">
        <is>
          <t>To a great extent</t>
        </is>
      </c>
      <c r="BZ8" s="3" t="inlineStr">
        <is>
          <t>To a great extent</t>
        </is>
      </c>
      <c r="CA8" s="3" t="inlineStr">
        <is>
          <t>To a great extent</t>
        </is>
      </c>
      <c r="CB8" s="3" t="inlineStr">
        <is>
          <t>To a great extent</t>
        </is>
      </c>
      <c r="CC8" s="3" t="inlineStr">
        <is>
          <t>To a great extent</t>
        </is>
      </c>
      <c r="CD8" s="3" t="inlineStr">
        <is>
          <t>To a great extent</t>
        </is>
      </c>
      <c r="CE8" s="3" t="inlineStr">
        <is>
          <t>To a great extent</t>
        </is>
      </c>
      <c r="CF8" s="3" t="inlineStr">
        <is>
          <t>To a great extent</t>
        </is>
      </c>
      <c r="CG8" s="3" t="n"/>
      <c r="CH8" s="3" t="inlineStr">
        <is>
          <t>No</t>
        </is>
      </c>
      <c r="CI8" s="3" t="inlineStr">
        <is>
          <t>Yes</t>
        </is>
      </c>
      <c r="CJ8" s="3" t="n"/>
      <c r="CK8" s="3" t="n"/>
      <c r="CL8" s="3" t="n"/>
      <c r="CM8" s="3" t="n"/>
      <c r="CN8" s="3" t="n"/>
      <c r="CO8" s="3" t="n"/>
      <c r="CP8" s="3" t="n"/>
      <c r="CQ8" s="3" t="n"/>
      <c r="CR8" s="3" t="n"/>
      <c r="CS8" s="3" t="n"/>
      <c r="CT8" s="3" t="n"/>
      <c r="CU8" s="3" t="n"/>
      <c r="CV8" s="3" t="n"/>
      <c r="CW8" s="3" t="n"/>
      <c r="CX8" s="3" t="n"/>
      <c r="CY8" s="3" t="n"/>
      <c r="CZ8" s="3" t="n"/>
      <c r="DA8" s="3" t="n"/>
      <c r="DB8" s="3" t="n"/>
      <c r="DC8" s="3" t="n"/>
      <c r="DD8" s="3" t="n"/>
      <c r="DE8" s="3" t="n"/>
      <c r="DF8" s="3" t="n"/>
      <c r="DG8" s="3" t="n"/>
      <c r="DH8" s="3" t="n"/>
      <c r="DI8" s="3" t="n"/>
      <c r="DJ8" s="3" t="n"/>
      <c r="DK8" s="3" t="n"/>
      <c r="DL8" s="3" t="n"/>
      <c r="DM8" s="3" t="n"/>
      <c r="DN8" s="3" t="n"/>
      <c r="DO8" s="3" t="n"/>
      <c r="DP8" s="3" t="n"/>
      <c r="DQ8" s="3" t="n"/>
      <c r="DR8" s="3" t="inlineStr">
        <is>
          <t>Insufficient administrative capacity to implement an IMF   program concurrent with an RSF arrangement</t>
        </is>
      </c>
      <c r="DS8" s="3" t="n"/>
      <c r="DT8" s="3" t="n"/>
      <c r="DU8" s="3" t="n"/>
      <c r="DV8" s="3" t="n"/>
      <c r="DW8" s="3" t="inlineStr">
        <is>
          <t>No</t>
        </is>
      </c>
      <c r="DX8" s="3" t="n"/>
      <c r="DY8" s="3" t="n"/>
      <c r="DZ8" s="3" t="n"/>
      <c r="EA8" s="3" t="n"/>
      <c r="EB8" s="3" t="n"/>
      <c r="EC8" s="3" t="n"/>
      <c r="ED8" s="3" t="n"/>
      <c r="EE8" s="3" t="n"/>
      <c r="EF8" s="3" t="inlineStr">
        <is>
          <t>Don’t know or not applicable</t>
        </is>
      </c>
      <c r="EG8" s="3" t="inlineStr">
        <is>
          <t>Don’t know or not applicable</t>
        </is>
      </c>
      <c r="EH8" s="3" t="inlineStr">
        <is>
          <t>Don’t know or not applicable</t>
        </is>
      </c>
      <c r="EI8" s="3" t="inlineStr">
        <is>
          <t>Don’t know or not applicable</t>
        </is>
      </c>
      <c r="EJ8" s="3" t="inlineStr">
        <is>
          <t>Don’t know or not applicable</t>
        </is>
      </c>
      <c r="EK8" s="3" t="inlineStr">
        <is>
          <t>Don’t know or not applicable</t>
        </is>
      </c>
      <c r="EL8" s="3" t="inlineStr">
        <is>
          <t>Don’t know or not applicable</t>
        </is>
      </c>
      <c r="EM8" s="3" t="inlineStr">
        <is>
          <t>Don’t know or not applicable</t>
        </is>
      </c>
      <c r="EN8" s="3" t="inlineStr">
        <is>
          <t>Don’t know or not applicable</t>
        </is>
      </c>
      <c r="EO8" s="3" t="inlineStr">
        <is>
          <t>Don’t know or not applicable</t>
        </is>
      </c>
      <c r="EP8" s="3" t="n"/>
      <c r="EQ8" s="3" t="inlineStr">
        <is>
          <t>Not at all</t>
        </is>
      </c>
      <c r="ER8" s="3" t="inlineStr">
        <is>
          <t>Not at all</t>
        </is>
      </c>
      <c r="ES8" s="3" t="n"/>
      <c r="ET8" s="3" t="n"/>
      <c r="EU8" s="3" t="n"/>
      <c r="EV8" s="3" t="n"/>
      <c r="EW8" s="3" t="n"/>
      <c r="EX8" s="3" t="n"/>
      <c r="EY8" s="3" t="n"/>
      <c r="EZ8" s="3" t="n"/>
      <c r="FA8" s="3" t="n"/>
      <c r="FB8" s="3" t="n"/>
      <c r="FC8" s="3" t="n"/>
      <c r="FD8" s="3" t="n"/>
      <c r="FE8" s="3" t="n"/>
      <c r="FF8" s="3" t="n"/>
      <c r="FG8" s="3" t="n"/>
      <c r="FH8" s="3" t="n"/>
      <c r="FI8" s="3" t="n"/>
      <c r="FJ8" s="3" t="n"/>
      <c r="FK8" s="3" t="n"/>
      <c r="FL8" s="3" t="n"/>
      <c r="FM8" s="3" t="n"/>
      <c r="FN8" s="3" t="n"/>
      <c r="FO8" s="3" t="n"/>
      <c r="FP8" s="3" t="n"/>
      <c r="FQ8" s="3" t="n"/>
      <c r="FR8" s="3" t="n"/>
      <c r="FS8" s="3" t="n"/>
      <c r="FT8" s="3" t="n"/>
      <c r="FU8" s="3" t="n"/>
      <c r="FV8" s="3" t="n"/>
      <c r="FW8" s="3" t="n"/>
      <c r="FX8" s="3" t="n"/>
      <c r="FY8" s="3" t="inlineStr">
        <is>
          <t>To a great extent</t>
        </is>
      </c>
      <c r="FZ8" s="3" t="inlineStr">
        <is>
          <t>To a moderate extent</t>
        </is>
      </c>
      <c r="GA8" s="3" t="inlineStr">
        <is>
          <t>To a great extent</t>
        </is>
      </c>
      <c r="GB8" s="3" t="inlineStr">
        <is>
          <t>To a moderate extent</t>
        </is>
      </c>
      <c r="GC8" s="3" t="n"/>
      <c r="GD8" s="3" t="n"/>
      <c r="GE8" s="3" t="inlineStr">
        <is>
          <t>To a great extent</t>
        </is>
      </c>
      <c r="GF8" s="3" t="inlineStr">
        <is>
          <t>To a great extent</t>
        </is>
      </c>
      <c r="GG8" s="3" t="inlineStr">
        <is>
          <t>To a great extent</t>
        </is>
      </c>
      <c r="GH8" s="3" t="inlineStr">
        <is>
          <t>To a great extent</t>
        </is>
      </c>
      <c r="GI8" s="3" t="inlineStr">
        <is>
          <t>To a great extent</t>
        </is>
      </c>
      <c r="GJ8" s="3" t="inlineStr">
        <is>
          <t>To a great extent</t>
        </is>
      </c>
      <c r="GK8" s="3" t="n"/>
      <c r="GL8" s="5">
        <f>DATE(2025,6,16)+TIME(10,50,29)</f>
        <v/>
      </c>
    </row>
    <row r="9" ht="47.25" customHeight="1">
      <c r="A9" s="6" t="inlineStr">
        <is>
          <t>Hana</t>
        </is>
      </c>
      <c r="B9" s="6" t="inlineStr">
        <is>
          <t>Reyes</t>
        </is>
      </c>
      <c r="C9" s="6" t="inlineStr">
        <is>
          <t>hreyes@organization.org</t>
        </is>
      </c>
      <c r="D9" s="6" t="inlineStr">
        <is>
          <t>MC5MGNLPP</t>
        </is>
      </c>
      <c r="E9" s="6" t="n"/>
      <c r="F9" s="6" t="inlineStr">
        <is>
          <t>OEDAP</t>
        </is>
      </c>
      <c r="G9" s="6" t="n"/>
      <c r="H9" s="6" t="n"/>
      <c r="I9" s="6" t="inlineStr">
        <is>
          <t>Papua New Guinea</t>
        </is>
      </c>
      <c r="J9" s="6" t="n"/>
      <c r="K9" s="6" t="n"/>
      <c r="L9" s="6" t="n"/>
      <c r="M9" s="6" t="n"/>
      <c r="N9" s="6" t="n"/>
      <c r="O9" s="6" t="n"/>
      <c r="P9" s="6" t="n"/>
      <c r="Q9" s="6" t="n"/>
      <c r="R9" s="6" t="n"/>
      <c r="S9" s="6" t="n"/>
      <c r="T9" s="6" t="n"/>
      <c r="U9" s="6" t="n"/>
      <c r="V9" s="6" t="n"/>
      <c r="W9" s="6" t="n"/>
      <c r="X9" s="6" t="n"/>
      <c r="Y9" s="6" t="n"/>
      <c r="Z9" s="6" t="n"/>
      <c r="AA9" s="6" t="n"/>
      <c r="AB9" s="6" t="n"/>
      <c r="AC9" s="6" t="n"/>
      <c r="AD9" s="6" t="n"/>
      <c r="AE9" s="6" t="n"/>
      <c r="AF9" s="4" t="inlineStr">
        <is>
          <t>Papua New Guinea</t>
        </is>
      </c>
      <c r="AG9" s="6" t="inlineStr">
        <is>
          <t>The IMF should engage a similar amount on climate change-related issues</t>
        </is>
      </c>
      <c r="AH9" s="6" t="inlineStr">
        <is>
          <t>Don’t know or not applicable</t>
        </is>
      </c>
      <c r="AI9" s="6" t="inlineStr">
        <is>
          <t>To a slight extent</t>
        </is>
      </c>
      <c r="AJ9" s="6" t="inlineStr">
        <is>
          <t>Don’t know or not applicable</t>
        </is>
      </c>
      <c r="AK9" s="6" t="inlineStr">
        <is>
          <t>To a slight extent</t>
        </is>
      </c>
      <c r="AL9" s="6" t="inlineStr">
        <is>
          <t>To a great extent</t>
        </is>
      </c>
      <c r="AM9" s="6" t="inlineStr">
        <is>
          <t>To a great extent</t>
        </is>
      </c>
      <c r="AN9" s="6" t="inlineStr">
        <is>
          <t>To a moderate extent</t>
        </is>
      </c>
      <c r="AO9" s="6" t="inlineStr">
        <is>
          <t>To a great extent</t>
        </is>
      </c>
      <c r="AP9" s="6" t="inlineStr">
        <is>
          <t>Don’t know or not applicable</t>
        </is>
      </c>
      <c r="AQ9" s="6" t="inlineStr">
        <is>
          <t>Don’t know or not applicable</t>
        </is>
      </c>
      <c r="AR9" s="6" t="inlineStr">
        <is>
          <t>Don’t know or not applicable</t>
        </is>
      </c>
      <c r="AS9" s="6" t="n"/>
      <c r="AT9" s="6" t="inlineStr">
        <is>
          <t>Don’t know or not applicable</t>
        </is>
      </c>
      <c r="AU9" s="6" t="inlineStr">
        <is>
          <t>Don’t know or not applicable</t>
        </is>
      </c>
      <c r="AV9" s="6" t="inlineStr">
        <is>
          <t>Don’t know or not applicable</t>
        </is>
      </c>
      <c r="AW9" s="6" t="inlineStr">
        <is>
          <t>Don’t know or not applicable</t>
        </is>
      </c>
      <c r="AX9" s="6" t="inlineStr">
        <is>
          <t>Don’t know or not applicable</t>
        </is>
      </c>
      <c r="AY9" s="6" t="inlineStr">
        <is>
          <t>Don’t know or not applicable</t>
        </is>
      </c>
      <c r="AZ9" s="6" t="inlineStr">
        <is>
          <t>Not at all</t>
        </is>
      </c>
      <c r="BA9" s="6" t="inlineStr">
        <is>
          <t>Not at all</t>
        </is>
      </c>
      <c r="BB9" s="6" t="inlineStr">
        <is>
          <t>Not at all</t>
        </is>
      </c>
      <c r="BC9" s="6" t="inlineStr">
        <is>
          <t>Not at all</t>
        </is>
      </c>
      <c r="BD9" s="6" t="inlineStr">
        <is>
          <t>Not at all</t>
        </is>
      </c>
      <c r="BE9" s="6" t="inlineStr">
        <is>
          <t>Don’t know or not applicable</t>
        </is>
      </c>
      <c r="BF9" s="6" t="inlineStr">
        <is>
          <t>Don’t know or not applicable</t>
        </is>
      </c>
      <c r="BG9" s="6" t="inlineStr">
        <is>
          <t>Don’t know or not applicable</t>
        </is>
      </c>
      <c r="BH9" s="6" t="inlineStr">
        <is>
          <t>Don’t know or not applicable</t>
        </is>
      </c>
      <c r="BI9" s="6" t="inlineStr">
        <is>
          <t>Don’t know or not applicable</t>
        </is>
      </c>
      <c r="BJ9" s="6" t="inlineStr">
        <is>
          <t>Don’t know or not applicable</t>
        </is>
      </c>
      <c r="BK9" s="6" t="inlineStr">
        <is>
          <t>Don’t know or not applicable</t>
        </is>
      </c>
      <c r="BL9" s="6" t="inlineStr">
        <is>
          <t>Don’t know or not applicable</t>
        </is>
      </c>
      <c r="BM9" s="6" t="inlineStr">
        <is>
          <t>Don’t know or not applicable</t>
        </is>
      </c>
      <c r="BN9" s="6" t="inlineStr">
        <is>
          <t>Don’t know or not applicable</t>
        </is>
      </c>
      <c r="BO9" s="6" t="inlineStr">
        <is>
          <t>Don’t know or not applicable</t>
        </is>
      </c>
      <c r="BP9" s="6" t="inlineStr">
        <is>
          <t>Don’t know or not applicable</t>
        </is>
      </c>
      <c r="BQ9" s="6" t="inlineStr">
        <is>
          <t>Don’t know or not applicable</t>
        </is>
      </c>
      <c r="BR9" s="6" t="inlineStr">
        <is>
          <t>Don’t know or not applicable</t>
        </is>
      </c>
      <c r="BS9" s="6" t="n"/>
      <c r="BT9" s="6" t="inlineStr">
        <is>
          <t>The IMF dedicated an appropriate amount of resources</t>
        </is>
      </c>
      <c r="BU9" s="6" t="inlineStr">
        <is>
          <t>To a moderate extent</t>
        </is>
      </c>
      <c r="BV9" s="6" t="inlineStr">
        <is>
          <t>To a moderate extent</t>
        </is>
      </c>
      <c r="BW9" s="6" t="inlineStr">
        <is>
          <t>To a moderate extent</t>
        </is>
      </c>
      <c r="BX9" s="6" t="inlineStr">
        <is>
          <t>To a moderate extent</t>
        </is>
      </c>
      <c r="BY9" s="6" t="inlineStr">
        <is>
          <t>To a moderate extent</t>
        </is>
      </c>
      <c r="BZ9" s="6" t="inlineStr">
        <is>
          <t>To a moderate extent</t>
        </is>
      </c>
      <c r="CA9" s="6" t="inlineStr">
        <is>
          <t>To a moderate extent</t>
        </is>
      </c>
      <c r="CB9" s="6" t="inlineStr">
        <is>
          <t>To a moderate extent</t>
        </is>
      </c>
      <c r="CC9" s="6" t="inlineStr">
        <is>
          <t>To a moderate extent</t>
        </is>
      </c>
      <c r="CD9" s="6" t="inlineStr">
        <is>
          <t>To a moderate extent</t>
        </is>
      </c>
      <c r="CE9" s="6" t="inlineStr">
        <is>
          <t>To a moderate extent</t>
        </is>
      </c>
      <c r="CF9" s="6" t="inlineStr">
        <is>
          <t>To a moderate extent</t>
        </is>
      </c>
      <c r="CG9" s="6" t="n"/>
      <c r="CH9" s="6" t="inlineStr">
        <is>
          <t>Yes</t>
        </is>
      </c>
      <c r="CI9" s="6" t="inlineStr">
        <is>
          <t>Yes</t>
        </is>
      </c>
      <c r="CJ9" s="6" t="inlineStr">
        <is>
          <t>To a moderate extent</t>
        </is>
      </c>
      <c r="CK9" s="6" t="inlineStr">
        <is>
          <t>To a moderate extent</t>
        </is>
      </c>
      <c r="CL9" s="6" t="inlineStr">
        <is>
          <t>To a great extent</t>
        </is>
      </c>
      <c r="CM9" s="6" t="inlineStr">
        <is>
          <t>To a moderate extent</t>
        </is>
      </c>
      <c r="CN9" s="6" t="inlineStr">
        <is>
          <t>To a slight extent</t>
        </is>
      </c>
      <c r="CO9" s="6" t="inlineStr">
        <is>
          <t>To a great extent</t>
        </is>
      </c>
      <c r="CP9" s="6" t="inlineStr">
        <is>
          <t>To a moderate extent</t>
        </is>
      </c>
      <c r="CQ9" s="6" t="inlineStr">
        <is>
          <t>To a moderate extent</t>
        </is>
      </c>
      <c r="CR9" s="6" t="inlineStr">
        <is>
          <t>To a moderate extent</t>
        </is>
      </c>
      <c r="CS9" s="6" t="inlineStr">
        <is>
          <t>To a great extent</t>
        </is>
      </c>
      <c r="CT9" s="6" t="inlineStr">
        <is>
          <t>To a moderate extent</t>
        </is>
      </c>
      <c r="CU9" s="6" t="inlineStr">
        <is>
          <t>To a moderate extent</t>
        </is>
      </c>
      <c r="CV9" s="6" t="inlineStr">
        <is>
          <t>To a moderate extent</t>
        </is>
      </c>
      <c r="CW9" s="6" t="inlineStr">
        <is>
          <t>To a moderate extent</t>
        </is>
      </c>
      <c r="CX9" s="6" t="inlineStr">
        <is>
          <t>To a moderate extent</t>
        </is>
      </c>
      <c r="CY9" s="6" t="inlineStr">
        <is>
          <t>Don’t know or not applicable</t>
        </is>
      </c>
      <c r="CZ9" s="6" t="inlineStr">
        <is>
          <t>To a great extent</t>
        </is>
      </c>
      <c r="DA9" s="6" t="inlineStr">
        <is>
          <t>To a moderate extent</t>
        </is>
      </c>
      <c r="DB9" s="6" t="n"/>
      <c r="DC9" s="6" t="inlineStr">
        <is>
          <t>Existing planned spending (substituting for other financing)</t>
        </is>
      </c>
      <c r="DD9" s="6" t="inlineStr">
        <is>
          <t>Refinancing existing borrowing</t>
        </is>
      </c>
      <c r="DE9" s="6" t="n"/>
      <c r="DF9" s="6" t="n"/>
      <c r="DG9" s="6" t="n"/>
      <c r="DH9" s="6" t="inlineStr">
        <is>
          <t>To a slight extent</t>
        </is>
      </c>
      <c r="DI9" s="6" t="inlineStr">
        <is>
          <t>To a slight extent</t>
        </is>
      </c>
      <c r="DJ9" s="6" t="inlineStr">
        <is>
          <t>To a slight extent</t>
        </is>
      </c>
      <c r="DK9" s="6" t="inlineStr">
        <is>
          <t>To a great extent</t>
        </is>
      </c>
      <c r="DL9" s="6" t="inlineStr">
        <is>
          <t>To a great extent</t>
        </is>
      </c>
      <c r="DM9" s="6" t="inlineStr">
        <is>
          <t>To a great extent</t>
        </is>
      </c>
      <c r="DN9" s="6" t="inlineStr">
        <is>
          <t>Don’t know or not applicable</t>
        </is>
      </c>
      <c r="DO9" s="6" t="n"/>
      <c r="DP9" s="6" t="n"/>
      <c r="DQ9" s="6" t="n"/>
      <c r="DR9" s="6" t="n"/>
      <c r="DS9" s="6" t="n"/>
      <c r="DT9" s="6" t="n"/>
      <c r="DU9" s="6" t="n"/>
      <c r="DV9" s="6" t="n"/>
      <c r="DW9" s="6" t="inlineStr">
        <is>
          <t>Don't know</t>
        </is>
      </c>
      <c r="DX9" s="6" t="n"/>
      <c r="DY9" s="6" t="n"/>
      <c r="DZ9" s="6" t="n"/>
      <c r="EA9" s="6" t="n"/>
      <c r="EB9" s="6" t="n"/>
      <c r="EC9" s="6" t="n"/>
      <c r="ED9" s="6" t="n"/>
      <c r="EE9" s="6" t="n"/>
      <c r="EF9" s="6" t="inlineStr">
        <is>
          <t>Not at all</t>
        </is>
      </c>
      <c r="EG9" s="6" t="inlineStr">
        <is>
          <t>To a slight extent</t>
        </is>
      </c>
      <c r="EH9" s="6" t="inlineStr">
        <is>
          <t>To a moderate extent</t>
        </is>
      </c>
      <c r="EI9" s="6" t="inlineStr">
        <is>
          <t>To a great extent</t>
        </is>
      </c>
      <c r="EJ9" s="6" t="inlineStr">
        <is>
          <t>To a great extent</t>
        </is>
      </c>
      <c r="EK9" s="6" t="inlineStr">
        <is>
          <t>Not at all</t>
        </is>
      </c>
      <c r="EL9" s="6" t="inlineStr">
        <is>
          <t>To a great extent</t>
        </is>
      </c>
      <c r="EM9" s="6" t="inlineStr">
        <is>
          <t>To a moderate extent</t>
        </is>
      </c>
      <c r="EN9" s="6" t="inlineStr">
        <is>
          <t>To a great extent</t>
        </is>
      </c>
      <c r="EO9" s="6" t="inlineStr">
        <is>
          <t>To a moderate extent</t>
        </is>
      </c>
      <c r="EP9" s="6" t="n"/>
      <c r="EQ9" s="6" t="inlineStr">
        <is>
          <t>To a great extent</t>
        </is>
      </c>
      <c r="ER9" s="6" t="inlineStr">
        <is>
          <t>To a moderate extent</t>
        </is>
      </c>
      <c r="ES9" s="6" t="n"/>
      <c r="ET9" s="6" t="inlineStr">
        <is>
          <t>To a moderate extent</t>
        </is>
      </c>
      <c r="EU9" s="6" t="inlineStr">
        <is>
          <t>To a great extent</t>
        </is>
      </c>
      <c r="EV9" s="6" t="inlineStr">
        <is>
          <t>To a great extent</t>
        </is>
      </c>
      <c r="EW9" s="6" t="inlineStr">
        <is>
          <t>Don’t know or not applicable</t>
        </is>
      </c>
      <c r="EX9" s="6" t="n"/>
      <c r="EY9" s="6" t="inlineStr">
        <is>
          <t>To a moderate extent</t>
        </is>
      </c>
      <c r="EZ9" s="6" t="inlineStr">
        <is>
          <t>To a great extent</t>
        </is>
      </c>
      <c r="FA9" s="6" t="inlineStr">
        <is>
          <t>To a moderate extent</t>
        </is>
      </c>
      <c r="FB9" s="6" t="inlineStr">
        <is>
          <t>To a moderate extent</t>
        </is>
      </c>
      <c r="FC9" s="6" t="inlineStr">
        <is>
          <t>To a moderate extent</t>
        </is>
      </c>
      <c r="FD9" s="6" t="inlineStr">
        <is>
          <t>To a great extent</t>
        </is>
      </c>
      <c r="FE9" s="6" t="inlineStr">
        <is>
          <t>To a moderate extent</t>
        </is>
      </c>
      <c r="FF9" s="6" t="inlineStr">
        <is>
          <t>To a slight extent</t>
        </is>
      </c>
      <c r="FG9" s="6" t="inlineStr">
        <is>
          <t>To a moderate extent</t>
        </is>
      </c>
      <c r="FH9" s="6" t="inlineStr">
        <is>
          <t>To a moderate extent</t>
        </is>
      </c>
      <c r="FI9" s="6" t="inlineStr">
        <is>
          <t>To a moderate extent</t>
        </is>
      </c>
      <c r="FJ9" s="6" t="inlineStr">
        <is>
          <t>To a slight extent</t>
        </is>
      </c>
      <c r="FK9" s="6" t="inlineStr">
        <is>
          <t>To a moderate extent</t>
        </is>
      </c>
      <c r="FL9" s="6" t="inlineStr">
        <is>
          <t>To a moderate extent</t>
        </is>
      </c>
      <c r="FM9" s="6" t="inlineStr">
        <is>
          <t>To a moderate extent</t>
        </is>
      </c>
      <c r="FN9" s="6" t="inlineStr">
        <is>
          <t>To a moderate extent</t>
        </is>
      </c>
      <c r="FO9" s="6" t="inlineStr">
        <is>
          <t>To a slight extent</t>
        </is>
      </c>
      <c r="FP9" s="6" t="inlineStr">
        <is>
          <t>To a slight extent</t>
        </is>
      </c>
      <c r="FQ9" s="6" t="inlineStr">
        <is>
          <t>To a slight extent</t>
        </is>
      </c>
      <c r="FR9" s="6" t="inlineStr">
        <is>
          <t>To a great extent</t>
        </is>
      </c>
      <c r="FS9" s="6" t="inlineStr">
        <is>
          <t>To a great extent</t>
        </is>
      </c>
      <c r="FT9" s="6" t="inlineStr">
        <is>
          <t>To a great extent</t>
        </is>
      </c>
      <c r="FU9" s="6" t="inlineStr">
        <is>
          <t>Don’t know or not applicable</t>
        </is>
      </c>
      <c r="FV9" s="6" t="n"/>
      <c r="FW9" s="6" t="inlineStr">
        <is>
          <t>The IMF dedicated the appropriate amount of resources</t>
        </is>
      </c>
      <c r="FX9" s="6" t="n"/>
      <c r="FY9" s="6" t="inlineStr">
        <is>
          <t>To a moderate extent</t>
        </is>
      </c>
      <c r="FZ9" s="6" t="inlineStr">
        <is>
          <t>To a moderate extent</t>
        </is>
      </c>
      <c r="GA9" s="6" t="inlineStr">
        <is>
          <t>To a great extent</t>
        </is>
      </c>
      <c r="GB9" s="6" t="inlineStr">
        <is>
          <t>To a slight extent</t>
        </is>
      </c>
      <c r="GC9" s="6" t="inlineStr">
        <is>
          <t>Don’t know or not applicable</t>
        </is>
      </c>
      <c r="GD9" s="6" t="n"/>
      <c r="GE9" s="6" t="inlineStr">
        <is>
          <t>To a moderate extent</t>
        </is>
      </c>
      <c r="GF9" s="6" t="inlineStr">
        <is>
          <t>To a slight extent</t>
        </is>
      </c>
      <c r="GG9" s="6" t="inlineStr">
        <is>
          <t>To a great extent</t>
        </is>
      </c>
      <c r="GH9" s="6" t="inlineStr">
        <is>
          <t>Not at all</t>
        </is>
      </c>
      <c r="GI9" s="6" t="inlineStr">
        <is>
          <t>To a moderate extent</t>
        </is>
      </c>
      <c r="GJ9" s="6" t="inlineStr">
        <is>
          <t>To a moderate extent</t>
        </is>
      </c>
      <c r="GK9" s="6" t="n"/>
      <c r="GL9" s="7">
        <f>DATE(2025,6,13)+TIME(11,52,51)</f>
        <v/>
      </c>
    </row>
    <row r="10" ht="47.25" customHeight="1">
      <c r="A10" s="3" t="inlineStr">
        <is>
          <t>Ahmed</t>
        </is>
      </c>
      <c r="B10" s="3" t="inlineStr">
        <is>
          <t>Hassan</t>
        </is>
      </c>
      <c r="C10" s="3" t="inlineStr">
        <is>
          <t>ahassan@organization.org</t>
        </is>
      </c>
      <c r="D10" s="3" t="inlineStr">
        <is>
          <t>0M8D1CD0X</t>
        </is>
      </c>
      <c r="E10" s="3" t="n"/>
      <c r="F10" s="3" t="inlineStr">
        <is>
          <t>OEDAS</t>
        </is>
      </c>
      <c r="G10" s="3" t="n"/>
      <c r="H10" s="3" t="n"/>
      <c r="I10" s="3" t="n"/>
      <c r="J10" s="3" t="inlineStr">
        <is>
          <t>Madagascar</t>
        </is>
      </c>
      <c r="K10" s="3" t="n"/>
      <c r="L10" s="3" t="n"/>
      <c r="M10" s="3" t="n"/>
      <c r="N10" s="3" t="n"/>
      <c r="O10" s="3" t="n"/>
      <c r="P10" s="3" t="n"/>
      <c r="Q10" s="3" t="n"/>
      <c r="R10" s="3" t="n"/>
      <c r="S10" s="3" t="n"/>
      <c r="T10" s="3" t="n"/>
      <c r="U10" s="3" t="n"/>
      <c r="V10" s="3" t="n"/>
      <c r="W10" s="3" t="n"/>
      <c r="X10" s="3" t="n"/>
      <c r="Y10" s="3" t="n"/>
      <c r="Z10" s="3" t="n"/>
      <c r="AA10" s="3" t="n"/>
      <c r="AB10" s="3" t="n"/>
      <c r="AC10" s="3" t="n"/>
      <c r="AD10" s="3" t="n"/>
      <c r="AE10" s="3" t="n"/>
      <c r="AF10" s="4" t="inlineStr">
        <is>
          <t>Madagascar</t>
        </is>
      </c>
      <c r="AG10" s="3" t="inlineStr">
        <is>
          <t>The IMF should engage more on climate change-related issues</t>
        </is>
      </c>
      <c r="AH10" s="3" t="inlineStr">
        <is>
          <t>To a great extent</t>
        </is>
      </c>
      <c r="AI10" s="3" t="inlineStr">
        <is>
          <t>To a slight extent</t>
        </is>
      </c>
      <c r="AJ10" s="3" t="inlineStr">
        <is>
          <t>Don’t know or not applicable</t>
        </is>
      </c>
      <c r="AK10" s="3" t="inlineStr">
        <is>
          <t>To a slight extent</t>
        </is>
      </c>
      <c r="AL10" s="3" t="inlineStr">
        <is>
          <t>To a moderate extent</t>
        </is>
      </c>
      <c r="AM10" s="3" t="inlineStr">
        <is>
          <t>To a great extent</t>
        </is>
      </c>
      <c r="AN10" s="3" t="inlineStr">
        <is>
          <t>To a moderate extent</t>
        </is>
      </c>
      <c r="AO10" s="3" t="inlineStr">
        <is>
          <t>To a great extent</t>
        </is>
      </c>
      <c r="AP10" s="3" t="inlineStr">
        <is>
          <t>To a great extent</t>
        </is>
      </c>
      <c r="AQ10" s="3" t="inlineStr">
        <is>
          <t>To a moderate extent</t>
        </is>
      </c>
      <c r="AR10" s="3" t="inlineStr">
        <is>
          <t>Don’t know or not applicable</t>
        </is>
      </c>
      <c r="AS10" s="3" t="n"/>
      <c r="AT10" s="3" t="inlineStr">
        <is>
          <t>To a great extent</t>
        </is>
      </c>
      <c r="AU10" s="3" t="inlineStr">
        <is>
          <t>To a moderate extent</t>
        </is>
      </c>
      <c r="AV10" s="3" t="inlineStr">
        <is>
          <t>Don’t know or not applicable</t>
        </is>
      </c>
      <c r="AW10" s="3" t="inlineStr">
        <is>
          <t>To a moderate extent</t>
        </is>
      </c>
      <c r="AX10" s="3" t="inlineStr">
        <is>
          <t>To a moderate extent</t>
        </is>
      </c>
      <c r="AY10" s="3" t="inlineStr">
        <is>
          <t>Don’t know or not applicable</t>
        </is>
      </c>
      <c r="AZ10" s="3" t="inlineStr">
        <is>
          <t>To a moderate extent</t>
        </is>
      </c>
      <c r="BA10" s="3" t="inlineStr">
        <is>
          <t>Not at all</t>
        </is>
      </c>
      <c r="BB10" s="3" t="inlineStr">
        <is>
          <t>To a moderate extent</t>
        </is>
      </c>
      <c r="BC10" s="3" t="inlineStr">
        <is>
          <t>Don’t know or not applicable</t>
        </is>
      </c>
      <c r="BD10" s="3" t="inlineStr">
        <is>
          <t>Don’t know or not applicable</t>
        </is>
      </c>
      <c r="BE10" s="3" t="inlineStr">
        <is>
          <t>Don’t know or not applicable</t>
        </is>
      </c>
      <c r="BF10" s="3" t="inlineStr">
        <is>
          <t>Don’t know or not applicable</t>
        </is>
      </c>
      <c r="BG10" s="3" t="inlineStr">
        <is>
          <t>Don’t know or not applicable</t>
        </is>
      </c>
      <c r="BH10" s="3" t="inlineStr">
        <is>
          <t>Don’t know or not applicable</t>
        </is>
      </c>
      <c r="BI10" s="3" t="inlineStr">
        <is>
          <t>Don’t know or not applicable</t>
        </is>
      </c>
      <c r="BJ10" s="3" t="inlineStr">
        <is>
          <t>To a great extent</t>
        </is>
      </c>
      <c r="BK10" s="3" t="inlineStr">
        <is>
          <t>Not at all</t>
        </is>
      </c>
      <c r="BL10" s="3" t="inlineStr">
        <is>
          <t>To a moderate extent</t>
        </is>
      </c>
      <c r="BM10" s="3" t="inlineStr">
        <is>
          <t>To a moderate extent</t>
        </is>
      </c>
      <c r="BN10" s="3" t="inlineStr">
        <is>
          <t>Don’t know or not applicable</t>
        </is>
      </c>
      <c r="BO10" s="3" t="inlineStr">
        <is>
          <t>Don’t know or not applicable</t>
        </is>
      </c>
      <c r="BP10" s="3" t="inlineStr">
        <is>
          <t>Don’t know or not applicable</t>
        </is>
      </c>
      <c r="BQ10" s="3" t="inlineStr">
        <is>
          <t>Don’t know or not applicable</t>
        </is>
      </c>
      <c r="BR10" s="3" t="inlineStr">
        <is>
          <t>Don’t know or not applicable</t>
        </is>
      </c>
      <c r="BS10" s="3" t="n"/>
      <c r="BT10" s="3" t="n"/>
      <c r="BU10" s="3" t="inlineStr">
        <is>
          <t>Don’t know or not applicable</t>
        </is>
      </c>
      <c r="BV10" s="3" t="inlineStr">
        <is>
          <t>Don’t know or not applicable</t>
        </is>
      </c>
      <c r="BW10" s="3" t="inlineStr">
        <is>
          <t>Don’t know or not applicable</t>
        </is>
      </c>
      <c r="BX10" s="3" t="inlineStr">
        <is>
          <t>Don’t know or not applicable</t>
        </is>
      </c>
      <c r="BY10" s="3" t="inlineStr">
        <is>
          <t>Don’t know or not applicable</t>
        </is>
      </c>
      <c r="BZ10" s="3" t="inlineStr">
        <is>
          <t>Don’t know or not applicable</t>
        </is>
      </c>
      <c r="CA10" s="3" t="inlineStr">
        <is>
          <t>Don’t know or not applicable</t>
        </is>
      </c>
      <c r="CB10" s="3" t="inlineStr">
        <is>
          <t>Don’t know or not applicable</t>
        </is>
      </c>
      <c r="CC10" s="3" t="inlineStr">
        <is>
          <t>Don’t know or not applicable</t>
        </is>
      </c>
      <c r="CD10" s="3" t="inlineStr">
        <is>
          <t>Don’t know or not applicable</t>
        </is>
      </c>
      <c r="CE10" s="3" t="inlineStr">
        <is>
          <t>Don’t know or not applicable</t>
        </is>
      </c>
      <c r="CF10" s="3" t="inlineStr">
        <is>
          <t>Don’t know or not applicable</t>
        </is>
      </c>
      <c r="CG10" s="3" t="n"/>
      <c r="CH10" s="3" t="inlineStr">
        <is>
          <t>Yes</t>
        </is>
      </c>
      <c r="CI10" s="3" t="inlineStr">
        <is>
          <t>Yes</t>
        </is>
      </c>
      <c r="CJ10" s="3" t="inlineStr">
        <is>
          <t>To a moderate extent</t>
        </is>
      </c>
      <c r="CK10" s="3" t="inlineStr">
        <is>
          <t>To a great extent</t>
        </is>
      </c>
      <c r="CL10" s="3" t="inlineStr">
        <is>
          <t>To a great extent</t>
        </is>
      </c>
      <c r="CM10" s="3" t="inlineStr">
        <is>
          <t>To a great extent</t>
        </is>
      </c>
      <c r="CN10" s="3" t="inlineStr">
        <is>
          <t>To a great extent</t>
        </is>
      </c>
      <c r="CO10" s="3" t="inlineStr">
        <is>
          <t>To a great extent</t>
        </is>
      </c>
      <c r="CP10" s="3" t="inlineStr">
        <is>
          <t>Don’t know or not applicable</t>
        </is>
      </c>
      <c r="CQ10" s="3" t="inlineStr">
        <is>
          <t>To a great extent</t>
        </is>
      </c>
      <c r="CR10" s="3" t="inlineStr">
        <is>
          <t>Don’t know or not applicable</t>
        </is>
      </c>
      <c r="CS10" s="3" t="inlineStr">
        <is>
          <t>To a great extent</t>
        </is>
      </c>
      <c r="CT10" s="3" t="inlineStr">
        <is>
          <t>To a great extent</t>
        </is>
      </c>
      <c r="CU10" s="3" t="inlineStr">
        <is>
          <t>To a slight extent</t>
        </is>
      </c>
      <c r="CV10" s="3" t="inlineStr">
        <is>
          <t>To a moderate extent</t>
        </is>
      </c>
      <c r="CW10" s="3" t="inlineStr">
        <is>
          <t>To a great extent</t>
        </is>
      </c>
      <c r="CX10" s="3" t="inlineStr">
        <is>
          <t>To a great extent</t>
        </is>
      </c>
      <c r="CY10" s="3" t="inlineStr">
        <is>
          <t>To a great extent</t>
        </is>
      </c>
      <c r="CZ10" s="3" t="inlineStr">
        <is>
          <t>To a moderate extent</t>
        </is>
      </c>
      <c r="DA10" s="3" t="inlineStr">
        <is>
          <t>To a slight extent</t>
        </is>
      </c>
      <c r="DB10" s="3" t="inlineStr">
        <is>
          <t>Additional new spending</t>
        </is>
      </c>
      <c r="DC10" s="3" t="n"/>
      <c r="DD10" s="3" t="n"/>
      <c r="DE10" s="3" t="n"/>
      <c r="DF10" s="3" t="inlineStr">
        <is>
          <t>Climate change-related policies</t>
        </is>
      </c>
      <c r="DG10" s="3" t="n"/>
      <c r="DH10" s="3" t="inlineStr">
        <is>
          <t>To a great extent</t>
        </is>
      </c>
      <c r="DI10" s="3" t="inlineStr">
        <is>
          <t>Don’t know or not applicable</t>
        </is>
      </c>
      <c r="DJ10" s="3" t="inlineStr">
        <is>
          <t>To a moderate extent</t>
        </is>
      </c>
      <c r="DK10" s="3" t="inlineStr">
        <is>
          <t>To a great extent</t>
        </is>
      </c>
      <c r="DL10" s="3" t="inlineStr">
        <is>
          <t>To a slight extent</t>
        </is>
      </c>
      <c r="DM10" s="3" t="inlineStr">
        <is>
          <t>To a moderate extent</t>
        </is>
      </c>
      <c r="DN10" s="3" t="inlineStr">
        <is>
          <t>Don’t know or not applicable</t>
        </is>
      </c>
      <c r="DO10" s="3" t="n"/>
      <c r="DP10" s="3" t="n"/>
      <c r="DQ10" s="3" t="n"/>
      <c r="DR10" s="3" t="n"/>
      <c r="DS10" s="3" t="n"/>
      <c r="DT10" s="3" t="n"/>
      <c r="DU10" s="3" t="n"/>
      <c r="DV10" s="3" t="n"/>
      <c r="DW10" s="3" t="inlineStr">
        <is>
          <t>Yes</t>
        </is>
      </c>
      <c r="DX10" s="3" t="inlineStr">
        <is>
          <t>World Bank Group</t>
        </is>
      </c>
      <c r="DY10" s="3" t="n"/>
      <c r="DZ10" s="3" t="inlineStr">
        <is>
          <t>Bilateral sources</t>
        </is>
      </c>
      <c r="EA10" s="3" t="n"/>
      <c r="EB10" s="3" t="n"/>
      <c r="EC10" s="3" t="inlineStr">
        <is>
          <t>To a great extent</t>
        </is>
      </c>
      <c r="ED10" s="3" t="inlineStr">
        <is>
          <t>To a moderate extent</t>
        </is>
      </c>
      <c r="EE10" s="3" t="inlineStr">
        <is>
          <t>To a great extent</t>
        </is>
      </c>
      <c r="EF10" s="3" t="inlineStr">
        <is>
          <t>To a great extent</t>
        </is>
      </c>
      <c r="EG10" s="3" t="inlineStr">
        <is>
          <t>To a moderate extent</t>
        </is>
      </c>
      <c r="EH10" s="3" t="inlineStr">
        <is>
          <t>Don’t know or not applicable</t>
        </is>
      </c>
      <c r="EI10" s="3" t="inlineStr">
        <is>
          <t>To a moderate extent</t>
        </is>
      </c>
      <c r="EJ10" s="3" t="inlineStr">
        <is>
          <t>To a great extent</t>
        </is>
      </c>
      <c r="EK10" s="3" t="inlineStr">
        <is>
          <t>To a great extent</t>
        </is>
      </c>
      <c r="EL10" s="3" t="inlineStr">
        <is>
          <t>To a great extent</t>
        </is>
      </c>
      <c r="EM10" s="3" t="inlineStr">
        <is>
          <t>To a moderate extent</t>
        </is>
      </c>
      <c r="EN10" s="3" t="inlineStr">
        <is>
          <t>To a slight extent</t>
        </is>
      </c>
      <c r="EO10" s="3" t="inlineStr">
        <is>
          <t>To a moderate extent</t>
        </is>
      </c>
      <c r="EP10" s="3" t="n"/>
      <c r="EQ10" s="3" t="inlineStr">
        <is>
          <t>To a slight extent</t>
        </is>
      </c>
      <c r="ER10" s="3" t="inlineStr">
        <is>
          <t>To a slight extent</t>
        </is>
      </c>
      <c r="ES10" s="3" t="n"/>
      <c r="ET10" s="3" t="inlineStr">
        <is>
          <t>Don’t know or not applicable</t>
        </is>
      </c>
      <c r="EU10" s="3" t="inlineStr">
        <is>
          <t>Don’t know or not applicable</t>
        </is>
      </c>
      <c r="EV10" s="3" t="inlineStr">
        <is>
          <t>Don’t know or not applicable</t>
        </is>
      </c>
      <c r="EW10" s="3" t="inlineStr">
        <is>
          <t>Don’t know or not applicable</t>
        </is>
      </c>
      <c r="EX10" s="3" t="n"/>
      <c r="EY10" s="3" t="inlineStr">
        <is>
          <t>Don’t know or not applicable</t>
        </is>
      </c>
      <c r="EZ10" s="3" t="inlineStr">
        <is>
          <t>Don’t know or not applicable</t>
        </is>
      </c>
      <c r="FA10" s="3" t="inlineStr">
        <is>
          <t>Don’t know or not applicable</t>
        </is>
      </c>
      <c r="FB10" s="3" t="inlineStr">
        <is>
          <t>Don’t know or not applicable</t>
        </is>
      </c>
      <c r="FC10" s="3" t="inlineStr">
        <is>
          <t>Don’t know or not applicable</t>
        </is>
      </c>
      <c r="FD10" s="3" t="inlineStr">
        <is>
          <t>Don’t know or not applicable</t>
        </is>
      </c>
      <c r="FE10" s="3" t="inlineStr">
        <is>
          <t>Don’t know or not applicable</t>
        </is>
      </c>
      <c r="FF10" s="3" t="inlineStr">
        <is>
          <t>Don’t know or not applicable</t>
        </is>
      </c>
      <c r="FG10" s="3" t="inlineStr">
        <is>
          <t>Don’t know or not applicable</t>
        </is>
      </c>
      <c r="FH10" s="3" t="inlineStr">
        <is>
          <t>Don’t know or not applicable</t>
        </is>
      </c>
      <c r="FI10" s="3" t="inlineStr">
        <is>
          <t>Don’t know or not applicable</t>
        </is>
      </c>
      <c r="FJ10" s="3" t="inlineStr">
        <is>
          <t>Don’t know or not applicable</t>
        </is>
      </c>
      <c r="FK10" s="3" t="inlineStr">
        <is>
          <t>Don’t know or not applicable</t>
        </is>
      </c>
      <c r="FL10" s="3" t="inlineStr">
        <is>
          <t>Don’t know or not applicable</t>
        </is>
      </c>
      <c r="FM10" s="3" t="inlineStr">
        <is>
          <t>Don’t know or not applicable</t>
        </is>
      </c>
      <c r="FN10" s="3" t="inlineStr">
        <is>
          <t>Don’t know or not applicable</t>
        </is>
      </c>
      <c r="FO10" s="3" t="inlineStr">
        <is>
          <t>Don’t know or not applicable</t>
        </is>
      </c>
      <c r="FP10" s="3" t="inlineStr">
        <is>
          <t>Don’t know or not applicable</t>
        </is>
      </c>
      <c r="FQ10" s="3" t="inlineStr">
        <is>
          <t>Don’t know or not applicable</t>
        </is>
      </c>
      <c r="FR10" s="3" t="inlineStr">
        <is>
          <t>Don’t know or not applicable</t>
        </is>
      </c>
      <c r="FS10" s="3" t="inlineStr">
        <is>
          <t>Don’t know or not applicable</t>
        </is>
      </c>
      <c r="FT10" s="3" t="inlineStr">
        <is>
          <t>Don’t know or not applicable</t>
        </is>
      </c>
      <c r="FU10" s="3" t="inlineStr">
        <is>
          <t>Don’t know or not applicable</t>
        </is>
      </c>
      <c r="FV10" s="3" t="n"/>
      <c r="FW10" s="3" t="n"/>
      <c r="FX10" s="3" t="n"/>
      <c r="FY10" s="3" t="inlineStr">
        <is>
          <t>To a moderate extent</t>
        </is>
      </c>
      <c r="FZ10" s="3" t="inlineStr">
        <is>
          <t>To a great extent</t>
        </is>
      </c>
      <c r="GA10" s="3" t="inlineStr">
        <is>
          <t>To a moderate extent</t>
        </is>
      </c>
      <c r="GB10" s="3" t="inlineStr">
        <is>
          <t>To a great extent</t>
        </is>
      </c>
      <c r="GC10" s="3" t="n"/>
      <c r="GD10" s="3" t="n"/>
      <c r="GE10" s="3" t="inlineStr">
        <is>
          <t>To a great extent</t>
        </is>
      </c>
      <c r="GF10" s="3" t="inlineStr">
        <is>
          <t>To a great extent</t>
        </is>
      </c>
      <c r="GG10" s="3" t="inlineStr">
        <is>
          <t>To a great extent</t>
        </is>
      </c>
      <c r="GH10" s="3" t="inlineStr">
        <is>
          <t>To a great extent</t>
        </is>
      </c>
      <c r="GI10" s="3" t="inlineStr">
        <is>
          <t>To a great extent</t>
        </is>
      </c>
      <c r="GJ10" s="3" t="inlineStr">
        <is>
          <t>To a great extent</t>
        </is>
      </c>
      <c r="GK10" s="3" t="n"/>
      <c r="GL10" s="5">
        <f>DATE(2025,6,13)+TIME(12,39,11)</f>
        <v/>
      </c>
    </row>
    <row r="11" ht="393.75" customHeight="1">
      <c r="A11" s="6" t="inlineStr">
        <is>
          <t>Henrik</t>
        </is>
      </c>
      <c r="B11" s="6" t="inlineStr">
        <is>
          <t>Reddy</t>
        </is>
      </c>
      <c r="C11" s="6" t="inlineStr">
        <is>
          <t>hreddy@organization.org</t>
        </is>
      </c>
      <c r="D11" s="6" t="inlineStr">
        <is>
          <t>51W3HHQVK</t>
        </is>
      </c>
      <c r="E11" s="6" t="n"/>
      <c r="F11" s="6" t="inlineStr">
        <is>
          <t>OEDMI</t>
        </is>
      </c>
      <c r="G11" s="6" t="n"/>
      <c r="H11" s="6" t="n"/>
      <c r="I11" s="6" t="n"/>
      <c r="J11" s="6" t="n"/>
      <c r="K11" s="6" t="n"/>
      <c r="L11" s="6" t="n"/>
      <c r="M11" s="6" t="n"/>
      <c r="N11" s="6" t="n"/>
      <c r="O11" s="6" t="n"/>
      <c r="P11" s="6" t="n"/>
      <c r="Q11" s="6" t="n"/>
      <c r="R11" s="6" t="n"/>
      <c r="S11" s="6" t="n"/>
      <c r="T11" s="6" t="n"/>
      <c r="U11" s="6" t="n"/>
      <c r="V11" s="6" t="n"/>
      <c r="W11" s="6" t="inlineStr">
        <is>
          <t>Jordan</t>
        </is>
      </c>
      <c r="X11" s="6" t="n"/>
      <c r="Y11" s="6" t="n"/>
      <c r="Z11" s="6" t="n"/>
      <c r="AA11" s="6" t="n"/>
      <c r="AB11" s="6" t="n"/>
      <c r="AC11" s="6" t="n"/>
      <c r="AD11" s="6" t="n"/>
      <c r="AE11" s="6" t="n"/>
      <c r="AF11" s="4" t="inlineStr">
        <is>
          <t>Jordan</t>
        </is>
      </c>
      <c r="AG11" s="6" t="inlineStr">
        <is>
          <t>The IMF should engage less on climate change-related issues</t>
        </is>
      </c>
      <c r="AH11" s="6" t="inlineStr">
        <is>
          <t>To a moderate extent</t>
        </is>
      </c>
      <c r="AI11" s="6" t="inlineStr">
        <is>
          <t>To a moderate extent</t>
        </is>
      </c>
      <c r="AJ11" s="6" t="inlineStr">
        <is>
          <t>To a moderate extent</t>
        </is>
      </c>
      <c r="AK11" s="6" t="inlineStr">
        <is>
          <t>To a moderate extent</t>
        </is>
      </c>
      <c r="AL11" s="6" t="inlineStr">
        <is>
          <t>To a moderate extent</t>
        </is>
      </c>
      <c r="AM11" s="6" t="inlineStr">
        <is>
          <t>To a great extent</t>
        </is>
      </c>
      <c r="AN11" s="6" t="inlineStr">
        <is>
          <t>To a moderate extent</t>
        </is>
      </c>
      <c r="AO11" s="6" t="inlineStr">
        <is>
          <t>To a great extent</t>
        </is>
      </c>
      <c r="AP11" s="6" t="inlineStr">
        <is>
          <t>To a moderate extent</t>
        </is>
      </c>
      <c r="AQ11" s="6" t="inlineStr">
        <is>
          <t>Don’t know or not applicable</t>
        </is>
      </c>
      <c r="AR11" s="6" t="inlineStr">
        <is>
          <t>To a moderate extent</t>
        </is>
      </c>
      <c r="AS11" s="6" t="n"/>
      <c r="AT11" s="6" t="inlineStr">
        <is>
          <t>Not at all</t>
        </is>
      </c>
      <c r="AU11" s="6" t="inlineStr">
        <is>
          <t>To a great extent</t>
        </is>
      </c>
      <c r="AV11" s="6" t="inlineStr">
        <is>
          <t>To a slight extent</t>
        </is>
      </c>
      <c r="AW11" s="6" t="inlineStr">
        <is>
          <t>To a moderate extent</t>
        </is>
      </c>
      <c r="AX11" s="6" t="inlineStr">
        <is>
          <t>To a moderate extent</t>
        </is>
      </c>
      <c r="AY11" s="6" t="inlineStr">
        <is>
          <t>To a moderate extent</t>
        </is>
      </c>
      <c r="AZ11" s="6" t="inlineStr">
        <is>
          <t>To a slight extent</t>
        </is>
      </c>
      <c r="BA11" s="6" t="inlineStr">
        <is>
          <t>To a great extent</t>
        </is>
      </c>
      <c r="BB11" s="6" t="inlineStr">
        <is>
          <t>To a great extent</t>
        </is>
      </c>
      <c r="BC11" s="6" t="inlineStr">
        <is>
          <t>To a moderate extent</t>
        </is>
      </c>
      <c r="BD11" s="6" t="inlineStr">
        <is>
          <t>To a slight extent</t>
        </is>
      </c>
      <c r="BE11" s="6" t="inlineStr">
        <is>
          <t>To a slight extent</t>
        </is>
      </c>
      <c r="BF11" s="6" t="inlineStr">
        <is>
          <t>To a slight extent</t>
        </is>
      </c>
      <c r="BG11" s="6" t="inlineStr">
        <is>
          <t>To a moderate extent</t>
        </is>
      </c>
      <c r="BH11" s="6" t="inlineStr">
        <is>
          <t>To a moderate extent</t>
        </is>
      </c>
      <c r="BI11" s="6" t="inlineStr">
        <is>
          <t>To a moderate extent</t>
        </is>
      </c>
      <c r="BJ11" s="6" t="inlineStr">
        <is>
          <t>To a slight extent</t>
        </is>
      </c>
      <c r="BK11" s="6" t="inlineStr">
        <is>
          <t>To a great extent</t>
        </is>
      </c>
      <c r="BL11" s="6" t="inlineStr">
        <is>
          <t>To a moderate extent</t>
        </is>
      </c>
      <c r="BM11" s="6" t="inlineStr">
        <is>
          <t>To a moderate extent</t>
        </is>
      </c>
      <c r="BN11" s="6" t="inlineStr">
        <is>
          <t>To a slight extent</t>
        </is>
      </c>
      <c r="BO11" s="6" t="inlineStr">
        <is>
          <t>To a great extent</t>
        </is>
      </c>
      <c r="BP11" s="6" t="inlineStr">
        <is>
          <t>Don’t know or not applicable</t>
        </is>
      </c>
      <c r="BQ11" s="6" t="inlineStr">
        <is>
          <t>To a great extent</t>
        </is>
      </c>
      <c r="BR11" s="6" t="inlineStr">
        <is>
          <t>Don’t know or not applicable</t>
        </is>
      </c>
      <c r="BS11" s="6" t="n"/>
      <c r="BT11" s="6" t="inlineStr">
        <is>
          <t>The IMF should have dedicated less resources</t>
        </is>
      </c>
      <c r="BU11" s="6" t="inlineStr">
        <is>
          <t>To a great extent</t>
        </is>
      </c>
      <c r="BV11" s="6" t="inlineStr">
        <is>
          <t>To a slight extent</t>
        </is>
      </c>
      <c r="BW11" s="6" t="inlineStr">
        <is>
          <t>To a great extent</t>
        </is>
      </c>
      <c r="BX11" s="6" t="inlineStr">
        <is>
          <t>To a great extent</t>
        </is>
      </c>
      <c r="BY11" s="6" t="inlineStr">
        <is>
          <t>To a slight extent</t>
        </is>
      </c>
      <c r="BZ11" s="6" t="inlineStr">
        <is>
          <t>To a great extent</t>
        </is>
      </c>
      <c r="CA11" s="6" t="inlineStr">
        <is>
          <t>To a great extent</t>
        </is>
      </c>
      <c r="CB11" s="6" t="inlineStr">
        <is>
          <t>To a slight extent</t>
        </is>
      </c>
      <c r="CC11" s="6" t="inlineStr">
        <is>
          <t>To a great extent</t>
        </is>
      </c>
      <c r="CD11" s="6" t="inlineStr">
        <is>
          <t>To a great extent</t>
        </is>
      </c>
      <c r="CE11" s="6" t="inlineStr">
        <is>
          <t>To a slight extent</t>
        </is>
      </c>
      <c r="CF11" s="6" t="inlineStr">
        <is>
          <t>To a great extent</t>
        </is>
      </c>
      <c r="CG11" s="6" t="n"/>
      <c r="CH11" s="6" t="inlineStr">
        <is>
          <t>Yes</t>
        </is>
      </c>
      <c r="CI11" s="6" t="inlineStr">
        <is>
          <t>Yes</t>
        </is>
      </c>
      <c r="CJ11" s="6" t="inlineStr">
        <is>
          <t>To a great extent</t>
        </is>
      </c>
      <c r="CK11" s="6" t="inlineStr">
        <is>
          <t>To a great extent</t>
        </is>
      </c>
      <c r="CL11" s="6" t="inlineStr">
        <is>
          <t>To a great extent</t>
        </is>
      </c>
      <c r="CM11" s="6" t="inlineStr">
        <is>
          <t>To a great extent</t>
        </is>
      </c>
      <c r="CN11" s="6" t="inlineStr">
        <is>
          <t>To a great extent</t>
        </is>
      </c>
      <c r="CO11" s="6" t="inlineStr">
        <is>
          <t>To a great extent</t>
        </is>
      </c>
      <c r="CP11" s="6" t="inlineStr">
        <is>
          <t>To a great extent</t>
        </is>
      </c>
      <c r="CQ11" s="6" t="inlineStr">
        <is>
          <t>To a great extent</t>
        </is>
      </c>
      <c r="CR11" s="6" t="inlineStr">
        <is>
          <t>To a great extent</t>
        </is>
      </c>
      <c r="CS11" s="6" t="inlineStr">
        <is>
          <t>To a great extent</t>
        </is>
      </c>
      <c r="CT11" s="6" t="inlineStr">
        <is>
          <t>To a great extent</t>
        </is>
      </c>
      <c r="CU11" s="6" t="inlineStr">
        <is>
          <t>To a moderate extent</t>
        </is>
      </c>
      <c r="CV11" s="6" t="inlineStr">
        <is>
          <t>To a moderate extent</t>
        </is>
      </c>
      <c r="CW11" s="6" t="inlineStr">
        <is>
          <t>To a moderate extent</t>
        </is>
      </c>
      <c r="CX11" s="6" t="inlineStr">
        <is>
          <t>Don’t know or not applicable</t>
        </is>
      </c>
      <c r="CY11" s="6" t="inlineStr">
        <is>
          <t>Don’t know or not applicable</t>
        </is>
      </c>
      <c r="CZ11" s="6" t="inlineStr">
        <is>
          <t>To a moderate extent</t>
        </is>
      </c>
      <c r="DA11" s="6" t="inlineStr">
        <is>
          <t>Don’t know or not applicable</t>
        </is>
      </c>
      <c r="DB11" s="6" t="n"/>
      <c r="DC11" s="6" t="n"/>
      <c r="DD11" s="6" t="inlineStr">
        <is>
          <t>Refinancing existing borrowing</t>
        </is>
      </c>
      <c r="DE11" s="6" t="n"/>
      <c r="DF11" s="6" t="n"/>
      <c r="DG11" s="6" t="n"/>
      <c r="DH11" s="6" t="inlineStr">
        <is>
          <t>Not at all</t>
        </is>
      </c>
      <c r="DI11" s="6" t="inlineStr">
        <is>
          <t>To a moderate extent</t>
        </is>
      </c>
      <c r="DJ11" s="6" t="inlineStr">
        <is>
          <t>To a slight extent</t>
        </is>
      </c>
      <c r="DK11" s="6" t="inlineStr">
        <is>
          <t>To a great extent</t>
        </is>
      </c>
      <c r="DL11" s="6" t="inlineStr">
        <is>
          <t>Don’t know or not applicable</t>
        </is>
      </c>
      <c r="DM11" s="6" t="inlineStr">
        <is>
          <t>To a great extent</t>
        </is>
      </c>
      <c r="DN11" s="6" t="inlineStr">
        <is>
          <t>Don’t know or not applicable</t>
        </is>
      </c>
      <c r="DO11" s="6" t="n"/>
      <c r="DP11" s="6" t="n"/>
      <c r="DQ11" s="6" t="n"/>
      <c r="DR11" s="6" t="n"/>
      <c r="DS11" s="6" t="n"/>
      <c r="DT11" s="6" t="n"/>
      <c r="DU11" s="6" t="n"/>
      <c r="DV11" s="6" t="n"/>
      <c r="DW11" s="6" t="inlineStr">
        <is>
          <t>Yes</t>
        </is>
      </c>
      <c r="DX11" s="6" t="inlineStr">
        <is>
          <t>World Bank Group</t>
        </is>
      </c>
      <c r="DY11" s="6" t="inlineStr">
        <is>
          <t>Regional development banks</t>
        </is>
      </c>
      <c r="DZ11" s="6" t="inlineStr">
        <is>
          <t>Bilateral sources</t>
        </is>
      </c>
      <c r="EA11" s="6" t="n"/>
      <c r="EB11" s="6" t="n"/>
      <c r="EC11" s="6" t="inlineStr">
        <is>
          <t>To a great extent</t>
        </is>
      </c>
      <c r="ED11" s="6" t="inlineStr">
        <is>
          <t>To a slight extent</t>
        </is>
      </c>
      <c r="EE11" s="6" t="inlineStr">
        <is>
          <t>To a moderate extent</t>
        </is>
      </c>
      <c r="EF11" s="6" t="inlineStr">
        <is>
          <t>To a great extent</t>
        </is>
      </c>
      <c r="EG11" s="6" t="inlineStr">
        <is>
          <t>To a slight extent</t>
        </is>
      </c>
      <c r="EH11" s="6" t="inlineStr">
        <is>
          <t>To a slight extent</t>
        </is>
      </c>
      <c r="EI11" s="6" t="inlineStr">
        <is>
          <t>To a great extent</t>
        </is>
      </c>
      <c r="EJ11" s="6" t="inlineStr">
        <is>
          <t>To a great extent</t>
        </is>
      </c>
      <c r="EK11" s="6" t="inlineStr">
        <is>
          <t>To a great extent</t>
        </is>
      </c>
      <c r="EL11" s="6" t="inlineStr">
        <is>
          <t>To a great extent</t>
        </is>
      </c>
      <c r="EM11" s="6" t="inlineStr">
        <is>
          <t>To a moderate extent</t>
        </is>
      </c>
      <c r="EN11" s="6" t="inlineStr">
        <is>
          <t>To a moderate extent</t>
        </is>
      </c>
      <c r="EO11" s="6" t="inlineStr">
        <is>
          <t>To a moderate extent</t>
        </is>
      </c>
      <c r="EP11" s="6" t="n"/>
      <c r="EQ11" s="6" t="inlineStr">
        <is>
          <t>To a moderate extent</t>
        </is>
      </c>
      <c r="ER11" s="6" t="inlineStr">
        <is>
          <t>To a moderate extent</t>
        </is>
      </c>
      <c r="ES11" s="6" t="n"/>
      <c r="ET11" s="6" t="inlineStr">
        <is>
          <t>To a moderate extent</t>
        </is>
      </c>
      <c r="EU11" s="6" t="inlineStr">
        <is>
          <t>To a moderate extent</t>
        </is>
      </c>
      <c r="EV11" s="6" t="inlineStr">
        <is>
          <t>To a moderate extent</t>
        </is>
      </c>
      <c r="EW11" s="6" t="inlineStr">
        <is>
          <t>Don’t know or not applicable</t>
        </is>
      </c>
      <c r="EX11" s="6" t="n"/>
      <c r="EY11" s="6" t="inlineStr">
        <is>
          <t>To a moderate extent</t>
        </is>
      </c>
      <c r="EZ11" s="6" t="inlineStr">
        <is>
          <t>Not at all</t>
        </is>
      </c>
      <c r="FA11" s="6" t="inlineStr">
        <is>
          <t>To a moderate extent</t>
        </is>
      </c>
      <c r="FB11" s="6" t="inlineStr">
        <is>
          <t>To a moderate extent</t>
        </is>
      </c>
      <c r="FC11" s="6" t="inlineStr">
        <is>
          <t>To a moderate extent</t>
        </is>
      </c>
      <c r="FD11" s="6" t="inlineStr">
        <is>
          <t>To a moderate extent</t>
        </is>
      </c>
      <c r="FE11" s="6" t="inlineStr">
        <is>
          <t>To a moderate extent</t>
        </is>
      </c>
      <c r="FF11" s="6" t="inlineStr">
        <is>
          <t>To a moderate extent</t>
        </is>
      </c>
      <c r="FG11" s="6" t="inlineStr">
        <is>
          <t>To a moderate extent</t>
        </is>
      </c>
      <c r="FH11" s="6" t="inlineStr">
        <is>
          <t>To a moderate extent</t>
        </is>
      </c>
      <c r="FI11" s="6" t="inlineStr">
        <is>
          <t>To a moderate extent</t>
        </is>
      </c>
      <c r="FJ11" s="6" t="inlineStr">
        <is>
          <t>To a slight extent</t>
        </is>
      </c>
      <c r="FK11" s="6" t="inlineStr">
        <is>
          <t>To a moderate extent</t>
        </is>
      </c>
      <c r="FL11" s="6" t="inlineStr">
        <is>
          <t>To a moderate extent</t>
        </is>
      </c>
      <c r="FM11" s="6" t="inlineStr">
        <is>
          <t>To a moderate extent</t>
        </is>
      </c>
      <c r="FN11" s="6" t="inlineStr">
        <is>
          <t>To a moderate extent</t>
        </is>
      </c>
      <c r="FO11" s="6" t="inlineStr">
        <is>
          <t>To a moderate extent</t>
        </is>
      </c>
      <c r="FP11" s="6" t="inlineStr">
        <is>
          <t>To a moderate extent</t>
        </is>
      </c>
      <c r="FQ11" s="6" t="inlineStr">
        <is>
          <t>To a moderate extent</t>
        </is>
      </c>
      <c r="FR11" s="6" t="inlineStr">
        <is>
          <t>To a great extent</t>
        </is>
      </c>
      <c r="FS11" s="6" t="inlineStr">
        <is>
          <t>To a great extent</t>
        </is>
      </c>
      <c r="FT11" s="6" t="inlineStr">
        <is>
          <t>To a great extent</t>
        </is>
      </c>
      <c r="FU11" s="6" t="inlineStr">
        <is>
          <t>Don’t know or not applicable</t>
        </is>
      </c>
      <c r="FV11" s="6" t="n"/>
      <c r="FW11" s="6" t="inlineStr">
        <is>
          <t>The IMF should have dedicated less resources</t>
        </is>
      </c>
      <c r="FX11" s="6" t="n"/>
      <c r="FY11" s="6" t="inlineStr">
        <is>
          <t>To a great extent</t>
        </is>
      </c>
      <c r="FZ11" s="6" t="inlineStr">
        <is>
          <t>To a slight extent</t>
        </is>
      </c>
      <c r="GA11" s="6" t="inlineStr">
        <is>
          <t>To a moderate extent</t>
        </is>
      </c>
      <c r="GB11" s="6" t="inlineStr">
        <is>
          <t>To a slight extent</t>
        </is>
      </c>
      <c r="GC11" s="6" t="inlineStr">
        <is>
          <t>Don’t know or not applicable</t>
        </is>
      </c>
      <c r="GD11" s="6" t="n"/>
      <c r="GE11" s="6" t="inlineStr">
        <is>
          <t>To a moderate extent</t>
        </is>
      </c>
      <c r="GF11" s="6" t="inlineStr">
        <is>
          <t>To a slight extent</t>
        </is>
      </c>
      <c r="GG11" s="6" t="inlineStr">
        <is>
          <t>To a slight extent</t>
        </is>
      </c>
      <c r="GH11" s="6" t="inlineStr">
        <is>
          <t>To a slight extent</t>
        </is>
      </c>
      <c r="GI11" s="6" t="inlineStr">
        <is>
          <t>To a moderate extent</t>
        </is>
      </c>
      <c r="GJ11" s="6" t="inlineStr">
        <is>
          <t>To a moderate extent</t>
        </is>
      </c>
      <c r="GK11" s="6" t="inlineStr">
        <is>
          <t>The Comprehensive Surveillance Review (CSR) should determine the
Fund's engagement in non-core areas, mindful of the need to
prioiritze the core mandate.
Such engagement should be conditional on macro-criticality, which
needs to be carefully defined in the context of the CSR.
This applies to the Fund's work on climate change-related issues.
When carried out, the Fund's work on climate change-related issues
should pay close attention to adaptation and transition challenges,
especially in countries facing heightened vulnerabilities.</t>
        </is>
      </c>
      <c r="GL11" s="7">
        <f>DATE(2025,6,12)+TIME(22,12,57)</f>
        <v/>
      </c>
    </row>
    <row r="12" ht="189" customHeight="1">
      <c r="A12" s="3" t="inlineStr">
        <is>
          <t>Ingrid</t>
        </is>
      </c>
      <c r="B12" s="3" t="inlineStr">
        <is>
          <t>Mensah</t>
        </is>
      </c>
      <c r="C12" s="3" t="inlineStr">
        <is>
          <t>imensah@organization.org</t>
        </is>
      </c>
      <c r="D12" s="3" t="inlineStr">
        <is>
          <t>RQFTCVDKN</t>
        </is>
      </c>
      <c r="E12" s="3" t="n"/>
      <c r="F12" s="3" t="inlineStr">
        <is>
          <t>OEDCE</t>
        </is>
      </c>
      <c r="G12" s="3" t="n"/>
      <c r="H12" s="3" t="n"/>
      <c r="I12" s="3" t="n"/>
      <c r="J12" s="3" t="n"/>
      <c r="K12" s="3" t="n"/>
      <c r="L12" s="3" t="n"/>
      <c r="M12" s="3" t="n"/>
      <c r="N12" s="3" t="inlineStr">
        <is>
          <t>Costa Rica</t>
        </is>
      </c>
      <c r="O12" s="3" t="n"/>
      <c r="P12" s="3" t="n"/>
      <c r="Q12" s="3" t="n"/>
      <c r="R12" s="3" t="n"/>
      <c r="S12" s="3" t="n"/>
      <c r="T12" s="3" t="n"/>
      <c r="U12" s="3" t="n"/>
      <c r="V12" s="3" t="n"/>
      <c r="W12" s="3" t="n"/>
      <c r="X12" s="3" t="n"/>
      <c r="Y12" s="3" t="n"/>
      <c r="Z12" s="3" t="n"/>
      <c r="AA12" s="3" t="n"/>
      <c r="AB12" s="3" t="n"/>
      <c r="AC12" s="3" t="n"/>
      <c r="AD12" s="3" t="n"/>
      <c r="AE12" s="3" t="n"/>
      <c r="AF12" s="4" t="inlineStr">
        <is>
          <t>Costa Rica</t>
        </is>
      </c>
      <c r="AG12" s="3" t="inlineStr">
        <is>
          <t>The IMF should engage more on climate change-related issues</t>
        </is>
      </c>
      <c r="AH12" s="3" t="inlineStr">
        <is>
          <t>To a moderate extent</t>
        </is>
      </c>
      <c r="AI12" s="3" t="inlineStr">
        <is>
          <t>To a moderate extent</t>
        </is>
      </c>
      <c r="AJ12" s="3" t="inlineStr">
        <is>
          <t>To a moderate extent</t>
        </is>
      </c>
      <c r="AK12" s="3" t="inlineStr">
        <is>
          <t>To a moderate extent</t>
        </is>
      </c>
      <c r="AL12" s="3" t="inlineStr">
        <is>
          <t>To a moderate extent</t>
        </is>
      </c>
      <c r="AM12" s="3" t="inlineStr">
        <is>
          <t>To a moderate extent</t>
        </is>
      </c>
      <c r="AN12" s="3" t="inlineStr">
        <is>
          <t>To a moderate extent</t>
        </is>
      </c>
      <c r="AO12" s="3" t="inlineStr">
        <is>
          <t>To a slight extent</t>
        </is>
      </c>
      <c r="AP12" s="3" t="inlineStr">
        <is>
          <t>To a slight extent</t>
        </is>
      </c>
      <c r="AQ12" s="3" t="inlineStr">
        <is>
          <t>To a moderate extent</t>
        </is>
      </c>
      <c r="AR12" s="3" t="inlineStr">
        <is>
          <t>To a great extent</t>
        </is>
      </c>
      <c r="AS12" s="3" t="n"/>
      <c r="AT12" s="3" t="inlineStr">
        <is>
          <t>To a slight extent</t>
        </is>
      </c>
      <c r="AU12" s="3" t="inlineStr">
        <is>
          <t>To a moderate extent</t>
        </is>
      </c>
      <c r="AV12" s="3" t="inlineStr">
        <is>
          <t>To a slight extent</t>
        </is>
      </c>
      <c r="AW12" s="3" t="inlineStr">
        <is>
          <t>To a slight extent</t>
        </is>
      </c>
      <c r="AX12" s="3" t="inlineStr">
        <is>
          <t>To a moderate extent</t>
        </is>
      </c>
      <c r="AY12" s="3" t="inlineStr">
        <is>
          <t>Don’t know or not applicable</t>
        </is>
      </c>
      <c r="AZ12" s="3" t="inlineStr">
        <is>
          <t>To a slight extent</t>
        </is>
      </c>
      <c r="BA12" s="3" t="inlineStr">
        <is>
          <t>To a slight extent</t>
        </is>
      </c>
      <c r="BB12" s="3" t="inlineStr">
        <is>
          <t>To a moderate extent</t>
        </is>
      </c>
      <c r="BC12" s="3" t="inlineStr">
        <is>
          <t>To a moderate extent</t>
        </is>
      </c>
      <c r="BD12" s="3" t="inlineStr">
        <is>
          <t>To a great extent</t>
        </is>
      </c>
      <c r="BE12" s="3" t="inlineStr">
        <is>
          <t>Not at all</t>
        </is>
      </c>
      <c r="BF12" s="3" t="inlineStr">
        <is>
          <t>Not at all</t>
        </is>
      </c>
      <c r="BG12" s="3" t="inlineStr">
        <is>
          <t>To a slight extent</t>
        </is>
      </c>
      <c r="BH12" s="3" t="inlineStr">
        <is>
          <t>To a moderate extent</t>
        </is>
      </c>
      <c r="BI12" s="3" t="inlineStr">
        <is>
          <t>Don’t know or not applicable</t>
        </is>
      </c>
      <c r="BJ12" s="3" t="inlineStr">
        <is>
          <t>To a slight extent</t>
        </is>
      </c>
      <c r="BK12" s="3" t="inlineStr">
        <is>
          <t>Not at all</t>
        </is>
      </c>
      <c r="BL12" s="3" t="inlineStr">
        <is>
          <t>To a slight extent</t>
        </is>
      </c>
      <c r="BM12" s="3" t="inlineStr">
        <is>
          <t>To a moderate extent</t>
        </is>
      </c>
      <c r="BN12" s="3" t="inlineStr">
        <is>
          <t>Don’t know or not applicable</t>
        </is>
      </c>
      <c r="BO12" s="3" t="inlineStr">
        <is>
          <t>Don’t know or not applicable</t>
        </is>
      </c>
      <c r="BP12" s="3" t="inlineStr">
        <is>
          <t>Don’t know or not applicable</t>
        </is>
      </c>
      <c r="BQ12" s="3" t="inlineStr">
        <is>
          <t>Don’t know or not applicable</t>
        </is>
      </c>
      <c r="BR12" s="3" t="inlineStr">
        <is>
          <t>Don’t know or not applicable</t>
        </is>
      </c>
      <c r="BS12" s="3" t="n"/>
      <c r="BT12" s="3" t="inlineStr">
        <is>
          <t>The IMF should have dedicated more resources</t>
        </is>
      </c>
      <c r="BU12" s="3" t="inlineStr">
        <is>
          <t>To a great extent</t>
        </is>
      </c>
      <c r="BV12" s="3" t="inlineStr">
        <is>
          <t>To a great extent</t>
        </is>
      </c>
      <c r="BW12" s="3" t="inlineStr">
        <is>
          <t>To a great extent</t>
        </is>
      </c>
      <c r="BX12" s="3" t="inlineStr">
        <is>
          <t>To a great extent</t>
        </is>
      </c>
      <c r="BY12" s="3" t="inlineStr">
        <is>
          <t>To a great extent</t>
        </is>
      </c>
      <c r="BZ12" s="3" t="inlineStr">
        <is>
          <t>To a great extent</t>
        </is>
      </c>
      <c r="CA12" s="3" t="inlineStr">
        <is>
          <t>To a great extent</t>
        </is>
      </c>
      <c r="CB12" s="3" t="inlineStr">
        <is>
          <t>To a great extent</t>
        </is>
      </c>
      <c r="CC12" s="3" t="inlineStr">
        <is>
          <t>To a great extent</t>
        </is>
      </c>
      <c r="CD12" s="3" t="inlineStr">
        <is>
          <t>To a great extent</t>
        </is>
      </c>
      <c r="CE12" s="3" t="inlineStr">
        <is>
          <t>To a great extent</t>
        </is>
      </c>
      <c r="CF12" s="3" t="inlineStr">
        <is>
          <t>To a great extent</t>
        </is>
      </c>
      <c r="CG12" s="3" t="n"/>
      <c r="CH12" s="3" t="inlineStr">
        <is>
          <t>Yes</t>
        </is>
      </c>
      <c r="CI12" s="3" t="inlineStr">
        <is>
          <t>No</t>
        </is>
      </c>
      <c r="CJ12" s="3" t="inlineStr">
        <is>
          <t>To a great extent</t>
        </is>
      </c>
      <c r="CK12" s="3" t="inlineStr">
        <is>
          <t>To a great extent</t>
        </is>
      </c>
      <c r="CL12" s="3" t="inlineStr">
        <is>
          <t>To a moderate extent</t>
        </is>
      </c>
      <c r="CM12" s="3" t="inlineStr">
        <is>
          <t>To a great extent</t>
        </is>
      </c>
      <c r="CN12" s="3" t="inlineStr">
        <is>
          <t>Don’t know or not applicable</t>
        </is>
      </c>
      <c r="CO12" s="3" t="inlineStr">
        <is>
          <t>To a slight extent</t>
        </is>
      </c>
      <c r="CP12" s="3" t="inlineStr">
        <is>
          <t>To a slight extent</t>
        </is>
      </c>
      <c r="CQ12" s="3" t="inlineStr">
        <is>
          <t>Don’t know or not applicable</t>
        </is>
      </c>
      <c r="CR12" s="3" t="inlineStr">
        <is>
          <t>To a great extent</t>
        </is>
      </c>
      <c r="CS12" s="3" t="inlineStr">
        <is>
          <t>To a great extent</t>
        </is>
      </c>
      <c r="CT12" s="3" t="inlineStr">
        <is>
          <t>To a moderate extent</t>
        </is>
      </c>
      <c r="CU12" s="3" t="inlineStr">
        <is>
          <t>To a great extent</t>
        </is>
      </c>
      <c r="CV12" s="3" t="inlineStr">
        <is>
          <t>To a moderate extent</t>
        </is>
      </c>
      <c r="CW12" s="3" t="inlineStr">
        <is>
          <t>To a great extent</t>
        </is>
      </c>
      <c r="CX12" s="3" t="inlineStr">
        <is>
          <t>To a moderate extent</t>
        </is>
      </c>
      <c r="CY12" s="3" t="inlineStr">
        <is>
          <t>To a great extent</t>
        </is>
      </c>
      <c r="CZ12" s="3" t="inlineStr">
        <is>
          <t>Don’t know or not applicable</t>
        </is>
      </c>
      <c r="DA12" s="3" t="inlineStr">
        <is>
          <t>To a moderate extent</t>
        </is>
      </c>
      <c r="DB12" s="3" t="n"/>
      <c r="DC12" s="3" t="n"/>
      <c r="DD12" s="3" t="n"/>
      <c r="DE12" s="3" t="n"/>
      <c r="DF12" s="3" t="n"/>
      <c r="DG12" s="3" t="inlineStr">
        <is>
          <t>Other (please specify) : We do not have that information to provide the details</t>
        </is>
      </c>
      <c r="DH12" s="3" t="inlineStr">
        <is>
          <t>Don’t know or not applicable</t>
        </is>
      </c>
      <c r="DI12" s="3" t="inlineStr">
        <is>
          <t>Don’t know or not applicable</t>
        </is>
      </c>
      <c r="DJ12" s="3" t="inlineStr">
        <is>
          <t>To a great extent</t>
        </is>
      </c>
      <c r="DK12" s="3" t="inlineStr">
        <is>
          <t>Not at all</t>
        </is>
      </c>
      <c r="DL12" s="3" t="inlineStr">
        <is>
          <t>Not at all</t>
        </is>
      </c>
      <c r="DM12" s="3" t="inlineStr">
        <is>
          <t>Not at all</t>
        </is>
      </c>
      <c r="DN12" s="3" t="inlineStr">
        <is>
          <t>Not at all</t>
        </is>
      </c>
      <c r="DO12" s="3" t="n"/>
      <c r="DP12" s="3" t="n"/>
      <c r="DQ12" s="3" t="n"/>
      <c r="DR12" s="3" t="n"/>
      <c r="DS12" s="3" t="n"/>
      <c r="DT12" s="3" t="n"/>
      <c r="DU12" s="3" t="n"/>
      <c r="DV12" s="3" t="n"/>
      <c r="DW12" s="3" t="inlineStr">
        <is>
          <t>Don't know</t>
        </is>
      </c>
      <c r="DX12" s="3" t="n"/>
      <c r="DY12" s="3" t="n"/>
      <c r="DZ12" s="3" t="n"/>
      <c r="EA12" s="3" t="n"/>
      <c r="EB12" s="3" t="n"/>
      <c r="EC12" s="3" t="n"/>
      <c r="ED12" s="3" t="n"/>
      <c r="EE12" s="3" t="n"/>
      <c r="EF12" s="3" t="inlineStr">
        <is>
          <t>To a slight extent</t>
        </is>
      </c>
      <c r="EG12" s="3" t="inlineStr">
        <is>
          <t>To a slight extent</t>
        </is>
      </c>
      <c r="EH12" s="3" t="inlineStr">
        <is>
          <t>To a slight extent</t>
        </is>
      </c>
      <c r="EI12" s="3" t="inlineStr">
        <is>
          <t>To a moderate extent</t>
        </is>
      </c>
      <c r="EJ12" s="3" t="inlineStr">
        <is>
          <t>To a great extent</t>
        </is>
      </c>
      <c r="EK12" s="3" t="inlineStr">
        <is>
          <t>To a great extent</t>
        </is>
      </c>
      <c r="EL12" s="3" t="inlineStr">
        <is>
          <t>To a great extent</t>
        </is>
      </c>
      <c r="EM12" s="3" t="n"/>
      <c r="EN12" s="3" t="n"/>
      <c r="EO12" s="3" t="n"/>
      <c r="EP12" s="3" t="n"/>
      <c r="EQ12" s="3" t="inlineStr">
        <is>
          <t>To a slight extent</t>
        </is>
      </c>
      <c r="ER12" s="3" t="inlineStr">
        <is>
          <t>To a slight extent</t>
        </is>
      </c>
      <c r="ES12" s="3" t="n"/>
      <c r="ET12" s="3" t="inlineStr">
        <is>
          <t>To a great extent</t>
        </is>
      </c>
      <c r="EU12" s="3" t="inlineStr">
        <is>
          <t>Not at all</t>
        </is>
      </c>
      <c r="EV12" s="3" t="inlineStr">
        <is>
          <t>Not at all</t>
        </is>
      </c>
      <c r="EW12" s="3" t="inlineStr">
        <is>
          <t>Don’t know or not applicable</t>
        </is>
      </c>
      <c r="EX12" s="3" t="n"/>
      <c r="EY12" s="3" t="inlineStr">
        <is>
          <t>To a moderate extent</t>
        </is>
      </c>
      <c r="EZ12" s="3" t="inlineStr">
        <is>
          <t>To a moderate extent</t>
        </is>
      </c>
      <c r="FA12" s="3" t="inlineStr">
        <is>
          <t>To a slight extent</t>
        </is>
      </c>
      <c r="FB12" s="3" t="inlineStr">
        <is>
          <t>To a slight extent</t>
        </is>
      </c>
      <c r="FC12" s="3" t="inlineStr">
        <is>
          <t>To a moderate extent</t>
        </is>
      </c>
      <c r="FD12" s="3" t="inlineStr">
        <is>
          <t>To a slight extent</t>
        </is>
      </c>
      <c r="FE12" s="3" t="inlineStr">
        <is>
          <t>To a moderate extent</t>
        </is>
      </c>
      <c r="FF12" s="3" t="inlineStr">
        <is>
          <t>To a moderate extent</t>
        </is>
      </c>
      <c r="FG12" s="3" t="inlineStr">
        <is>
          <t>To a moderate extent</t>
        </is>
      </c>
      <c r="FH12" s="3" t="inlineStr">
        <is>
          <t>Not at all</t>
        </is>
      </c>
      <c r="FI12" s="3" t="inlineStr">
        <is>
          <t>Not at all</t>
        </is>
      </c>
      <c r="FJ12" s="3" t="inlineStr">
        <is>
          <t>Not at all</t>
        </is>
      </c>
      <c r="FK12" s="3" t="inlineStr">
        <is>
          <t>Not at all</t>
        </is>
      </c>
      <c r="FL12" s="3" t="inlineStr">
        <is>
          <t>Not at all</t>
        </is>
      </c>
      <c r="FM12" s="3" t="inlineStr">
        <is>
          <t>Not at all</t>
        </is>
      </c>
      <c r="FN12" s="3" t="inlineStr">
        <is>
          <t>Not at all</t>
        </is>
      </c>
      <c r="FO12" s="3" t="inlineStr">
        <is>
          <t>To a slight extent</t>
        </is>
      </c>
      <c r="FP12" s="3" t="inlineStr">
        <is>
          <t>To a slight extent</t>
        </is>
      </c>
      <c r="FQ12" s="3" t="inlineStr">
        <is>
          <t>To a slight extent</t>
        </is>
      </c>
      <c r="FR12" s="3" t="inlineStr">
        <is>
          <t>Not at all</t>
        </is>
      </c>
      <c r="FS12" s="3" t="inlineStr">
        <is>
          <t>Not at all</t>
        </is>
      </c>
      <c r="FT12" s="3" t="inlineStr">
        <is>
          <t>Not at all</t>
        </is>
      </c>
      <c r="FU12" s="3" t="inlineStr">
        <is>
          <t>Not at all</t>
        </is>
      </c>
      <c r="FV12" s="3" t="n"/>
      <c r="FW12" s="3" t="inlineStr">
        <is>
          <t>The IMF should have dedicated more resources</t>
        </is>
      </c>
      <c r="FX12" s="3" t="n"/>
      <c r="FY12" s="3" t="inlineStr">
        <is>
          <t>To a great extent</t>
        </is>
      </c>
      <c r="FZ12" s="3" t="inlineStr">
        <is>
          <t>To a great extent</t>
        </is>
      </c>
      <c r="GA12" s="3" t="inlineStr">
        <is>
          <t>To a great extent</t>
        </is>
      </c>
      <c r="GB12" s="3" t="inlineStr">
        <is>
          <t>To a great extent</t>
        </is>
      </c>
      <c r="GC12" s="3" t="inlineStr">
        <is>
          <t>To a great extent</t>
        </is>
      </c>
      <c r="GD12" s="3" t="inlineStr">
        <is>
          <t>Support the explanation of the objectives of instruments such as the RSF to national institutions and policymakers in the recipient country. Assist technical institutions in designing reform measures by helping to build the political support needed for their effective implementation.</t>
        </is>
      </c>
      <c r="GE12" s="3" t="inlineStr">
        <is>
          <t>To a great extent</t>
        </is>
      </c>
      <c r="GF12" s="3" t="inlineStr">
        <is>
          <t>To a great extent</t>
        </is>
      </c>
      <c r="GG12" s="3" t="inlineStr">
        <is>
          <t>To a great extent</t>
        </is>
      </c>
      <c r="GH12" s="3" t="inlineStr">
        <is>
          <t>To a great extent</t>
        </is>
      </c>
      <c r="GI12" s="3" t="inlineStr">
        <is>
          <t>To a great extent</t>
        </is>
      </c>
      <c r="GJ12" s="3" t="inlineStr">
        <is>
          <t>To a great extent</t>
        </is>
      </c>
      <c r="GK12" s="3" t="n"/>
      <c r="GL12" s="5">
        <f>DATE(2025,6,13)+TIME(13,22,37)</f>
        <v/>
      </c>
    </row>
    <row r="13" ht="47.25" customHeight="1">
      <c r="A13" s="6" t="inlineStr">
        <is>
          <t>Ivan</t>
        </is>
      </c>
      <c r="B13" s="6" t="inlineStr">
        <is>
          <t>Sato</t>
        </is>
      </c>
      <c r="C13" s="6" t="inlineStr">
        <is>
          <t>isato@organization.org</t>
        </is>
      </c>
      <c r="D13" s="6" t="inlineStr">
        <is>
          <t>8DEJZ3QO1</t>
        </is>
      </c>
      <c r="E13" s="6" t="n"/>
      <c r="F13" s="6" t="inlineStr">
        <is>
          <t>OEDAS</t>
        </is>
      </c>
      <c r="G13" s="6" t="n"/>
      <c r="H13" s="6" t="n"/>
      <c r="I13" s="6" t="n"/>
      <c r="J13" s="6" t="inlineStr">
        <is>
          <t>Tanzania</t>
        </is>
      </c>
      <c r="K13" s="6" t="n"/>
      <c r="L13" s="6" t="n"/>
      <c r="M13" s="6" t="n"/>
      <c r="N13" s="6" t="n"/>
      <c r="O13" s="6" t="n"/>
      <c r="P13" s="6" t="n"/>
      <c r="Q13" s="6" t="n"/>
      <c r="R13" s="6" t="n"/>
      <c r="S13" s="6" t="n"/>
      <c r="T13" s="6" t="n"/>
      <c r="U13" s="6" t="n"/>
      <c r="V13" s="6" t="n"/>
      <c r="W13" s="6" t="n"/>
      <c r="X13" s="6" t="n"/>
      <c r="Y13" s="6" t="n"/>
      <c r="Z13" s="6" t="n"/>
      <c r="AA13" s="6" t="n"/>
      <c r="AB13" s="6" t="n"/>
      <c r="AC13" s="6" t="n"/>
      <c r="AD13" s="6" t="n"/>
      <c r="AE13" s="6" t="n"/>
      <c r="AF13" s="4" t="inlineStr">
        <is>
          <t>Tanzania</t>
        </is>
      </c>
      <c r="AG13" s="6" t="inlineStr">
        <is>
          <t>The IMF should engage more on climate change-related issues</t>
        </is>
      </c>
      <c r="AH13" s="6" t="inlineStr">
        <is>
          <t>To a moderate extent</t>
        </is>
      </c>
      <c r="AI13" s="6" t="inlineStr">
        <is>
          <t>To a moderate extent</t>
        </is>
      </c>
      <c r="AJ13" s="6" t="inlineStr">
        <is>
          <t>To a moderate extent</t>
        </is>
      </c>
      <c r="AK13" s="6" t="inlineStr">
        <is>
          <t>To a moderate extent</t>
        </is>
      </c>
      <c r="AL13" s="6" t="inlineStr">
        <is>
          <t>To a great extent</t>
        </is>
      </c>
      <c r="AM13" s="6" t="inlineStr">
        <is>
          <t>To a great extent</t>
        </is>
      </c>
      <c r="AN13" s="6" t="inlineStr">
        <is>
          <t>Not at all</t>
        </is>
      </c>
      <c r="AO13" s="6" t="inlineStr">
        <is>
          <t>To a great extent</t>
        </is>
      </c>
      <c r="AP13" s="6" t="inlineStr">
        <is>
          <t>To a great extent</t>
        </is>
      </c>
      <c r="AQ13" s="6" t="inlineStr">
        <is>
          <t>To a great extent</t>
        </is>
      </c>
      <c r="AR13" s="6" t="inlineStr">
        <is>
          <t>To a great extent</t>
        </is>
      </c>
      <c r="AS13" s="6" t="n"/>
      <c r="AT13" s="6" t="inlineStr">
        <is>
          <t>To a moderate extent</t>
        </is>
      </c>
      <c r="AU13" s="6" t="inlineStr">
        <is>
          <t>To a moderate extent</t>
        </is>
      </c>
      <c r="AV13" s="6" t="inlineStr">
        <is>
          <t>To a moderate extent</t>
        </is>
      </c>
      <c r="AW13" s="6" t="inlineStr">
        <is>
          <t>To a moderate extent</t>
        </is>
      </c>
      <c r="AX13" s="6" t="inlineStr">
        <is>
          <t>To a moderate extent</t>
        </is>
      </c>
      <c r="AY13" s="6" t="inlineStr">
        <is>
          <t>To a moderate extent</t>
        </is>
      </c>
      <c r="AZ13" s="6" t="inlineStr">
        <is>
          <t>To a moderate extent</t>
        </is>
      </c>
      <c r="BA13" s="6" t="inlineStr">
        <is>
          <t>To a moderate extent</t>
        </is>
      </c>
      <c r="BB13" s="6" t="inlineStr">
        <is>
          <t>To a great extent</t>
        </is>
      </c>
      <c r="BC13" s="6" t="inlineStr">
        <is>
          <t>To a moderate extent</t>
        </is>
      </c>
      <c r="BD13" s="6" t="inlineStr">
        <is>
          <t>To a moderate extent</t>
        </is>
      </c>
      <c r="BE13" s="6" t="inlineStr">
        <is>
          <t>To a moderate extent</t>
        </is>
      </c>
      <c r="BF13" s="6" t="inlineStr">
        <is>
          <t>To a moderate extent</t>
        </is>
      </c>
      <c r="BG13" s="6" t="inlineStr">
        <is>
          <t>To a great extent</t>
        </is>
      </c>
      <c r="BH13" s="6" t="inlineStr">
        <is>
          <t>To a moderate extent</t>
        </is>
      </c>
      <c r="BI13" s="6" t="inlineStr">
        <is>
          <t>To a moderate extent</t>
        </is>
      </c>
      <c r="BJ13" s="6" t="inlineStr">
        <is>
          <t>To a moderate extent</t>
        </is>
      </c>
      <c r="BK13" s="6" t="inlineStr">
        <is>
          <t>Not at all</t>
        </is>
      </c>
      <c r="BL13" s="6" t="inlineStr">
        <is>
          <t>To a great extent</t>
        </is>
      </c>
      <c r="BM13" s="6" t="inlineStr">
        <is>
          <t>To a moderate extent</t>
        </is>
      </c>
      <c r="BN13" s="6" t="inlineStr">
        <is>
          <t>To a moderate extent</t>
        </is>
      </c>
      <c r="BO13" s="6" t="inlineStr">
        <is>
          <t>To a great extent</t>
        </is>
      </c>
      <c r="BP13" s="6" t="inlineStr">
        <is>
          <t>To a moderate extent</t>
        </is>
      </c>
      <c r="BQ13" s="6" t="inlineStr">
        <is>
          <t>To a moderate extent</t>
        </is>
      </c>
      <c r="BR13" s="6" t="n"/>
      <c r="BS13" s="6" t="n"/>
      <c r="BT13" s="6" t="inlineStr">
        <is>
          <t>The IMF dedicated an appropriate amount of resources</t>
        </is>
      </c>
      <c r="BU13" s="6" t="inlineStr">
        <is>
          <t>To a great extent</t>
        </is>
      </c>
      <c r="BV13" s="6" t="inlineStr">
        <is>
          <t>To a slight extent</t>
        </is>
      </c>
      <c r="BW13" s="6" t="inlineStr">
        <is>
          <t>To a slight extent</t>
        </is>
      </c>
      <c r="BX13" s="6" t="inlineStr">
        <is>
          <t>To a moderate extent</t>
        </is>
      </c>
      <c r="BY13" s="6" t="inlineStr">
        <is>
          <t>To a moderate extent</t>
        </is>
      </c>
      <c r="BZ13" s="6" t="inlineStr">
        <is>
          <t>To a moderate extent</t>
        </is>
      </c>
      <c r="CA13" s="6" t="inlineStr">
        <is>
          <t>To a moderate extent</t>
        </is>
      </c>
      <c r="CB13" s="6" t="inlineStr">
        <is>
          <t>To a moderate extent</t>
        </is>
      </c>
      <c r="CC13" s="6" t="inlineStr">
        <is>
          <t>To a moderate extent</t>
        </is>
      </c>
      <c r="CD13" s="6" t="inlineStr">
        <is>
          <t>To a moderate extent</t>
        </is>
      </c>
      <c r="CE13" s="6" t="inlineStr">
        <is>
          <t>To a moderate extent</t>
        </is>
      </c>
      <c r="CF13" s="6" t="inlineStr">
        <is>
          <t>To a moderate extent</t>
        </is>
      </c>
      <c r="CG13" s="6" t="n"/>
      <c r="CH13" s="6" t="inlineStr">
        <is>
          <t>Yes</t>
        </is>
      </c>
      <c r="CI13" s="6" t="inlineStr">
        <is>
          <t>Yes</t>
        </is>
      </c>
      <c r="CJ13" s="6" t="inlineStr">
        <is>
          <t>To a great extent</t>
        </is>
      </c>
      <c r="CK13" s="6" t="inlineStr">
        <is>
          <t>To a great extent</t>
        </is>
      </c>
      <c r="CL13" s="6" t="inlineStr">
        <is>
          <t>To a great extent</t>
        </is>
      </c>
      <c r="CM13" s="6" t="inlineStr">
        <is>
          <t>To a great extent</t>
        </is>
      </c>
      <c r="CN13" s="6" t="inlineStr">
        <is>
          <t>To a great extent</t>
        </is>
      </c>
      <c r="CO13" s="6" t="inlineStr">
        <is>
          <t>To a great extent</t>
        </is>
      </c>
      <c r="CP13" s="6" t="inlineStr">
        <is>
          <t>To a great extent</t>
        </is>
      </c>
      <c r="CQ13" s="6" t="inlineStr">
        <is>
          <t>To a great extent</t>
        </is>
      </c>
      <c r="CR13" s="6" t="inlineStr">
        <is>
          <t>To a great extent</t>
        </is>
      </c>
      <c r="CS13" s="6" t="inlineStr">
        <is>
          <t>To a great extent</t>
        </is>
      </c>
      <c r="CT13" s="6" t="inlineStr">
        <is>
          <t>To a moderate extent</t>
        </is>
      </c>
      <c r="CU13" s="6" t="inlineStr">
        <is>
          <t>To a great extent</t>
        </is>
      </c>
      <c r="CV13" s="6" t="inlineStr">
        <is>
          <t>To a slight extent</t>
        </is>
      </c>
      <c r="CW13" s="6" t="inlineStr">
        <is>
          <t>To a great extent</t>
        </is>
      </c>
      <c r="CX13" s="6" t="inlineStr">
        <is>
          <t>To a great extent</t>
        </is>
      </c>
      <c r="CY13" s="6" t="inlineStr">
        <is>
          <t>To a moderate extent</t>
        </is>
      </c>
      <c r="CZ13" s="6" t="inlineStr">
        <is>
          <t>To a great extent</t>
        </is>
      </c>
      <c r="DA13" s="6" t="inlineStr">
        <is>
          <t>Not at all</t>
        </is>
      </c>
      <c r="DB13" s="6" t="n"/>
      <c r="DC13" s="6" t="n"/>
      <c r="DD13" s="6" t="n"/>
      <c r="DE13" s="6" t="n"/>
      <c r="DF13" s="6" t="inlineStr">
        <is>
          <t>Climate change-related policies</t>
        </is>
      </c>
      <c r="DG13" s="6" t="n"/>
      <c r="DH13" s="6" t="inlineStr">
        <is>
          <t>To a great extent</t>
        </is>
      </c>
      <c r="DI13" s="6" t="inlineStr">
        <is>
          <t>To a great extent</t>
        </is>
      </c>
      <c r="DJ13" s="6" t="inlineStr">
        <is>
          <t>To a great extent</t>
        </is>
      </c>
      <c r="DK13" s="6" t="inlineStr">
        <is>
          <t>To a great extent</t>
        </is>
      </c>
      <c r="DL13" s="6" t="inlineStr">
        <is>
          <t>To a slight extent</t>
        </is>
      </c>
      <c r="DM13" s="6" t="inlineStr">
        <is>
          <t>To a slight extent</t>
        </is>
      </c>
      <c r="DN13" s="6" t="n"/>
      <c r="DO13" s="6" t="n"/>
      <c r="DP13" s="6" t="n"/>
      <c r="DQ13" s="6" t="n"/>
      <c r="DR13" s="6" t="n"/>
      <c r="DS13" s="6" t="n"/>
      <c r="DT13" s="6" t="n"/>
      <c r="DU13" s="6" t="n"/>
      <c r="DV13" s="6" t="n"/>
      <c r="DW13" s="6" t="inlineStr">
        <is>
          <t>Yes</t>
        </is>
      </c>
      <c r="DX13" s="6" t="inlineStr">
        <is>
          <t>World Bank Group</t>
        </is>
      </c>
      <c r="DY13" s="6" t="inlineStr">
        <is>
          <t>Regional development banks</t>
        </is>
      </c>
      <c r="DZ13" s="6" t="inlineStr">
        <is>
          <t>Bilateral sources</t>
        </is>
      </c>
      <c r="EA13" s="6" t="n"/>
      <c r="EB13" s="6" t="n"/>
      <c r="EC13" s="6" t="inlineStr">
        <is>
          <t>To a moderate extent</t>
        </is>
      </c>
      <c r="ED13" s="6" t="inlineStr">
        <is>
          <t>To a great extent</t>
        </is>
      </c>
      <c r="EE13" s="6" t="inlineStr">
        <is>
          <t>To a moderate extent</t>
        </is>
      </c>
      <c r="EF13" s="6" t="inlineStr">
        <is>
          <t>To a moderate extent</t>
        </is>
      </c>
      <c r="EG13" s="6" t="inlineStr">
        <is>
          <t>To a moderate extent</t>
        </is>
      </c>
      <c r="EH13" s="6" t="inlineStr">
        <is>
          <t>To a moderate extent</t>
        </is>
      </c>
      <c r="EI13" s="6" t="inlineStr">
        <is>
          <t>To a great extent</t>
        </is>
      </c>
      <c r="EJ13" s="6" t="inlineStr">
        <is>
          <t>To a great extent</t>
        </is>
      </c>
      <c r="EK13" s="6" t="inlineStr">
        <is>
          <t>Not at all</t>
        </is>
      </c>
      <c r="EL13" s="6" t="inlineStr">
        <is>
          <t>To a great extent</t>
        </is>
      </c>
      <c r="EM13" s="6" t="inlineStr">
        <is>
          <t>To a moderate extent</t>
        </is>
      </c>
      <c r="EN13" s="6" t="inlineStr">
        <is>
          <t>To a moderate extent</t>
        </is>
      </c>
      <c r="EO13" s="6" t="inlineStr">
        <is>
          <t>Not at all</t>
        </is>
      </c>
      <c r="EP13" s="6" t="n"/>
      <c r="EQ13" s="6" t="inlineStr">
        <is>
          <t>To a great extent</t>
        </is>
      </c>
      <c r="ER13" s="6" t="inlineStr">
        <is>
          <t>To a great extent</t>
        </is>
      </c>
      <c r="ES13" s="6" t="n"/>
      <c r="ET13" s="6" t="inlineStr">
        <is>
          <t>To a great extent</t>
        </is>
      </c>
      <c r="EU13" s="6" t="inlineStr">
        <is>
          <t>Not at all</t>
        </is>
      </c>
      <c r="EV13" s="6" t="inlineStr">
        <is>
          <t>Not at all</t>
        </is>
      </c>
      <c r="EW13" s="6" t="n"/>
      <c r="EX13" s="6" t="n"/>
      <c r="EY13" s="6" t="inlineStr">
        <is>
          <t>To a great extent</t>
        </is>
      </c>
      <c r="EZ13" s="6" t="inlineStr">
        <is>
          <t>To a moderate extent</t>
        </is>
      </c>
      <c r="FA13" s="6" t="inlineStr">
        <is>
          <t>To a great extent</t>
        </is>
      </c>
      <c r="FB13" s="6" t="inlineStr">
        <is>
          <t>To a great extent</t>
        </is>
      </c>
      <c r="FC13" s="6" t="inlineStr">
        <is>
          <t>To a great extent</t>
        </is>
      </c>
      <c r="FD13" s="6" t="inlineStr">
        <is>
          <t>To a great extent</t>
        </is>
      </c>
      <c r="FE13" s="6" t="inlineStr">
        <is>
          <t>To a great extent</t>
        </is>
      </c>
      <c r="FF13" s="6" t="inlineStr">
        <is>
          <t>To a great extent</t>
        </is>
      </c>
      <c r="FG13" s="6" t="inlineStr">
        <is>
          <t>To a great extent</t>
        </is>
      </c>
      <c r="FH13" s="6" t="inlineStr">
        <is>
          <t>To a great extent</t>
        </is>
      </c>
      <c r="FI13" s="6" t="inlineStr">
        <is>
          <t>To a great extent</t>
        </is>
      </c>
      <c r="FJ13" s="6" t="inlineStr">
        <is>
          <t>To a great extent</t>
        </is>
      </c>
      <c r="FK13" s="6" t="inlineStr">
        <is>
          <t>To a great extent</t>
        </is>
      </c>
      <c r="FL13" s="6" t="inlineStr">
        <is>
          <t>To a great extent</t>
        </is>
      </c>
      <c r="FM13" s="6" t="inlineStr">
        <is>
          <t>To a great extent</t>
        </is>
      </c>
      <c r="FN13" s="6" t="inlineStr">
        <is>
          <t>To a great extent</t>
        </is>
      </c>
      <c r="FO13" s="6" t="inlineStr">
        <is>
          <t>To a moderate extent</t>
        </is>
      </c>
      <c r="FP13" s="6" t="inlineStr">
        <is>
          <t>To a moderate extent</t>
        </is>
      </c>
      <c r="FQ13" s="6" t="inlineStr">
        <is>
          <t>To a moderate extent</t>
        </is>
      </c>
      <c r="FR13" s="6" t="inlineStr">
        <is>
          <t>To a great extent</t>
        </is>
      </c>
      <c r="FS13" s="6" t="inlineStr">
        <is>
          <t>To a slight extent</t>
        </is>
      </c>
      <c r="FT13" s="6" t="inlineStr">
        <is>
          <t>To a slight extent</t>
        </is>
      </c>
      <c r="FU13" s="6" t="n"/>
      <c r="FV13" s="6" t="n"/>
      <c r="FW13" s="6" t="inlineStr">
        <is>
          <t>The IMF dedicated the appropriate amount of resources</t>
        </is>
      </c>
      <c r="FX13" s="6" t="n"/>
      <c r="FY13" s="6" t="inlineStr">
        <is>
          <t>To a great extent</t>
        </is>
      </c>
      <c r="FZ13" s="6" t="inlineStr">
        <is>
          <t>To a great extent</t>
        </is>
      </c>
      <c r="GA13" s="6" t="inlineStr">
        <is>
          <t>To a great extent</t>
        </is>
      </c>
      <c r="GB13" s="6" t="inlineStr">
        <is>
          <t>To a great extent</t>
        </is>
      </c>
      <c r="GC13" s="6" t="n"/>
      <c r="GD13" s="6" t="n"/>
      <c r="GE13" s="6" t="inlineStr">
        <is>
          <t>To a great extent</t>
        </is>
      </c>
      <c r="GF13" s="6" t="inlineStr">
        <is>
          <t>To a great extent</t>
        </is>
      </c>
      <c r="GG13" s="6" t="inlineStr">
        <is>
          <t>To a great extent</t>
        </is>
      </c>
      <c r="GH13" s="6" t="inlineStr">
        <is>
          <t>To a slight extent</t>
        </is>
      </c>
      <c r="GI13" s="6" t="inlineStr">
        <is>
          <t>To a great extent</t>
        </is>
      </c>
      <c r="GJ13" s="6" t="inlineStr">
        <is>
          <t>To a moderate extent</t>
        </is>
      </c>
      <c r="GK13" s="6" t="n"/>
      <c r="GL13" s="7">
        <f>DATE(2025,6,13)+TIME(14,56,57)</f>
        <v/>
      </c>
    </row>
    <row r="14" ht="47.25" customHeight="1">
      <c r="A14" s="3" t="inlineStr">
        <is>
          <t>Ingrid</t>
        </is>
      </c>
      <c r="B14" s="3" t="inlineStr">
        <is>
          <t>Mensah</t>
        </is>
      </c>
      <c r="C14" s="3" t="inlineStr">
        <is>
          <t>imensah@organization.org</t>
        </is>
      </c>
      <c r="D14" s="3" t="inlineStr">
        <is>
          <t>4KQP9W5JW</t>
        </is>
      </c>
      <c r="E14" s="3" t="n"/>
      <c r="F14" s="3" t="inlineStr">
        <is>
          <t>OEDCE</t>
        </is>
      </c>
      <c r="G14" s="3" t="n"/>
      <c r="H14" s="3" t="n"/>
      <c r="I14" s="3" t="n"/>
      <c r="J14" s="3" t="n"/>
      <c r="K14" s="3" t="n"/>
      <c r="L14" s="3" t="n"/>
      <c r="M14" s="3" t="n"/>
      <c r="N14" s="3" t="inlineStr">
        <is>
          <t>Guatemala</t>
        </is>
      </c>
      <c r="O14" s="3" t="n"/>
      <c r="P14" s="3" t="n"/>
      <c r="Q14" s="3" t="n"/>
      <c r="R14" s="3" t="n"/>
      <c r="S14" s="3" t="n"/>
      <c r="T14" s="3" t="n"/>
      <c r="U14" s="3" t="n"/>
      <c r="V14" s="3" t="n"/>
      <c r="W14" s="3" t="n"/>
      <c r="X14" s="3" t="n"/>
      <c r="Y14" s="3" t="n"/>
      <c r="Z14" s="3" t="n"/>
      <c r="AA14" s="3" t="n"/>
      <c r="AB14" s="3" t="n"/>
      <c r="AC14" s="3" t="n"/>
      <c r="AD14" s="3" t="n"/>
      <c r="AE14" s="3" t="n"/>
      <c r="AF14" s="4" t="inlineStr">
        <is>
          <t>Guatemala</t>
        </is>
      </c>
      <c r="AG14" s="3" t="inlineStr">
        <is>
          <t>The IMF should engage more on climate change-related issues</t>
        </is>
      </c>
      <c r="AH14" s="3" t="inlineStr">
        <is>
          <t>Not at all</t>
        </is>
      </c>
      <c r="AI14" s="3" t="inlineStr">
        <is>
          <t>Not at all</t>
        </is>
      </c>
      <c r="AJ14" s="3" t="inlineStr">
        <is>
          <t>Not at all</t>
        </is>
      </c>
      <c r="AK14" s="3" t="inlineStr">
        <is>
          <t>To a great extent</t>
        </is>
      </c>
      <c r="AL14" s="3" t="inlineStr">
        <is>
          <t>To a great extent</t>
        </is>
      </c>
      <c r="AM14" s="3" t="inlineStr">
        <is>
          <t>Don’t know or not applicable</t>
        </is>
      </c>
      <c r="AN14" s="3" t="inlineStr">
        <is>
          <t>To a great extent</t>
        </is>
      </c>
      <c r="AO14" s="3" t="inlineStr">
        <is>
          <t>To a great extent</t>
        </is>
      </c>
      <c r="AP14" s="3" t="inlineStr">
        <is>
          <t>To a great extent</t>
        </is>
      </c>
      <c r="AQ14" s="3" t="inlineStr">
        <is>
          <t>To a great extent</t>
        </is>
      </c>
      <c r="AR14" s="3" t="inlineStr">
        <is>
          <t>To a great extent</t>
        </is>
      </c>
      <c r="AS14" s="3" t="n"/>
      <c r="AT14" s="3" t="inlineStr">
        <is>
          <t>Not at all</t>
        </is>
      </c>
      <c r="AU14" s="3" t="inlineStr">
        <is>
          <t>Not at all</t>
        </is>
      </c>
      <c r="AV14" s="3" t="inlineStr">
        <is>
          <t>Don’t know or not applicable</t>
        </is>
      </c>
      <c r="AW14" s="3" t="inlineStr">
        <is>
          <t>Don’t know or not applicable</t>
        </is>
      </c>
      <c r="AX14" s="3" t="inlineStr">
        <is>
          <t>Don’t know or not applicable</t>
        </is>
      </c>
      <c r="AY14" s="3" t="inlineStr">
        <is>
          <t>Don’t know or not applicable</t>
        </is>
      </c>
      <c r="AZ14" s="3" t="inlineStr">
        <is>
          <t>Not at all</t>
        </is>
      </c>
      <c r="BA14" s="3" t="inlineStr">
        <is>
          <t>Not at all</t>
        </is>
      </c>
      <c r="BB14" s="3" t="inlineStr">
        <is>
          <t>Not at all</t>
        </is>
      </c>
      <c r="BC14" s="3" t="inlineStr">
        <is>
          <t>Not at all</t>
        </is>
      </c>
      <c r="BD14" s="3" t="inlineStr">
        <is>
          <t>Not at all</t>
        </is>
      </c>
      <c r="BE14" s="3" t="inlineStr">
        <is>
          <t>Don’t know or not applicable</t>
        </is>
      </c>
      <c r="BF14" s="3" t="inlineStr">
        <is>
          <t>Don’t know or not applicable</t>
        </is>
      </c>
      <c r="BG14" s="3" t="inlineStr">
        <is>
          <t>Don’t know or not applicable</t>
        </is>
      </c>
      <c r="BH14" s="3" t="inlineStr">
        <is>
          <t>Don’t know or not applicable</t>
        </is>
      </c>
      <c r="BI14" s="3" t="inlineStr">
        <is>
          <t>Don’t know or not applicable</t>
        </is>
      </c>
      <c r="BJ14" s="3" t="inlineStr">
        <is>
          <t>Don’t know or not applicable</t>
        </is>
      </c>
      <c r="BK14" s="3" t="inlineStr">
        <is>
          <t>Don’t know or not applicable</t>
        </is>
      </c>
      <c r="BL14" s="3" t="inlineStr">
        <is>
          <t>Don’t know or not applicable</t>
        </is>
      </c>
      <c r="BM14" s="3" t="inlineStr">
        <is>
          <t>Don’t know or not applicable</t>
        </is>
      </c>
      <c r="BN14" s="3" t="inlineStr">
        <is>
          <t>Don’t know or not applicable</t>
        </is>
      </c>
      <c r="BO14" s="3" t="inlineStr">
        <is>
          <t>Don’t know or not applicable</t>
        </is>
      </c>
      <c r="BP14" s="3" t="inlineStr">
        <is>
          <t>Don’t know or not applicable</t>
        </is>
      </c>
      <c r="BQ14" s="3" t="inlineStr">
        <is>
          <t>Don’t know or not applicable</t>
        </is>
      </c>
      <c r="BR14" s="3" t="inlineStr">
        <is>
          <t>Don’t know or not applicable</t>
        </is>
      </c>
      <c r="BS14" s="3" t="n"/>
      <c r="BT14" s="3" t="inlineStr">
        <is>
          <t>The IMF dedicated an appropriate amount of resources</t>
        </is>
      </c>
      <c r="BU14" s="3" t="inlineStr">
        <is>
          <t>To a great extent</t>
        </is>
      </c>
      <c r="BV14" s="3" t="inlineStr">
        <is>
          <t>To a great extent</t>
        </is>
      </c>
      <c r="BW14" s="3" t="inlineStr">
        <is>
          <t>To a great extent</t>
        </is>
      </c>
      <c r="BX14" s="3" t="inlineStr">
        <is>
          <t>To a great extent</t>
        </is>
      </c>
      <c r="BY14" s="3" t="inlineStr">
        <is>
          <t>To a great extent</t>
        </is>
      </c>
      <c r="BZ14" s="3" t="inlineStr">
        <is>
          <t>To a great extent</t>
        </is>
      </c>
      <c r="CA14" s="3" t="inlineStr">
        <is>
          <t>To a great extent</t>
        </is>
      </c>
      <c r="CB14" s="3" t="inlineStr">
        <is>
          <t>To a great extent</t>
        </is>
      </c>
      <c r="CC14" s="3" t="inlineStr">
        <is>
          <t>To a slight extent</t>
        </is>
      </c>
      <c r="CD14" s="3" t="inlineStr">
        <is>
          <t>To a great extent</t>
        </is>
      </c>
      <c r="CE14" s="3" t="inlineStr">
        <is>
          <t>To a great extent</t>
        </is>
      </c>
      <c r="CF14" s="3" t="inlineStr">
        <is>
          <t>To a great extent</t>
        </is>
      </c>
      <c r="CG14" s="3" t="n"/>
      <c r="CH14" s="3" t="inlineStr">
        <is>
          <t>No</t>
        </is>
      </c>
      <c r="CI14" s="3" t="inlineStr">
        <is>
          <t>Yes</t>
        </is>
      </c>
      <c r="CJ14" s="3" t="n"/>
      <c r="CK14" s="3" t="n"/>
      <c r="CL14" s="3" t="n"/>
      <c r="CM14" s="3" t="n"/>
      <c r="CN14" s="3" t="n"/>
      <c r="CO14" s="3" t="n"/>
      <c r="CP14" s="3" t="n"/>
      <c r="CQ14" s="3" t="n"/>
      <c r="CR14" s="3" t="n"/>
      <c r="CS14" s="3" t="n"/>
      <c r="CT14" s="3" t="n"/>
      <c r="CU14" s="3" t="n"/>
      <c r="CV14" s="3" t="n"/>
      <c r="CW14" s="3" t="n"/>
      <c r="CX14" s="3" t="n"/>
      <c r="CY14" s="3" t="n"/>
      <c r="CZ14" s="3" t="n"/>
      <c r="DA14" s="3" t="n"/>
      <c r="DB14" s="3" t="n"/>
      <c r="DC14" s="3" t="n"/>
      <c r="DD14" s="3" t="n"/>
      <c r="DE14" s="3" t="n"/>
      <c r="DF14" s="3" t="n"/>
      <c r="DG14" s="3" t="n"/>
      <c r="DH14" s="3" t="n"/>
      <c r="DI14" s="3" t="n"/>
      <c r="DJ14" s="3" t="n"/>
      <c r="DK14" s="3" t="n"/>
      <c r="DL14" s="3" t="n"/>
      <c r="DM14" s="3" t="n"/>
      <c r="DN14" s="3" t="n"/>
      <c r="DO14" s="3" t="n"/>
      <c r="DP14" s="3" t="n"/>
      <c r="DQ14" s="3" t="n"/>
      <c r="DR14" s="3" t="n"/>
      <c r="DS14" s="3" t="inlineStr">
        <is>
          <t>More convenient alternative financing options</t>
        </is>
      </c>
      <c r="DT14" s="3" t="n"/>
      <c r="DU14" s="3" t="n"/>
      <c r="DV14" s="3" t="n"/>
      <c r="DW14" s="3" t="inlineStr">
        <is>
          <t>No</t>
        </is>
      </c>
      <c r="DX14" s="3" t="n"/>
      <c r="DY14" s="3" t="n"/>
      <c r="DZ14" s="3" t="n"/>
      <c r="EA14" s="3" t="n"/>
      <c r="EB14" s="3" t="n"/>
      <c r="EC14" s="3" t="n"/>
      <c r="ED14" s="3" t="n"/>
      <c r="EE14" s="3" t="n"/>
      <c r="EF14" s="3" t="inlineStr">
        <is>
          <t>Don’t know or not applicable</t>
        </is>
      </c>
      <c r="EG14" s="3" t="inlineStr">
        <is>
          <t>Don’t know or not applicable</t>
        </is>
      </c>
      <c r="EH14" s="3" t="inlineStr">
        <is>
          <t>Don’t know or not applicable</t>
        </is>
      </c>
      <c r="EI14" s="3" t="inlineStr">
        <is>
          <t>Don’t know or not applicable</t>
        </is>
      </c>
      <c r="EJ14" s="3" t="inlineStr">
        <is>
          <t>Don’t know or not applicable</t>
        </is>
      </c>
      <c r="EK14" s="3" t="inlineStr">
        <is>
          <t>Don’t know or not applicable</t>
        </is>
      </c>
      <c r="EL14" s="3" t="inlineStr">
        <is>
          <t>Don’t know or not applicable</t>
        </is>
      </c>
      <c r="EM14" s="3" t="inlineStr">
        <is>
          <t>Not at all</t>
        </is>
      </c>
      <c r="EN14" s="3" t="inlineStr">
        <is>
          <t>Don’t know or not applicable</t>
        </is>
      </c>
      <c r="EO14" s="3" t="inlineStr">
        <is>
          <t>Don’t know or not applicable</t>
        </is>
      </c>
      <c r="EP14" s="3" t="n"/>
      <c r="EQ14" s="3" t="inlineStr">
        <is>
          <t>Not at all</t>
        </is>
      </c>
      <c r="ER14" s="3" t="inlineStr">
        <is>
          <t>Not at all</t>
        </is>
      </c>
      <c r="ES14" s="3" t="n"/>
      <c r="ET14" s="3" t="n"/>
      <c r="EU14" s="3" t="n"/>
      <c r="EV14" s="3" t="n"/>
      <c r="EW14" s="3" t="n"/>
      <c r="EX14" s="3" t="n"/>
      <c r="EY14" s="3" t="n"/>
      <c r="EZ14" s="3" t="n"/>
      <c r="FA14" s="3" t="n"/>
      <c r="FB14" s="3" t="n"/>
      <c r="FC14" s="3" t="n"/>
      <c r="FD14" s="3" t="n"/>
      <c r="FE14" s="3" t="n"/>
      <c r="FF14" s="3" t="n"/>
      <c r="FG14" s="3" t="n"/>
      <c r="FH14" s="3" t="n"/>
      <c r="FI14" s="3" t="n"/>
      <c r="FJ14" s="3" t="n"/>
      <c r="FK14" s="3" t="n"/>
      <c r="FL14" s="3" t="n"/>
      <c r="FM14" s="3" t="n"/>
      <c r="FN14" s="3" t="n"/>
      <c r="FO14" s="3" t="n"/>
      <c r="FP14" s="3" t="n"/>
      <c r="FQ14" s="3" t="n"/>
      <c r="FR14" s="3" t="n"/>
      <c r="FS14" s="3" t="n"/>
      <c r="FT14" s="3" t="n"/>
      <c r="FU14" s="3" t="n"/>
      <c r="FV14" s="3" t="n"/>
      <c r="FW14" s="3" t="n"/>
      <c r="FX14" s="3" t="n"/>
      <c r="FY14" s="3" t="inlineStr">
        <is>
          <t>To a great extent</t>
        </is>
      </c>
      <c r="FZ14" s="3" t="inlineStr">
        <is>
          <t>To a great extent</t>
        </is>
      </c>
      <c r="GA14" s="3" t="inlineStr">
        <is>
          <t>To a great extent</t>
        </is>
      </c>
      <c r="GB14" s="3" t="inlineStr">
        <is>
          <t>To a great extent</t>
        </is>
      </c>
      <c r="GC14" s="3" t="inlineStr">
        <is>
          <t>Don’t know or not applicable</t>
        </is>
      </c>
      <c r="GD14" s="3" t="n"/>
      <c r="GE14" s="3" t="inlineStr">
        <is>
          <t>To a great extent</t>
        </is>
      </c>
      <c r="GF14" s="3" t="inlineStr">
        <is>
          <t>To a great extent</t>
        </is>
      </c>
      <c r="GG14" s="3" t="inlineStr">
        <is>
          <t>To a great extent</t>
        </is>
      </c>
      <c r="GH14" s="3" t="inlineStr">
        <is>
          <t>To a great extent</t>
        </is>
      </c>
      <c r="GI14" s="3" t="inlineStr">
        <is>
          <t>To a great extent</t>
        </is>
      </c>
      <c r="GJ14" s="3" t="inlineStr">
        <is>
          <t>To a great extent</t>
        </is>
      </c>
      <c r="GK14" s="3" t="n"/>
      <c r="GL14" s="5">
        <f>DATE(2025,6,11)+TIME(17,22,27)</f>
        <v/>
      </c>
    </row>
    <row r="15" ht="362.25" customHeight="1">
      <c r="A15" s="6" t="inlineStr">
        <is>
          <t>James</t>
        </is>
      </c>
      <c r="B15" s="6" t="inlineStr">
        <is>
          <t>Garcia</t>
        </is>
      </c>
      <c r="C15" s="6" t="inlineStr">
        <is>
          <t>jgarcia@organization.org</t>
        </is>
      </c>
      <c r="D15" s="6" t="inlineStr">
        <is>
          <t>OT45ORFVP</t>
        </is>
      </c>
      <c r="E15" s="6" t="n"/>
      <c r="F15" s="6" t="inlineStr">
        <is>
          <t>OEDST</t>
        </is>
      </c>
      <c r="G15" s="6" t="n"/>
      <c r="H15" s="6" t="n"/>
      <c r="I15" s="6" t="n"/>
      <c r="J15" s="6" t="n"/>
      <c r="K15" s="6" t="n"/>
      <c r="L15" s="6" t="n"/>
      <c r="M15" s="6" t="n"/>
      <c r="N15" s="6" t="n"/>
      <c r="O15" s="6" t="n"/>
      <c r="P15" s="6" t="n"/>
      <c r="Q15" s="6" t="n"/>
      <c r="R15" s="6" t="n"/>
      <c r="S15" s="6" t="n"/>
      <c r="T15" s="6" t="n"/>
      <c r="U15" s="6" t="n"/>
      <c r="V15" s="6" t="n"/>
      <c r="W15" s="6" t="n"/>
      <c r="X15" s="6" t="n"/>
      <c r="Y15" s="6" t="n"/>
      <c r="Z15" s="6" t="n"/>
      <c r="AA15" s="6" t="n"/>
      <c r="AB15" s="6" t="inlineStr">
        <is>
          <t>Philippines</t>
        </is>
      </c>
      <c r="AC15" s="6" t="n"/>
      <c r="AD15" s="6" t="n"/>
      <c r="AE15" s="6" t="n"/>
      <c r="AF15" s="4" t="inlineStr">
        <is>
          <t>Philippines</t>
        </is>
      </c>
      <c r="AG15" s="6" t="inlineStr">
        <is>
          <t>The IMF should engage a similar amount on climate change-related issues</t>
        </is>
      </c>
      <c r="AH15" s="6" t="inlineStr">
        <is>
          <t>To a moderate extent</t>
        </is>
      </c>
      <c r="AI15" s="6" t="inlineStr">
        <is>
          <t>To a moderate extent</t>
        </is>
      </c>
      <c r="AJ15" s="6" t="inlineStr">
        <is>
          <t>To a great extent</t>
        </is>
      </c>
      <c r="AK15" s="6" t="inlineStr">
        <is>
          <t>To a great extent</t>
        </is>
      </c>
      <c r="AL15" s="6" t="inlineStr">
        <is>
          <t>Don’t know or not applicable</t>
        </is>
      </c>
      <c r="AM15" s="6" t="inlineStr">
        <is>
          <t>Don’t know or not applicable</t>
        </is>
      </c>
      <c r="AN15" s="6" t="inlineStr">
        <is>
          <t>To a moderate extent</t>
        </is>
      </c>
      <c r="AO15" s="6" t="inlineStr">
        <is>
          <t>Don’t know or not applicable</t>
        </is>
      </c>
      <c r="AP15" s="6" t="inlineStr">
        <is>
          <t>To a moderate extent</t>
        </is>
      </c>
      <c r="AQ15" s="6" t="inlineStr">
        <is>
          <t>To a moderate extent</t>
        </is>
      </c>
      <c r="AR15" s="6" t="inlineStr">
        <is>
          <t>To a moderate extent</t>
        </is>
      </c>
      <c r="AS15" s="6" t="n"/>
      <c r="AT15" s="6" t="inlineStr">
        <is>
          <t>To a moderate extent</t>
        </is>
      </c>
      <c r="AU15" s="6" t="inlineStr">
        <is>
          <t>To a moderate extent</t>
        </is>
      </c>
      <c r="AV15" s="6" t="inlineStr">
        <is>
          <t>Not at all</t>
        </is>
      </c>
      <c r="AW15" s="6" t="inlineStr">
        <is>
          <t>To a moderate extent</t>
        </is>
      </c>
      <c r="AX15" s="6" t="inlineStr">
        <is>
          <t>To a moderate extent</t>
        </is>
      </c>
      <c r="AY15" s="6" t="inlineStr">
        <is>
          <t>To a moderate extent</t>
        </is>
      </c>
      <c r="AZ15" s="6" t="inlineStr">
        <is>
          <t>To a moderate extent</t>
        </is>
      </c>
      <c r="BA15" s="6" t="inlineStr">
        <is>
          <t>Not at all</t>
        </is>
      </c>
      <c r="BB15" s="6" t="inlineStr">
        <is>
          <t>To a moderate extent</t>
        </is>
      </c>
      <c r="BC15" s="6" t="inlineStr">
        <is>
          <t>To a moderate extent</t>
        </is>
      </c>
      <c r="BD15" s="6" t="inlineStr">
        <is>
          <t>To a moderate extent</t>
        </is>
      </c>
      <c r="BE15" s="6" t="inlineStr">
        <is>
          <t>Don’t know or not applicable</t>
        </is>
      </c>
      <c r="BF15" s="6" t="inlineStr">
        <is>
          <t>Don’t know or not applicable</t>
        </is>
      </c>
      <c r="BG15" s="6" t="inlineStr">
        <is>
          <t>To a great extent</t>
        </is>
      </c>
      <c r="BH15" s="6" t="inlineStr">
        <is>
          <t>To a great extent</t>
        </is>
      </c>
      <c r="BI15" s="6" t="inlineStr">
        <is>
          <t>To a great extent</t>
        </is>
      </c>
      <c r="BJ15" s="6" t="inlineStr">
        <is>
          <t>To a moderate extent</t>
        </is>
      </c>
      <c r="BK15" s="6" t="inlineStr">
        <is>
          <t>Not at all</t>
        </is>
      </c>
      <c r="BL15" s="6" t="inlineStr">
        <is>
          <t>To a moderate extent</t>
        </is>
      </c>
      <c r="BM15" s="6" t="inlineStr">
        <is>
          <t>To a moderate extent</t>
        </is>
      </c>
      <c r="BN15" s="6" t="inlineStr">
        <is>
          <t>Don’t know or not applicable</t>
        </is>
      </c>
      <c r="BO15" s="6" t="inlineStr">
        <is>
          <t>To a moderate extent</t>
        </is>
      </c>
      <c r="BP15" s="6" t="inlineStr">
        <is>
          <t>Don’t know or not applicable</t>
        </is>
      </c>
      <c r="BQ15" s="6" t="inlineStr">
        <is>
          <t>Don’t know or not applicable</t>
        </is>
      </c>
      <c r="BR15" s="6" t="n"/>
      <c r="BS15" s="6" t="n"/>
      <c r="BT15" s="6" t="inlineStr">
        <is>
          <t>The IMF dedicated an appropriate amount of resources</t>
        </is>
      </c>
      <c r="BU15" s="6" t="inlineStr">
        <is>
          <t>To a moderate extent</t>
        </is>
      </c>
      <c r="BV15" s="6" t="inlineStr">
        <is>
          <t>To a moderate extent</t>
        </is>
      </c>
      <c r="BW15" s="6" t="inlineStr">
        <is>
          <t>To a moderate extent</t>
        </is>
      </c>
      <c r="BX15" s="6" t="inlineStr">
        <is>
          <t>To a moderate extent</t>
        </is>
      </c>
      <c r="BY15" s="6" t="inlineStr">
        <is>
          <t>To a moderate extent</t>
        </is>
      </c>
      <c r="BZ15" s="6" t="inlineStr">
        <is>
          <t>To a moderate extent</t>
        </is>
      </c>
      <c r="CA15" s="6" t="inlineStr">
        <is>
          <t>To a great extent</t>
        </is>
      </c>
      <c r="CB15" s="6" t="inlineStr">
        <is>
          <t>To a great extent</t>
        </is>
      </c>
      <c r="CC15" s="6" t="inlineStr">
        <is>
          <t>To a great extent</t>
        </is>
      </c>
      <c r="CD15" s="6" t="inlineStr">
        <is>
          <t>To a moderate extent</t>
        </is>
      </c>
      <c r="CE15" s="6" t="inlineStr">
        <is>
          <t>To a moderate extent</t>
        </is>
      </c>
      <c r="CF15" s="6" t="inlineStr">
        <is>
          <t>To a moderate extent</t>
        </is>
      </c>
      <c r="CG15" s="6" t="n"/>
      <c r="CH15" s="6" t="inlineStr">
        <is>
          <t>No</t>
        </is>
      </c>
      <c r="CI15" s="6" t="inlineStr">
        <is>
          <t>No</t>
        </is>
      </c>
      <c r="CJ15" s="6" t="n"/>
      <c r="CK15" s="6" t="n"/>
      <c r="CL15" s="6" t="n"/>
      <c r="CM15" s="6" t="n"/>
      <c r="CN15" s="6" t="n"/>
      <c r="CO15" s="6" t="n"/>
      <c r="CP15" s="6" t="n"/>
      <c r="CQ15" s="6" t="n"/>
      <c r="CR15" s="6" t="n"/>
      <c r="CS15" s="6" t="n"/>
      <c r="CT15" s="6" t="n"/>
      <c r="CU15" s="6" t="n"/>
      <c r="CV15" s="6" t="n"/>
      <c r="CW15" s="6" t="n"/>
      <c r="CX15" s="6" t="n"/>
      <c r="CY15" s="6" t="n"/>
      <c r="CZ15" s="6" t="n"/>
      <c r="DA15" s="6" t="n"/>
      <c r="DB15" s="6" t="n"/>
      <c r="DC15" s="6" t="n"/>
      <c r="DD15" s="6" t="n"/>
      <c r="DE15" s="6" t="n"/>
      <c r="DF15" s="6" t="n"/>
      <c r="DG15" s="6" t="n"/>
      <c r="DH15" s="6" t="n"/>
      <c r="DI15" s="6" t="n"/>
      <c r="DJ15" s="6" t="n"/>
      <c r="DK15" s="6" t="n"/>
      <c r="DL15" s="6" t="n"/>
      <c r="DM15" s="6" t="n"/>
      <c r="DN15" s="6" t="n"/>
      <c r="DO15" s="6" t="n"/>
      <c r="DP15" s="6" t="n"/>
      <c r="DQ15" s="6" t="n"/>
      <c r="DR15" s="6" t="n"/>
      <c r="DS15" s="6" t="n"/>
      <c r="DT15" s="6" t="n"/>
      <c r="DU15" s="6" t="inlineStr">
        <is>
          <t>An RSF arrangement would have been useful, but my country had no balance of payments issues/did not need/was not willing to commit to the underlying UCT program</t>
        </is>
      </c>
      <c r="DV15" s="6" t="n"/>
      <c r="DW15" s="6" t="inlineStr">
        <is>
          <t>Don't know</t>
        </is>
      </c>
      <c r="DX15" s="6" t="n"/>
      <c r="DY15" s="6" t="n"/>
      <c r="DZ15" s="6" t="n"/>
      <c r="EA15" s="6" t="n"/>
      <c r="EB15" s="6" t="n"/>
      <c r="EC15" s="6" t="n"/>
      <c r="ED15" s="6" t="n"/>
      <c r="EE15" s="6" t="n"/>
      <c r="EF15" s="6" t="inlineStr">
        <is>
          <t>To a moderate extent</t>
        </is>
      </c>
      <c r="EG15" s="6" t="inlineStr">
        <is>
          <t>To a moderate extent</t>
        </is>
      </c>
      <c r="EH15" s="6" t="inlineStr">
        <is>
          <t>To a moderate extent</t>
        </is>
      </c>
      <c r="EI15" s="6" t="inlineStr">
        <is>
          <t>To a great extent</t>
        </is>
      </c>
      <c r="EJ15" s="6" t="inlineStr">
        <is>
          <t>To a moderate extent</t>
        </is>
      </c>
      <c r="EK15" s="6" t="inlineStr">
        <is>
          <t>To a moderate extent</t>
        </is>
      </c>
      <c r="EL15" s="6" t="inlineStr">
        <is>
          <t>To a moderate extent</t>
        </is>
      </c>
      <c r="EM15" s="6" t="n"/>
      <c r="EN15" s="6" t="n"/>
      <c r="EO15" s="6" t="n"/>
      <c r="EP15" s="6" t="n"/>
      <c r="EQ15" s="6" t="inlineStr">
        <is>
          <t>To a slight extent</t>
        </is>
      </c>
      <c r="ER15" s="6" t="inlineStr">
        <is>
          <t>To a moderate extent</t>
        </is>
      </c>
      <c r="ES15" s="6" t="n"/>
      <c r="ET15" s="6" t="inlineStr">
        <is>
          <t>Don’t know or not applicable</t>
        </is>
      </c>
      <c r="EU15" s="6" t="inlineStr">
        <is>
          <t>Don’t know or not applicable</t>
        </is>
      </c>
      <c r="EV15" s="6" t="inlineStr">
        <is>
          <t>Don’t know or not applicable</t>
        </is>
      </c>
      <c r="EW15" s="6" t="n"/>
      <c r="EX15" s="6" t="n"/>
      <c r="EY15" s="6" t="inlineStr">
        <is>
          <t>Don’t know or not applicable</t>
        </is>
      </c>
      <c r="EZ15" s="6" t="inlineStr">
        <is>
          <t>Don’t know or not applicable</t>
        </is>
      </c>
      <c r="FA15" s="6" t="inlineStr">
        <is>
          <t>Don’t know or not applicable</t>
        </is>
      </c>
      <c r="FB15" s="6" t="inlineStr">
        <is>
          <t>Don’t know or not applicable</t>
        </is>
      </c>
      <c r="FC15" s="6" t="inlineStr">
        <is>
          <t>Don’t know or not applicable</t>
        </is>
      </c>
      <c r="FD15" s="6" t="inlineStr">
        <is>
          <t>Don’t know or not applicable</t>
        </is>
      </c>
      <c r="FE15" s="6" t="inlineStr">
        <is>
          <t>Don’t know or not applicable</t>
        </is>
      </c>
      <c r="FF15" s="6" t="inlineStr">
        <is>
          <t>Don’t know or not applicable</t>
        </is>
      </c>
      <c r="FG15" s="6" t="inlineStr">
        <is>
          <t>Don’t know or not applicable</t>
        </is>
      </c>
      <c r="FH15" s="6" t="inlineStr">
        <is>
          <t>To a slight extent</t>
        </is>
      </c>
      <c r="FI15" s="6" t="inlineStr">
        <is>
          <t>To a slight extent</t>
        </is>
      </c>
      <c r="FJ15" s="6" t="inlineStr">
        <is>
          <t>Not at all</t>
        </is>
      </c>
      <c r="FK15" s="6" t="inlineStr">
        <is>
          <t>To a slight extent</t>
        </is>
      </c>
      <c r="FL15" s="6" t="inlineStr">
        <is>
          <t>To a slight extent</t>
        </is>
      </c>
      <c r="FM15" s="6" t="inlineStr">
        <is>
          <t>To a slight extent</t>
        </is>
      </c>
      <c r="FN15" s="6" t="inlineStr">
        <is>
          <t>Don’t know or not applicable</t>
        </is>
      </c>
      <c r="FO15" s="6" t="inlineStr">
        <is>
          <t>Don’t know or not applicable</t>
        </is>
      </c>
      <c r="FP15" s="6" t="inlineStr">
        <is>
          <t>To a slight extent</t>
        </is>
      </c>
      <c r="FQ15" s="6" t="inlineStr">
        <is>
          <t>To a slight extent</t>
        </is>
      </c>
      <c r="FR15" s="6" t="inlineStr">
        <is>
          <t>To a moderate extent</t>
        </is>
      </c>
      <c r="FS15" s="6" t="inlineStr">
        <is>
          <t>Don’t know or not applicable</t>
        </is>
      </c>
      <c r="FT15" s="6" t="inlineStr">
        <is>
          <t>Don’t know or not applicable</t>
        </is>
      </c>
      <c r="FU15" s="6" t="n"/>
      <c r="FV15" s="6" t="n"/>
      <c r="FW15" s="6" t="inlineStr">
        <is>
          <t>The IMF dedicated the appropriate amount of resources</t>
        </is>
      </c>
      <c r="FX15" s="6" t="n"/>
      <c r="FY15" s="6" t="inlineStr">
        <is>
          <t>To a slight extent</t>
        </is>
      </c>
      <c r="FZ15" s="6" t="inlineStr">
        <is>
          <t>To a moderate extent</t>
        </is>
      </c>
      <c r="GA15" s="6" t="inlineStr">
        <is>
          <t>To a moderate extent</t>
        </is>
      </c>
      <c r="GB15" s="6" t="inlineStr">
        <is>
          <t>To a moderate extent</t>
        </is>
      </c>
      <c r="GC15" s="6" t="n"/>
      <c r="GD15" s="6" t="n"/>
      <c r="GE15" s="6" t="inlineStr">
        <is>
          <t>To a great extent</t>
        </is>
      </c>
      <c r="GF15" s="6" t="inlineStr">
        <is>
          <t>To a moderate extent</t>
        </is>
      </c>
      <c r="GG15" s="6" t="inlineStr">
        <is>
          <t>To a moderate extent</t>
        </is>
      </c>
      <c r="GH15" s="6" t="inlineStr">
        <is>
          <t>To a slight extent</t>
        </is>
      </c>
      <c r="GI15" s="6" t="inlineStr">
        <is>
          <t>To a moderate extent</t>
        </is>
      </c>
      <c r="GJ15" s="6" t="inlineStr">
        <is>
          <t>To a moderate extent</t>
        </is>
      </c>
      <c r="GK15" s="6" t="inlineStr">
        <is>
          <t>The IMF should continuously engage with its member countries on climate change-related issues by
leveraging its macroeconomic and financial expertise to support the integration of climate considerations into national policymaking, while adapting its tools and frameworks to address both immediate and long-term climate-related challenges. The Fund may adopt structured, inclusive, and transparent mechanisms that can guide the integration of climate considerations into macroeconomic policy and reform processes.</t>
        </is>
      </c>
      <c r="GL15" s="7">
        <f>DATE(2025,6,10)+TIME(10,33,15)</f>
        <v/>
      </c>
    </row>
    <row r="16" ht="47.25" customHeight="1">
      <c r="A16" s="3" t="inlineStr">
        <is>
          <t>Ivan</t>
        </is>
      </c>
      <c r="B16" s="3" t="inlineStr">
        <is>
          <t>Visser</t>
        </is>
      </c>
      <c r="C16" s="3" t="inlineStr">
        <is>
          <t>ivisser1@organization.org</t>
        </is>
      </c>
      <c r="D16" s="3" t="inlineStr">
        <is>
          <t>YJRJC9UBG</t>
        </is>
      </c>
      <c r="E16" s="3" t="n"/>
      <c r="F16" s="3" t="inlineStr">
        <is>
          <t>OEDNE</t>
        </is>
      </c>
      <c r="G16" s="3" t="n"/>
      <c r="H16" s="3" t="n"/>
      <c r="I16" s="3" t="n"/>
      <c r="J16" s="3" t="n"/>
      <c r="K16" s="3" t="n"/>
      <c r="L16" s="3" t="n"/>
      <c r="M16" s="3" t="n"/>
      <c r="N16" s="3" t="n"/>
      <c r="O16" s="3" t="n"/>
      <c r="P16" s="3" t="n"/>
      <c r="Q16" s="3" t="n"/>
      <c r="R16" s="3" t="n"/>
      <c r="S16" s="3" t="n"/>
      <c r="T16" s="3" t="n"/>
      <c r="U16" s="3" t="n"/>
      <c r="V16" s="3" t="n"/>
      <c r="W16" s="3" t="n"/>
      <c r="X16" s="3" t="inlineStr">
        <is>
          <t>North Macedonia</t>
        </is>
      </c>
      <c r="Y16" s="3" t="n"/>
      <c r="Z16" s="3" t="n"/>
      <c r="AA16" s="3" t="n"/>
      <c r="AB16" s="3" t="n"/>
      <c r="AC16" s="3" t="n"/>
      <c r="AD16" s="3" t="n"/>
      <c r="AE16" s="3" t="n"/>
      <c r="AF16" s="4" t="inlineStr">
        <is>
          <t>North Macedonia</t>
        </is>
      </c>
      <c r="AG16" s="3" t="inlineStr">
        <is>
          <t>The IMF should engage less on climate change-related issues</t>
        </is>
      </c>
      <c r="AH16" s="3" t="inlineStr">
        <is>
          <t>To a moderate extent</t>
        </is>
      </c>
      <c r="AI16" s="3" t="inlineStr">
        <is>
          <t>To a moderate extent</t>
        </is>
      </c>
      <c r="AJ16" s="3" t="inlineStr">
        <is>
          <t>Don’t know or not applicable</t>
        </is>
      </c>
      <c r="AK16" s="3" t="inlineStr">
        <is>
          <t>To a moderate extent</t>
        </is>
      </c>
      <c r="AL16" s="3" t="inlineStr">
        <is>
          <t>To a slight extent</t>
        </is>
      </c>
      <c r="AM16" s="3" t="inlineStr">
        <is>
          <t>Don’t know or not applicable</t>
        </is>
      </c>
      <c r="AN16" s="3" t="inlineStr">
        <is>
          <t>Don’t know or not applicable</t>
        </is>
      </c>
      <c r="AO16" s="3" t="inlineStr">
        <is>
          <t>Don’t know or not applicable</t>
        </is>
      </c>
      <c r="AP16" s="3" t="inlineStr">
        <is>
          <t>To a moderate extent</t>
        </is>
      </c>
      <c r="AQ16" s="3" t="inlineStr">
        <is>
          <t>To a moderate extent</t>
        </is>
      </c>
      <c r="AR16" s="3" t="inlineStr">
        <is>
          <t>To a moderate extent</t>
        </is>
      </c>
      <c r="AS16" s="3" t="n"/>
      <c r="AT16" s="3" t="inlineStr">
        <is>
          <t>Don’t know or not applicable</t>
        </is>
      </c>
      <c r="AU16" s="3" t="inlineStr">
        <is>
          <t>To a slight extent</t>
        </is>
      </c>
      <c r="AV16" s="3" t="inlineStr">
        <is>
          <t>Not at all</t>
        </is>
      </c>
      <c r="AW16" s="3" t="inlineStr">
        <is>
          <t>To a moderate extent</t>
        </is>
      </c>
      <c r="AX16" s="3" t="inlineStr">
        <is>
          <t>To a slight extent</t>
        </is>
      </c>
      <c r="AY16" s="3" t="inlineStr">
        <is>
          <t>To a great extent</t>
        </is>
      </c>
      <c r="AZ16" s="3" t="inlineStr">
        <is>
          <t>Don’t know or not applicable</t>
        </is>
      </c>
      <c r="BA16" s="3" t="inlineStr">
        <is>
          <t>Not at all</t>
        </is>
      </c>
      <c r="BB16" s="3" t="inlineStr">
        <is>
          <t>To a moderate extent</t>
        </is>
      </c>
      <c r="BC16" s="3" t="inlineStr">
        <is>
          <t>To a moderate extent</t>
        </is>
      </c>
      <c r="BD16" s="3" t="inlineStr">
        <is>
          <t>To a great extent</t>
        </is>
      </c>
      <c r="BE16" s="3" t="inlineStr">
        <is>
          <t>Don’t know or not applicable</t>
        </is>
      </c>
      <c r="BF16" s="3" t="inlineStr">
        <is>
          <t>Don’t know or not applicable</t>
        </is>
      </c>
      <c r="BG16" s="3" t="inlineStr">
        <is>
          <t>Don’t know or not applicable</t>
        </is>
      </c>
      <c r="BH16" s="3" t="inlineStr">
        <is>
          <t>Don’t know or not applicable</t>
        </is>
      </c>
      <c r="BI16" s="3" t="inlineStr">
        <is>
          <t>Don’t know or not applicable</t>
        </is>
      </c>
      <c r="BJ16" s="3" t="inlineStr">
        <is>
          <t>To a moderate extent</t>
        </is>
      </c>
      <c r="BK16" s="3" t="inlineStr">
        <is>
          <t>Not at all</t>
        </is>
      </c>
      <c r="BL16" s="3" t="inlineStr">
        <is>
          <t>To a moderate extent</t>
        </is>
      </c>
      <c r="BM16" s="3" t="inlineStr">
        <is>
          <t>Don’t know or not applicable</t>
        </is>
      </c>
      <c r="BN16" s="3" t="inlineStr">
        <is>
          <t>To a moderate extent</t>
        </is>
      </c>
      <c r="BO16" s="3" t="inlineStr">
        <is>
          <t>Don’t know or not applicable</t>
        </is>
      </c>
      <c r="BP16" s="3" t="inlineStr">
        <is>
          <t>Don’t know or not applicable</t>
        </is>
      </c>
      <c r="BQ16" s="3" t="inlineStr">
        <is>
          <t>Don’t know or not applicable</t>
        </is>
      </c>
      <c r="BR16" s="3" t="inlineStr">
        <is>
          <t>Don’t know or not applicable</t>
        </is>
      </c>
      <c r="BS16" s="3" t="n"/>
      <c r="BT16" s="3" t="inlineStr">
        <is>
          <t>The IMF dedicated an appropriate amount of resources</t>
        </is>
      </c>
      <c r="BU16" s="3" t="inlineStr">
        <is>
          <t>To a moderate extent</t>
        </is>
      </c>
      <c r="BV16" s="3" t="inlineStr">
        <is>
          <t>To a moderate extent</t>
        </is>
      </c>
      <c r="BW16" s="3" t="inlineStr">
        <is>
          <t>To a moderate extent</t>
        </is>
      </c>
      <c r="BX16" s="3" t="inlineStr">
        <is>
          <t>To a moderate extent</t>
        </is>
      </c>
      <c r="BY16" s="3" t="inlineStr">
        <is>
          <t>To a moderate extent</t>
        </is>
      </c>
      <c r="BZ16" s="3" t="inlineStr">
        <is>
          <t>To a moderate extent</t>
        </is>
      </c>
      <c r="CA16" s="3" t="inlineStr">
        <is>
          <t>To a moderate extent</t>
        </is>
      </c>
      <c r="CB16" s="3" t="inlineStr">
        <is>
          <t>To a moderate extent</t>
        </is>
      </c>
      <c r="CC16" s="3" t="inlineStr">
        <is>
          <t>To a moderate extent</t>
        </is>
      </c>
      <c r="CD16" s="3" t="inlineStr">
        <is>
          <t>To a moderate extent</t>
        </is>
      </c>
      <c r="CE16" s="3" t="inlineStr">
        <is>
          <t>To a moderate extent</t>
        </is>
      </c>
      <c r="CF16" s="3" t="inlineStr">
        <is>
          <t>To a moderate extent</t>
        </is>
      </c>
      <c r="CG16" s="3" t="n"/>
      <c r="CH16" s="3" t="inlineStr">
        <is>
          <t>No</t>
        </is>
      </c>
      <c r="CI16" s="3" t="inlineStr">
        <is>
          <t>Yes</t>
        </is>
      </c>
      <c r="CJ16" s="3" t="n"/>
      <c r="CK16" s="3" t="n"/>
      <c r="CL16" s="3" t="n"/>
      <c r="CM16" s="3" t="n"/>
      <c r="CN16" s="3" t="n"/>
      <c r="CO16" s="3" t="n"/>
      <c r="CP16" s="3" t="n"/>
      <c r="CQ16" s="3" t="n"/>
      <c r="CR16" s="3" t="n"/>
      <c r="CS16" s="3" t="n"/>
      <c r="CT16" s="3" t="n"/>
      <c r="CU16" s="3" t="n"/>
      <c r="CV16" s="3" t="n"/>
      <c r="CW16" s="3" t="n"/>
      <c r="CX16" s="3" t="n"/>
      <c r="CY16" s="3" t="n"/>
      <c r="CZ16" s="3" t="n"/>
      <c r="DA16" s="3" t="n"/>
      <c r="DB16" s="3" t="n"/>
      <c r="DC16" s="3" t="n"/>
      <c r="DD16" s="3" t="n"/>
      <c r="DE16" s="3" t="n"/>
      <c r="DF16" s="3" t="n"/>
      <c r="DG16" s="3" t="n"/>
      <c r="DH16" s="3" t="n"/>
      <c r="DI16" s="3" t="n"/>
      <c r="DJ16" s="3" t="n"/>
      <c r="DK16" s="3" t="n"/>
      <c r="DL16" s="3" t="n"/>
      <c r="DM16" s="3" t="n"/>
      <c r="DN16" s="3" t="n"/>
      <c r="DO16" s="3" t="n"/>
      <c r="DP16" s="3" t="n"/>
      <c r="DQ16" s="3" t="n"/>
      <c r="DR16" s="3" t="n"/>
      <c r="DS16" s="3" t="n"/>
      <c r="DT16" s="3" t="n"/>
      <c r="DU16" s="3" t="n"/>
      <c r="DV16" s="3" t="inlineStr">
        <is>
          <t>Other (please specify) : the focus shifted to other priorities</t>
        </is>
      </c>
      <c r="DW16" s="3" t="inlineStr">
        <is>
          <t>Yes</t>
        </is>
      </c>
      <c r="DX16" s="3" t="n"/>
      <c r="DY16" s="3" t="inlineStr">
        <is>
          <t>Regional development banks</t>
        </is>
      </c>
      <c r="DZ16" s="3" t="n"/>
      <c r="EA16" s="3" t="n"/>
      <c r="EB16" s="3" t="n"/>
      <c r="EC16" s="3" t="inlineStr">
        <is>
          <t>Don’t know or not applicable</t>
        </is>
      </c>
      <c r="ED16" s="3" t="inlineStr">
        <is>
          <t>Don’t know or not applicable</t>
        </is>
      </c>
      <c r="EE16" s="3" t="inlineStr">
        <is>
          <t>Don’t know or not applicable</t>
        </is>
      </c>
      <c r="EF16" s="3" t="inlineStr">
        <is>
          <t>To a moderate extent</t>
        </is>
      </c>
      <c r="EG16" s="3" t="inlineStr">
        <is>
          <t>To a slight extent</t>
        </is>
      </c>
      <c r="EH16" s="3" t="inlineStr">
        <is>
          <t>Don’t know or not applicable</t>
        </is>
      </c>
      <c r="EI16" s="3" t="inlineStr">
        <is>
          <t>Don’t know or not applicable</t>
        </is>
      </c>
      <c r="EJ16" s="3" t="inlineStr">
        <is>
          <t>To a moderate extent</t>
        </is>
      </c>
      <c r="EK16" s="3" t="inlineStr">
        <is>
          <t>Don’t know or not applicable</t>
        </is>
      </c>
      <c r="EL16" s="3" t="inlineStr">
        <is>
          <t>To a moderate extent</t>
        </is>
      </c>
      <c r="EM16" s="3" t="inlineStr">
        <is>
          <t>To a slight extent</t>
        </is>
      </c>
      <c r="EN16" s="3" t="inlineStr">
        <is>
          <t>Not at all</t>
        </is>
      </c>
      <c r="EO16" s="3" t="inlineStr">
        <is>
          <t>To a great extent</t>
        </is>
      </c>
      <c r="EP16" s="3" t="n"/>
      <c r="EQ16" s="3" t="inlineStr">
        <is>
          <t>Not at all</t>
        </is>
      </c>
      <c r="ER16" s="3" t="inlineStr">
        <is>
          <t>To a slight extent</t>
        </is>
      </c>
      <c r="ES16" s="3" t="n"/>
      <c r="ET16" s="3" t="n"/>
      <c r="EU16" s="3" t="n"/>
      <c r="EV16" s="3" t="n"/>
      <c r="EW16" s="3" t="n"/>
      <c r="EX16" s="3" t="n"/>
      <c r="EY16" s="3" t="n"/>
      <c r="EZ16" s="3" t="n"/>
      <c r="FA16" s="3" t="n"/>
      <c r="FB16" s="3" t="n"/>
      <c r="FC16" s="3" t="n"/>
      <c r="FD16" s="3" t="n"/>
      <c r="FE16" s="3" t="n"/>
      <c r="FF16" s="3" t="n"/>
      <c r="FG16" s="3" t="n"/>
      <c r="FH16" s="3" t="inlineStr">
        <is>
          <t>To a moderate extent</t>
        </is>
      </c>
      <c r="FI16" s="3" t="inlineStr">
        <is>
          <t>To a moderate extent</t>
        </is>
      </c>
      <c r="FJ16" s="3" t="inlineStr">
        <is>
          <t>Don’t know or not applicable</t>
        </is>
      </c>
      <c r="FK16" s="3" t="inlineStr">
        <is>
          <t>Not at all</t>
        </is>
      </c>
      <c r="FL16" s="3" t="inlineStr">
        <is>
          <t>To a moderate extent</t>
        </is>
      </c>
      <c r="FM16" s="3" t="inlineStr">
        <is>
          <t>To a moderate extent</t>
        </is>
      </c>
      <c r="FN16" s="3" t="inlineStr">
        <is>
          <t>Don’t know or not applicable</t>
        </is>
      </c>
      <c r="FO16" s="3" t="inlineStr">
        <is>
          <t>Don’t know or not applicable</t>
        </is>
      </c>
      <c r="FP16" s="3" t="inlineStr">
        <is>
          <t>Don’t know or not applicable</t>
        </is>
      </c>
      <c r="FQ16" s="3" t="inlineStr">
        <is>
          <t>Don’t know or not applicable</t>
        </is>
      </c>
      <c r="FR16" s="3" t="inlineStr">
        <is>
          <t>Don’t know or not applicable</t>
        </is>
      </c>
      <c r="FS16" s="3" t="inlineStr">
        <is>
          <t>Don’t know or not applicable</t>
        </is>
      </c>
      <c r="FT16" s="3" t="inlineStr">
        <is>
          <t>Don’t know or not applicable</t>
        </is>
      </c>
      <c r="FU16" s="3" t="inlineStr">
        <is>
          <t>Don’t know or not applicable</t>
        </is>
      </c>
      <c r="FV16" s="3" t="n"/>
      <c r="FW16" s="3" t="inlineStr">
        <is>
          <t>The IMF dedicated the appropriate amount of resources</t>
        </is>
      </c>
      <c r="FX16" s="3" t="n"/>
      <c r="FY16" s="3" t="inlineStr">
        <is>
          <t>Don’t know or not applicable</t>
        </is>
      </c>
      <c r="FZ16" s="3" t="inlineStr">
        <is>
          <t>To a moderate extent</t>
        </is>
      </c>
      <c r="GA16" s="3" t="inlineStr">
        <is>
          <t>To a great extent</t>
        </is>
      </c>
      <c r="GB16" s="3" t="inlineStr">
        <is>
          <t>To a moderate extent</t>
        </is>
      </c>
      <c r="GC16" s="3" t="n"/>
      <c r="GD16" s="3" t="n"/>
      <c r="GE16" s="3" t="inlineStr">
        <is>
          <t>To a great extent</t>
        </is>
      </c>
      <c r="GF16" s="3" t="inlineStr">
        <is>
          <t>To a moderate extent</t>
        </is>
      </c>
      <c r="GG16" s="3" t="inlineStr">
        <is>
          <t>To a moderate extent</t>
        </is>
      </c>
      <c r="GH16" s="3" t="inlineStr">
        <is>
          <t>To a slight extent</t>
        </is>
      </c>
      <c r="GI16" s="3" t="inlineStr">
        <is>
          <t>To a moderate extent</t>
        </is>
      </c>
      <c r="GJ16" s="3" t="inlineStr">
        <is>
          <t>To a moderate extent</t>
        </is>
      </c>
      <c r="GK16" s="3" t="n"/>
      <c r="GL16" s="5">
        <f>DATE(2025,6,25)+TIME(16,58,27)</f>
        <v/>
      </c>
    </row>
    <row r="17" ht="47.25" customHeight="1">
      <c r="A17" s="6" t="inlineStr">
        <is>
          <t>James</t>
        </is>
      </c>
      <c r="B17" s="6" t="inlineStr">
        <is>
          <t>Garcia</t>
        </is>
      </c>
      <c r="C17" s="6" t="inlineStr">
        <is>
          <t>jgarcia@organization.org</t>
        </is>
      </c>
      <c r="D17" s="6" t="inlineStr">
        <is>
          <t>VE2PTOF68</t>
        </is>
      </c>
      <c r="E17" s="6" t="n"/>
      <c r="F17" s="6" t="inlineStr">
        <is>
          <t>OEDST</t>
        </is>
      </c>
      <c r="G17" s="6" t="n"/>
      <c r="H17" s="6" t="n"/>
      <c r="I17" s="6" t="n"/>
      <c r="J17" s="6" t="n"/>
      <c r="K17" s="6" t="n"/>
      <c r="L17" s="6" t="n"/>
      <c r="M17" s="6" t="n"/>
      <c r="N17" s="6" t="n"/>
      <c r="O17" s="6" t="n"/>
      <c r="P17" s="6" t="n"/>
      <c r="Q17" s="6" t="n"/>
      <c r="R17" s="6" t="n"/>
      <c r="S17" s="6" t="n"/>
      <c r="T17" s="6" t="n"/>
      <c r="U17" s="6" t="n"/>
      <c r="V17" s="6" t="n"/>
      <c r="W17" s="6" t="n"/>
      <c r="X17" s="6" t="n"/>
      <c r="Y17" s="6" t="n"/>
      <c r="Z17" s="6" t="n"/>
      <c r="AA17" s="6" t="n"/>
      <c r="AB17" s="6" t="inlineStr">
        <is>
          <t>Cambodia</t>
        </is>
      </c>
      <c r="AC17" s="6" t="n"/>
      <c r="AD17" s="6" t="n"/>
      <c r="AE17" s="6" t="n"/>
      <c r="AF17" s="4" t="inlineStr">
        <is>
          <t>Cambodia</t>
        </is>
      </c>
      <c r="AG17" s="6" t="inlineStr">
        <is>
          <t>The IMF should engage a similar amount on climate change-related issues</t>
        </is>
      </c>
      <c r="AH17" s="6" t="inlineStr">
        <is>
          <t>To a moderate extent</t>
        </is>
      </c>
      <c r="AI17" s="6" t="inlineStr">
        <is>
          <t>To a moderate extent</t>
        </is>
      </c>
      <c r="AJ17" s="6" t="inlineStr">
        <is>
          <t>To a moderate extent</t>
        </is>
      </c>
      <c r="AK17" s="6" t="inlineStr">
        <is>
          <t>To a great extent</t>
        </is>
      </c>
      <c r="AL17" s="6" t="inlineStr">
        <is>
          <t>To a great extent</t>
        </is>
      </c>
      <c r="AM17" s="6" t="inlineStr">
        <is>
          <t>To a great extent</t>
        </is>
      </c>
      <c r="AN17" s="6" t="inlineStr">
        <is>
          <t>To a moderate extent</t>
        </is>
      </c>
      <c r="AO17" s="6" t="inlineStr">
        <is>
          <t>Don’t know or not applicable</t>
        </is>
      </c>
      <c r="AP17" s="6" t="inlineStr">
        <is>
          <t>Don’t know or not applicable</t>
        </is>
      </c>
      <c r="AQ17" s="6" t="inlineStr">
        <is>
          <t>Don’t know or not applicable</t>
        </is>
      </c>
      <c r="AR17" s="6" t="inlineStr">
        <is>
          <t>To a moderate extent</t>
        </is>
      </c>
      <c r="AS17" s="6" t="n"/>
      <c r="AT17" s="6" t="inlineStr">
        <is>
          <t>Don’t know or not applicable</t>
        </is>
      </c>
      <c r="AU17" s="6" t="inlineStr">
        <is>
          <t>Don’t know or not applicable</t>
        </is>
      </c>
      <c r="AV17" s="6" t="inlineStr">
        <is>
          <t>Don’t know or not applicable</t>
        </is>
      </c>
      <c r="AW17" s="6" t="inlineStr">
        <is>
          <t>To a moderate extent</t>
        </is>
      </c>
      <c r="AX17" s="6" t="inlineStr">
        <is>
          <t>Don’t know or not applicable</t>
        </is>
      </c>
      <c r="AY17" s="6" t="inlineStr">
        <is>
          <t>To a moderate extent</t>
        </is>
      </c>
      <c r="AZ17" s="6" t="inlineStr">
        <is>
          <t>Don’t know or not applicable</t>
        </is>
      </c>
      <c r="BA17" s="6" t="inlineStr">
        <is>
          <t>Don’t know or not applicable</t>
        </is>
      </c>
      <c r="BB17" s="6" t="inlineStr">
        <is>
          <t>To a moderate extent</t>
        </is>
      </c>
      <c r="BC17" s="6" t="inlineStr">
        <is>
          <t>Don’t know or not applicable</t>
        </is>
      </c>
      <c r="BD17" s="6" t="inlineStr">
        <is>
          <t>To a moderate extent</t>
        </is>
      </c>
      <c r="BE17" s="6" t="inlineStr">
        <is>
          <t>Don’t know or not applicable</t>
        </is>
      </c>
      <c r="BF17" s="6" t="inlineStr">
        <is>
          <t>Don’t know or not applicable</t>
        </is>
      </c>
      <c r="BG17" s="6" t="inlineStr">
        <is>
          <t>Don’t know or not applicable</t>
        </is>
      </c>
      <c r="BH17" s="6" t="inlineStr">
        <is>
          <t>Don’t know or not applicable</t>
        </is>
      </c>
      <c r="BI17" s="6" t="inlineStr">
        <is>
          <t>Don’t know or not applicable</t>
        </is>
      </c>
      <c r="BJ17" s="6" t="inlineStr">
        <is>
          <t>Don’t know or not applicable</t>
        </is>
      </c>
      <c r="BK17" s="6" t="inlineStr">
        <is>
          <t>Don’t know or not applicable</t>
        </is>
      </c>
      <c r="BL17" s="6" t="inlineStr">
        <is>
          <t>Don’t know or not applicable</t>
        </is>
      </c>
      <c r="BM17" s="6" t="inlineStr">
        <is>
          <t>Don’t know or not applicable</t>
        </is>
      </c>
      <c r="BN17" s="6" t="inlineStr">
        <is>
          <t>Don’t know or not applicable</t>
        </is>
      </c>
      <c r="BO17" s="6" t="inlineStr">
        <is>
          <t>Don’t know or not applicable</t>
        </is>
      </c>
      <c r="BP17" s="6" t="inlineStr">
        <is>
          <t>Don’t know or not applicable</t>
        </is>
      </c>
      <c r="BQ17" s="6" t="inlineStr">
        <is>
          <t>Don’t know or not applicable</t>
        </is>
      </c>
      <c r="BR17" s="6" t="inlineStr">
        <is>
          <t>Don’t know or not applicable</t>
        </is>
      </c>
      <c r="BS17" s="6" t="n"/>
      <c r="BT17" s="6" t="inlineStr">
        <is>
          <t>The IMF dedicated an appropriate amount of resources</t>
        </is>
      </c>
      <c r="BU17" s="6" t="inlineStr">
        <is>
          <t>To a slight extent</t>
        </is>
      </c>
      <c r="BV17" s="6" t="inlineStr">
        <is>
          <t>To a moderate extent</t>
        </is>
      </c>
      <c r="BW17" s="6" t="inlineStr">
        <is>
          <t>Don’t know or not applicable</t>
        </is>
      </c>
      <c r="BX17" s="6" t="inlineStr">
        <is>
          <t>Don’t know or not applicable</t>
        </is>
      </c>
      <c r="BY17" s="6" t="inlineStr">
        <is>
          <t>Don’t know or not applicable</t>
        </is>
      </c>
      <c r="BZ17" s="6" t="inlineStr">
        <is>
          <t>Don’t know or not applicable</t>
        </is>
      </c>
      <c r="CA17" s="6" t="inlineStr">
        <is>
          <t>Don’t know or not applicable</t>
        </is>
      </c>
      <c r="CB17" s="6" t="inlineStr">
        <is>
          <t>Don’t know or not applicable</t>
        </is>
      </c>
      <c r="CC17" s="6" t="inlineStr">
        <is>
          <t>Don’t know or not applicable</t>
        </is>
      </c>
      <c r="CD17" s="6" t="inlineStr">
        <is>
          <t>To a slight extent</t>
        </is>
      </c>
      <c r="CE17" s="6" t="inlineStr">
        <is>
          <t>To a slight extent</t>
        </is>
      </c>
      <c r="CF17" s="6" t="inlineStr">
        <is>
          <t>To a slight extent</t>
        </is>
      </c>
      <c r="CG17" s="6" t="n"/>
      <c r="CH17" s="6" t="inlineStr">
        <is>
          <t>No</t>
        </is>
      </c>
      <c r="CI17" s="6" t="inlineStr">
        <is>
          <t>No</t>
        </is>
      </c>
      <c r="CJ17" s="6" t="n"/>
      <c r="CK17" s="6" t="n"/>
      <c r="CL17" s="6" t="n"/>
      <c r="CM17" s="6" t="n"/>
      <c r="CN17" s="6" t="n"/>
      <c r="CO17" s="6" t="n"/>
      <c r="CP17" s="6" t="n"/>
      <c r="CQ17" s="6" t="n"/>
      <c r="CR17" s="6" t="n"/>
      <c r="CS17" s="6" t="n"/>
      <c r="CT17" s="6" t="n"/>
      <c r="CU17" s="6" t="n"/>
      <c r="CV17" s="6" t="n"/>
      <c r="CW17" s="6" t="n"/>
      <c r="CX17" s="6" t="n"/>
      <c r="CY17" s="6" t="n"/>
      <c r="CZ17" s="6" t="n"/>
      <c r="DA17" s="6" t="n"/>
      <c r="DB17" s="6" t="n"/>
      <c r="DC17" s="6" t="n"/>
      <c r="DD17" s="6" t="n"/>
      <c r="DE17" s="6" t="n"/>
      <c r="DF17" s="6" t="n"/>
      <c r="DG17" s="6" t="n"/>
      <c r="DH17" s="6" t="n"/>
      <c r="DI17" s="6" t="n"/>
      <c r="DJ17" s="6" t="n"/>
      <c r="DK17" s="6" t="n"/>
      <c r="DL17" s="6" t="n"/>
      <c r="DM17" s="6" t="n"/>
      <c r="DN17" s="6" t="n"/>
      <c r="DO17" s="6" t="n"/>
      <c r="DP17" s="6" t="n"/>
      <c r="DQ17" s="6" t="n"/>
      <c r="DR17" s="6" t="n"/>
      <c r="DS17" s="6" t="inlineStr">
        <is>
          <t>More convenient alternative financing options</t>
        </is>
      </c>
      <c r="DT17" s="6" t="n"/>
      <c r="DU17" s="6" t="n"/>
      <c r="DV17" s="6" t="n"/>
      <c r="DW17" s="6" t="inlineStr">
        <is>
          <t>Don't know</t>
        </is>
      </c>
      <c r="DX17" s="6" t="n"/>
      <c r="DY17" s="6" t="n"/>
      <c r="DZ17" s="6" t="n"/>
      <c r="EA17" s="6" t="n"/>
      <c r="EB17" s="6" t="n"/>
      <c r="EC17" s="6" t="n"/>
      <c r="ED17" s="6" t="n"/>
      <c r="EE17" s="6" t="n"/>
      <c r="EF17" s="6" t="inlineStr">
        <is>
          <t>Don’t know or not applicable</t>
        </is>
      </c>
      <c r="EG17" s="6" t="inlineStr">
        <is>
          <t>Don’t know or not applicable</t>
        </is>
      </c>
      <c r="EH17" s="6" t="inlineStr">
        <is>
          <t>Don’t know or not applicable</t>
        </is>
      </c>
      <c r="EI17" s="6" t="inlineStr">
        <is>
          <t>Don’t know or not applicable</t>
        </is>
      </c>
      <c r="EJ17" s="6" t="inlineStr">
        <is>
          <t>Don’t know or not applicable</t>
        </is>
      </c>
      <c r="EK17" s="6" t="inlineStr">
        <is>
          <t>Don’t know or not applicable</t>
        </is>
      </c>
      <c r="EL17" s="6" t="inlineStr">
        <is>
          <t>Not at all</t>
        </is>
      </c>
      <c r="EM17" s="6" t="n"/>
      <c r="EN17" s="6" t="n"/>
      <c r="EO17" s="6" t="n"/>
      <c r="EP17" s="6" t="n"/>
      <c r="EQ17" s="6" t="inlineStr">
        <is>
          <t>To a slight extent</t>
        </is>
      </c>
      <c r="ER17" s="6" t="inlineStr">
        <is>
          <t>Not at all</t>
        </is>
      </c>
      <c r="ES17" s="6" t="n"/>
      <c r="ET17" s="6" t="inlineStr">
        <is>
          <t>Don’t know or not applicable</t>
        </is>
      </c>
      <c r="EU17" s="6" t="inlineStr">
        <is>
          <t>Don’t know or not applicable</t>
        </is>
      </c>
      <c r="EV17" s="6" t="inlineStr">
        <is>
          <t>Don’t know or not applicable</t>
        </is>
      </c>
      <c r="EW17" s="6" t="inlineStr">
        <is>
          <t>Don’t know or not applicable</t>
        </is>
      </c>
      <c r="EX17" s="6" t="n"/>
      <c r="EY17" s="6" t="inlineStr">
        <is>
          <t>Don’t know or not applicable</t>
        </is>
      </c>
      <c r="EZ17" s="6" t="inlineStr">
        <is>
          <t>Don’t know or not applicable</t>
        </is>
      </c>
      <c r="FA17" s="6" t="inlineStr">
        <is>
          <t>Don’t know or not applicable</t>
        </is>
      </c>
      <c r="FB17" s="6" t="inlineStr">
        <is>
          <t>Don’t know or not applicable</t>
        </is>
      </c>
      <c r="FC17" s="6" t="inlineStr">
        <is>
          <t>Don’t know or not applicable</t>
        </is>
      </c>
      <c r="FD17" s="6" t="inlineStr">
        <is>
          <t>Don’t know or not applicable</t>
        </is>
      </c>
      <c r="FE17" s="6" t="inlineStr">
        <is>
          <t>Don’t know or not applicable</t>
        </is>
      </c>
      <c r="FF17" s="6" t="inlineStr">
        <is>
          <t>Don’t know or not applicable</t>
        </is>
      </c>
      <c r="FG17" s="6" t="inlineStr">
        <is>
          <t>Don’t know or not applicable</t>
        </is>
      </c>
      <c r="FH17" s="6" t="n"/>
      <c r="FI17" s="6" t="n"/>
      <c r="FJ17" s="6" t="n"/>
      <c r="FK17" s="6" t="n"/>
      <c r="FL17" s="6" t="n"/>
      <c r="FM17" s="6" t="n"/>
      <c r="FN17" s="6" t="n"/>
      <c r="FO17" s="6" t="n"/>
      <c r="FP17" s="6" t="n"/>
      <c r="FQ17" s="6" t="n"/>
      <c r="FR17" s="6" t="inlineStr">
        <is>
          <t>Don’t know or not applicable</t>
        </is>
      </c>
      <c r="FS17" s="6" t="inlineStr">
        <is>
          <t>Don’t know or not applicable</t>
        </is>
      </c>
      <c r="FT17" s="6" t="inlineStr">
        <is>
          <t>Don’t know or not applicable</t>
        </is>
      </c>
      <c r="FU17" s="6" t="inlineStr">
        <is>
          <t>Don’t know or not applicable</t>
        </is>
      </c>
      <c r="FV17" s="6" t="n"/>
      <c r="FW17" s="6" t="inlineStr">
        <is>
          <t>The IMF dedicated the appropriate amount of resources</t>
        </is>
      </c>
      <c r="FX17" s="6" t="n"/>
      <c r="FY17" s="6" t="inlineStr">
        <is>
          <t>Don’t know or not applicable</t>
        </is>
      </c>
      <c r="FZ17" s="6" t="inlineStr">
        <is>
          <t>Don’t know or not applicable</t>
        </is>
      </c>
      <c r="GA17" s="6" t="inlineStr">
        <is>
          <t>Don’t know or not applicable</t>
        </is>
      </c>
      <c r="GB17" s="6" t="inlineStr">
        <is>
          <t>Don’t know or not applicable</t>
        </is>
      </c>
      <c r="GC17" s="6" t="inlineStr">
        <is>
          <t>Don’t know or not applicable</t>
        </is>
      </c>
      <c r="GD17" s="6" t="n"/>
      <c r="GE17" s="6" t="inlineStr">
        <is>
          <t>To a moderate extent</t>
        </is>
      </c>
      <c r="GF17" s="6" t="inlineStr">
        <is>
          <t>To a slight extent</t>
        </is>
      </c>
      <c r="GG17" s="6" t="inlineStr">
        <is>
          <t>To a moderate extent</t>
        </is>
      </c>
      <c r="GH17" s="6" t="inlineStr">
        <is>
          <t>To a slight extent</t>
        </is>
      </c>
      <c r="GI17" s="6" t="inlineStr">
        <is>
          <t>To a great extent</t>
        </is>
      </c>
      <c r="GJ17" s="6" t="inlineStr">
        <is>
          <t>To a great extent</t>
        </is>
      </c>
      <c r="GK17" s="6" t="n"/>
      <c r="GL17" s="7">
        <f>DATE(2025,6,6)+TIME(16,49,8)</f>
        <v/>
      </c>
    </row>
    <row r="18" ht="409.5" customHeight="1">
      <c r="A18" s="3" t="inlineStr">
        <is>
          <t>Olga</t>
        </is>
      </c>
      <c r="B18" s="3" t="inlineStr">
        <is>
          <t>Chen</t>
        </is>
      </c>
      <c r="C18" s="3" t="inlineStr">
        <is>
          <t>ochen@organization.org</t>
        </is>
      </c>
      <c r="D18" s="3" t="inlineStr">
        <is>
          <t>5T74CQJ6F</t>
        </is>
      </c>
      <c r="E18" s="3" t="n"/>
      <c r="F18" s="3" t="inlineStr">
        <is>
          <t>OEDMI</t>
        </is>
      </c>
      <c r="G18" s="3" t="n"/>
      <c r="H18" s="3" t="n"/>
      <c r="I18" s="3" t="n"/>
      <c r="J18" s="3" t="n"/>
      <c r="K18" s="3" t="n"/>
      <c r="L18" s="3" t="n"/>
      <c r="M18" s="3" t="n"/>
      <c r="N18" s="3" t="n"/>
      <c r="O18" s="3" t="n"/>
      <c r="P18" s="3" t="n"/>
      <c r="Q18" s="3" t="n"/>
      <c r="R18" s="3" t="n"/>
      <c r="S18" s="3" t="n"/>
      <c r="T18" s="3" t="n"/>
      <c r="U18" s="3" t="n"/>
      <c r="V18" s="3" t="n"/>
      <c r="W18" s="3" t="inlineStr">
        <is>
          <t>Bahrain</t>
        </is>
      </c>
      <c r="X18" s="3" t="n"/>
      <c r="Y18" s="3" t="n"/>
      <c r="Z18" s="3" t="n"/>
      <c r="AA18" s="3" t="n"/>
      <c r="AB18" s="3" t="n"/>
      <c r="AC18" s="3" t="n"/>
      <c r="AD18" s="3" t="n"/>
      <c r="AE18" s="3" t="n"/>
      <c r="AF18" s="4" t="inlineStr">
        <is>
          <t>Bahrain</t>
        </is>
      </c>
      <c r="AG18" s="3" t="inlineStr">
        <is>
          <t>The IMF should engage less on climate change-related issues</t>
        </is>
      </c>
      <c r="AH18" s="3" t="inlineStr">
        <is>
          <t>To a slight extent</t>
        </is>
      </c>
      <c r="AI18" s="3" t="inlineStr">
        <is>
          <t>To a slight extent</t>
        </is>
      </c>
      <c r="AJ18" s="3" t="inlineStr">
        <is>
          <t>To a slight extent</t>
        </is>
      </c>
      <c r="AK18" s="3" t="inlineStr">
        <is>
          <t>To a slight extent</t>
        </is>
      </c>
      <c r="AL18" s="3" t="inlineStr">
        <is>
          <t>To a slight extent</t>
        </is>
      </c>
      <c r="AM18" s="3" t="inlineStr">
        <is>
          <t>Don’t know or not applicable</t>
        </is>
      </c>
      <c r="AN18" s="3" t="inlineStr">
        <is>
          <t>Not at all</t>
        </is>
      </c>
      <c r="AO18" s="3" t="inlineStr">
        <is>
          <t>Not at all</t>
        </is>
      </c>
      <c r="AP18" s="3" t="inlineStr">
        <is>
          <t>Not at all</t>
        </is>
      </c>
      <c r="AQ18" s="3" t="inlineStr">
        <is>
          <t>Not at all</t>
        </is>
      </c>
      <c r="AR18" s="3" t="inlineStr">
        <is>
          <t>Not at all</t>
        </is>
      </c>
      <c r="AS18" s="3" t="n"/>
      <c r="AT18" s="3" t="inlineStr">
        <is>
          <t>Not at all</t>
        </is>
      </c>
      <c r="AU18" s="3" t="inlineStr">
        <is>
          <t>Not at all</t>
        </is>
      </c>
      <c r="AV18" s="3" t="inlineStr">
        <is>
          <t>Not at all</t>
        </is>
      </c>
      <c r="AW18" s="3" t="inlineStr">
        <is>
          <t>Not at all</t>
        </is>
      </c>
      <c r="AX18" s="3" t="inlineStr">
        <is>
          <t>Not at all</t>
        </is>
      </c>
      <c r="AY18" s="3" t="inlineStr">
        <is>
          <t>Not at all</t>
        </is>
      </c>
      <c r="AZ18" s="3" t="inlineStr">
        <is>
          <t>To a slight extent</t>
        </is>
      </c>
      <c r="BA18" s="3" t="inlineStr">
        <is>
          <t>To a great extent</t>
        </is>
      </c>
      <c r="BB18" s="3" t="inlineStr">
        <is>
          <t>To a slight extent</t>
        </is>
      </c>
      <c r="BC18" s="3" t="inlineStr">
        <is>
          <t>To a slight extent</t>
        </is>
      </c>
      <c r="BD18" s="3" t="inlineStr">
        <is>
          <t>To a slight extent</t>
        </is>
      </c>
      <c r="BE18" s="3" t="inlineStr">
        <is>
          <t>Not at all</t>
        </is>
      </c>
      <c r="BF18" s="3" t="inlineStr">
        <is>
          <t>Not at all</t>
        </is>
      </c>
      <c r="BG18" s="3" t="inlineStr">
        <is>
          <t>Not at all</t>
        </is>
      </c>
      <c r="BH18" s="3" t="inlineStr">
        <is>
          <t>Not at all</t>
        </is>
      </c>
      <c r="BI18" s="3" t="inlineStr">
        <is>
          <t>Not at all</t>
        </is>
      </c>
      <c r="BJ18" s="3" t="inlineStr">
        <is>
          <t>To a slight extent</t>
        </is>
      </c>
      <c r="BK18" s="3" t="inlineStr">
        <is>
          <t>To a moderate extent</t>
        </is>
      </c>
      <c r="BL18" s="3" t="inlineStr">
        <is>
          <t>To a slight extent</t>
        </is>
      </c>
      <c r="BM18" s="3" t="inlineStr">
        <is>
          <t>To a slight extent</t>
        </is>
      </c>
      <c r="BN18" s="3" t="inlineStr">
        <is>
          <t>To a slight extent</t>
        </is>
      </c>
      <c r="BO18" s="3" t="inlineStr">
        <is>
          <t>Not at all</t>
        </is>
      </c>
      <c r="BP18" s="3" t="inlineStr">
        <is>
          <t>Not at all</t>
        </is>
      </c>
      <c r="BQ18" s="3" t="inlineStr">
        <is>
          <t>Not at all</t>
        </is>
      </c>
      <c r="BR18" s="3" t="inlineStr">
        <is>
          <t>Not at all</t>
        </is>
      </c>
      <c r="BS18" s="3" t="n"/>
      <c r="BT18" s="3" t="inlineStr">
        <is>
          <t>The IMF should have dedicated less resources</t>
        </is>
      </c>
      <c r="BU18" s="3" t="inlineStr">
        <is>
          <t>To a slight extent</t>
        </is>
      </c>
      <c r="BV18" s="3" t="inlineStr">
        <is>
          <t>Not at all</t>
        </is>
      </c>
      <c r="BW18" s="3" t="inlineStr">
        <is>
          <t>To a slight extent</t>
        </is>
      </c>
      <c r="BX18" s="3" t="inlineStr">
        <is>
          <t>To a moderate extent</t>
        </is>
      </c>
      <c r="BY18" s="3" t="inlineStr">
        <is>
          <t>Not at all</t>
        </is>
      </c>
      <c r="BZ18" s="3" t="inlineStr">
        <is>
          <t>To a moderate extent</t>
        </is>
      </c>
      <c r="CA18" s="3" t="inlineStr">
        <is>
          <t>To a slight extent</t>
        </is>
      </c>
      <c r="CB18" s="3" t="inlineStr">
        <is>
          <t>Not at all</t>
        </is>
      </c>
      <c r="CC18" s="3" t="inlineStr">
        <is>
          <t>To a slight extent</t>
        </is>
      </c>
      <c r="CD18" s="3" t="inlineStr">
        <is>
          <t>To a slight extent</t>
        </is>
      </c>
      <c r="CE18" s="3" t="inlineStr">
        <is>
          <t>Not at all</t>
        </is>
      </c>
      <c r="CF18" s="3" t="inlineStr">
        <is>
          <t>To a slight extent</t>
        </is>
      </c>
      <c r="CG18" s="3" t="n"/>
      <c r="CH18" s="3" t="inlineStr">
        <is>
          <t>No</t>
        </is>
      </c>
      <c r="CI18" s="3" t="inlineStr">
        <is>
          <t>No</t>
        </is>
      </c>
      <c r="CJ18" s="3" t="n"/>
      <c r="CK18" s="3" t="n"/>
      <c r="CL18" s="3" t="n"/>
      <c r="CM18" s="3" t="n"/>
      <c r="CN18" s="3" t="n"/>
      <c r="CO18" s="3" t="n"/>
      <c r="CP18" s="3" t="n"/>
      <c r="CQ18" s="3" t="n"/>
      <c r="CR18" s="3" t="n"/>
      <c r="CS18" s="3" t="n"/>
      <c r="CT18" s="3" t="n"/>
      <c r="CU18" s="3" t="n"/>
      <c r="CV18" s="3" t="n"/>
      <c r="CW18" s="3" t="n"/>
      <c r="CX18" s="3" t="n"/>
      <c r="CY18" s="3" t="n"/>
      <c r="CZ18" s="3" t="n"/>
      <c r="DA18" s="3" t="n"/>
      <c r="DB18" s="3" t="n"/>
      <c r="DC18" s="3" t="n"/>
      <c r="DD18" s="3" t="n"/>
      <c r="DE18" s="3" t="n"/>
      <c r="DF18" s="3" t="n"/>
      <c r="DG18" s="3" t="n"/>
      <c r="DH18" s="3" t="n"/>
      <c r="DI18" s="3" t="n"/>
      <c r="DJ18" s="3" t="n"/>
      <c r="DK18" s="3" t="n"/>
      <c r="DL18" s="3" t="n"/>
      <c r="DM18" s="3" t="n"/>
      <c r="DN18" s="3" t="n"/>
      <c r="DO18" s="3" t="n"/>
      <c r="DP18" s="3" t="inlineStr">
        <is>
          <t>My country is not eligible for an RSF arrangement</t>
        </is>
      </c>
      <c r="DQ18" s="3" t="inlineStr">
        <is>
          <t>Climate change does not pose a major balance of payments risk in my country</t>
        </is>
      </c>
      <c r="DR18" s="3" t="n"/>
      <c r="DS18" s="3" t="n"/>
      <c r="DT18" s="3" t="n"/>
      <c r="DU18" s="3" t="n"/>
      <c r="DV18" s="3" t="inlineStr">
        <is>
          <t>Other (please specify) : does not need financing</t>
        </is>
      </c>
      <c r="DW18" s="3" t="inlineStr">
        <is>
          <t>No</t>
        </is>
      </c>
      <c r="DX18" s="3" t="n"/>
      <c r="DY18" s="3" t="n"/>
      <c r="DZ18" s="3" t="n"/>
      <c r="EA18" s="3" t="n"/>
      <c r="EB18" s="3" t="n"/>
      <c r="EC18" s="3" t="n"/>
      <c r="ED18" s="3" t="n"/>
      <c r="EE18" s="3" t="n"/>
      <c r="EF18" s="3" t="inlineStr">
        <is>
          <t>To a great extent</t>
        </is>
      </c>
      <c r="EG18" s="3" t="inlineStr">
        <is>
          <t>To a slight extent</t>
        </is>
      </c>
      <c r="EH18" s="3" t="inlineStr">
        <is>
          <t>To a slight extent</t>
        </is>
      </c>
      <c r="EI18" s="3" t="inlineStr">
        <is>
          <t>To a great extent</t>
        </is>
      </c>
      <c r="EJ18" s="3" t="inlineStr">
        <is>
          <t>To a great extent</t>
        </is>
      </c>
      <c r="EK18" s="3" t="inlineStr">
        <is>
          <t>To a great extent</t>
        </is>
      </c>
      <c r="EL18" s="3" t="inlineStr">
        <is>
          <t>To a moderate extent</t>
        </is>
      </c>
      <c r="EM18" s="3" t="n"/>
      <c r="EN18" s="3" t="n"/>
      <c r="EO18" s="3" t="n"/>
      <c r="EP18" s="3" t="n"/>
      <c r="EQ18" s="3" t="inlineStr">
        <is>
          <t>To a slight extent</t>
        </is>
      </c>
      <c r="ER18" s="3" t="inlineStr">
        <is>
          <t>Not at all</t>
        </is>
      </c>
      <c r="ES18" s="3" t="n"/>
      <c r="ET18" s="3" t="inlineStr">
        <is>
          <t>Not at all</t>
        </is>
      </c>
      <c r="EU18" s="3" t="inlineStr">
        <is>
          <t>Not at all</t>
        </is>
      </c>
      <c r="EV18" s="3" t="inlineStr">
        <is>
          <t>Not at all</t>
        </is>
      </c>
      <c r="EW18" s="3" t="inlineStr">
        <is>
          <t>Not at all</t>
        </is>
      </c>
      <c r="EX18" s="3" t="n"/>
      <c r="EY18" s="3" t="inlineStr">
        <is>
          <t>To a slight extent</t>
        </is>
      </c>
      <c r="EZ18" s="3" t="inlineStr">
        <is>
          <t>To a moderate extent</t>
        </is>
      </c>
      <c r="FA18" s="3" t="inlineStr">
        <is>
          <t>To a slight extent</t>
        </is>
      </c>
      <c r="FB18" s="3" t="inlineStr">
        <is>
          <t>To a slight extent</t>
        </is>
      </c>
      <c r="FC18" s="3" t="inlineStr">
        <is>
          <t>To a slight extent</t>
        </is>
      </c>
      <c r="FD18" s="3" t="inlineStr">
        <is>
          <t>To a slight extent</t>
        </is>
      </c>
      <c r="FE18" s="3" t="inlineStr">
        <is>
          <t>Not at all</t>
        </is>
      </c>
      <c r="FF18" s="3" t="inlineStr">
        <is>
          <t>Not at all</t>
        </is>
      </c>
      <c r="FG18" s="3" t="inlineStr">
        <is>
          <t>Not at all</t>
        </is>
      </c>
      <c r="FH18" s="3" t="n"/>
      <c r="FI18" s="3" t="n"/>
      <c r="FJ18" s="3" t="n"/>
      <c r="FK18" s="3" t="n"/>
      <c r="FL18" s="3" t="n"/>
      <c r="FM18" s="3" t="n"/>
      <c r="FN18" s="3" t="n"/>
      <c r="FO18" s="3" t="n"/>
      <c r="FP18" s="3" t="n"/>
      <c r="FQ18" s="3" t="n"/>
      <c r="FR18" s="3" t="inlineStr">
        <is>
          <t>Not at all</t>
        </is>
      </c>
      <c r="FS18" s="3" t="inlineStr">
        <is>
          <t>Not at all</t>
        </is>
      </c>
      <c r="FT18" s="3" t="inlineStr">
        <is>
          <t>Not at all</t>
        </is>
      </c>
      <c r="FU18" s="3" t="inlineStr">
        <is>
          <t>Not at all</t>
        </is>
      </c>
      <c r="FV18" s="3" t="n"/>
      <c r="FW18" s="3" t="inlineStr">
        <is>
          <t>The IMF should have dedicated less resources</t>
        </is>
      </c>
      <c r="FX18" s="3" t="n"/>
      <c r="FY18" s="3" t="inlineStr">
        <is>
          <t>To a moderate extent</t>
        </is>
      </c>
      <c r="FZ18" s="3" t="inlineStr">
        <is>
          <t>To a slight extent</t>
        </is>
      </c>
      <c r="GA18" s="3" t="inlineStr">
        <is>
          <t>To a slight extent</t>
        </is>
      </c>
      <c r="GB18" s="3" t="inlineStr">
        <is>
          <t>Not at all</t>
        </is>
      </c>
      <c r="GC18" s="3" t="inlineStr">
        <is>
          <t>Not at all</t>
        </is>
      </c>
      <c r="GD18" s="3" t="n"/>
      <c r="GE18" s="3" t="inlineStr">
        <is>
          <t>To a moderate extent</t>
        </is>
      </c>
      <c r="GF18" s="3" t="inlineStr">
        <is>
          <t>To a slight extent</t>
        </is>
      </c>
      <c r="GG18" s="3" t="inlineStr">
        <is>
          <t>To a moderate extent</t>
        </is>
      </c>
      <c r="GH18" s="3" t="inlineStr">
        <is>
          <t>To a slight extent</t>
        </is>
      </c>
      <c r="GI18" s="3" t="inlineStr">
        <is>
          <t>To a moderate extent</t>
        </is>
      </c>
      <c r="GJ18" s="3" t="inlineStr">
        <is>
          <t>To a moderate extent</t>
        </is>
      </c>
      <c r="GK18" s="3" t="inlineStr">
        <is>
          <t>The Comprehensive Surveillance Review (CSR) should determine the
Fund's engagement in non-core areas, mindful of the need to
prioritize the core mandate.
Such engagement should be conditional on macro-criticality, which
needs to be carefully defined in the context of the CSR.
This applies to the Fund's work on climate change-related issues.
When carried out, the Fund's work on climate change-related issues
should pay close attention to adaptation and transition challenges,
especially in countries facing heightened vulnerabilities.</t>
        </is>
      </c>
      <c r="GL18" s="5">
        <f>DATE(2025,6,6)+TIME(13,5,41)</f>
        <v/>
      </c>
    </row>
    <row r="19" ht="110.25" customHeight="1">
      <c r="A19" s="6" t="inlineStr">
        <is>
          <t>Olga</t>
        </is>
      </c>
      <c r="B19" s="6" t="inlineStr">
        <is>
          <t>Horvath</t>
        </is>
      </c>
      <c r="C19" s="6" t="inlineStr">
        <is>
          <t>ohorvath@organization.org</t>
        </is>
      </c>
      <c r="D19" s="6" t="inlineStr">
        <is>
          <t>MCMLFEZEI</t>
        </is>
      </c>
      <c r="E19" s="6" t="n"/>
      <c r="F19" s="6" t="inlineStr">
        <is>
          <t>OEDNE</t>
        </is>
      </c>
      <c r="G19" s="6" t="n"/>
      <c r="H19" s="6" t="n"/>
      <c r="I19" s="6" t="n"/>
      <c r="J19" s="6" t="n"/>
      <c r="K19" s="6" t="n"/>
      <c r="L19" s="6" t="n"/>
      <c r="M19" s="6" t="n"/>
      <c r="N19" s="6" t="n"/>
      <c r="O19" s="6" t="n"/>
      <c r="P19" s="6" t="n"/>
      <c r="Q19" s="6" t="n"/>
      <c r="R19" s="6" t="n"/>
      <c r="S19" s="6" t="n"/>
      <c r="T19" s="6" t="n"/>
      <c r="U19" s="6" t="n"/>
      <c r="V19" s="6" t="n"/>
      <c r="W19" s="6" t="n"/>
      <c r="X19" s="6" t="inlineStr">
        <is>
          <t>Bosnia and Herzegovina</t>
        </is>
      </c>
      <c r="Y19" s="6" t="n"/>
      <c r="Z19" s="6" t="n"/>
      <c r="AA19" s="6" t="n"/>
      <c r="AB19" s="6" t="n"/>
      <c r="AC19" s="6" t="n"/>
      <c r="AD19" s="6" t="n"/>
      <c r="AE19" s="6" t="n"/>
      <c r="AF19" s="4" t="inlineStr">
        <is>
          <t>Bosnia and Herzegovina</t>
        </is>
      </c>
      <c r="AG19" s="6" t="inlineStr">
        <is>
          <t>The IMF should engage a similar amount on climate change-related issues</t>
        </is>
      </c>
      <c r="AH19" s="6" t="inlineStr">
        <is>
          <t>To a moderate extent</t>
        </is>
      </c>
      <c r="AI19" s="6" t="inlineStr">
        <is>
          <t>Not at all</t>
        </is>
      </c>
      <c r="AJ19" s="6" t="inlineStr">
        <is>
          <t>Don’t know or not applicable</t>
        </is>
      </c>
      <c r="AK19" s="6" t="inlineStr">
        <is>
          <t>To a slight extent</t>
        </is>
      </c>
      <c r="AL19" s="6" t="inlineStr">
        <is>
          <t>To a slight extent</t>
        </is>
      </c>
      <c r="AM19" s="6" t="inlineStr">
        <is>
          <t>Don’t know or not applicable</t>
        </is>
      </c>
      <c r="AN19" s="6" t="inlineStr">
        <is>
          <t>Not at all</t>
        </is>
      </c>
      <c r="AO19" s="6" t="inlineStr">
        <is>
          <t>To a slight extent</t>
        </is>
      </c>
      <c r="AP19" s="6" t="inlineStr">
        <is>
          <t>To a slight extent</t>
        </is>
      </c>
      <c r="AQ19" s="6" t="inlineStr">
        <is>
          <t>Not at all</t>
        </is>
      </c>
      <c r="AR19" s="6" t="inlineStr">
        <is>
          <t>Not at all</t>
        </is>
      </c>
      <c r="AS19" s="6" t="n"/>
      <c r="AT19" s="6" t="inlineStr">
        <is>
          <t>To a slight extent</t>
        </is>
      </c>
      <c r="AU19" s="6" t="inlineStr">
        <is>
          <t>To a slight extent</t>
        </is>
      </c>
      <c r="AV19" s="6" t="inlineStr">
        <is>
          <t>Not at all</t>
        </is>
      </c>
      <c r="AW19" s="6" t="inlineStr">
        <is>
          <t>To a slight extent</t>
        </is>
      </c>
      <c r="AX19" s="6" t="inlineStr">
        <is>
          <t>Not at all</t>
        </is>
      </c>
      <c r="AY19" s="6" t="inlineStr">
        <is>
          <t>Don’t know or not applicable</t>
        </is>
      </c>
      <c r="AZ19" s="6" t="inlineStr">
        <is>
          <t>To a slight extent</t>
        </is>
      </c>
      <c r="BA19" s="6" t="inlineStr">
        <is>
          <t>Don’t know or not applicable</t>
        </is>
      </c>
      <c r="BB19" s="6" t="inlineStr">
        <is>
          <t>Don’t know or not applicable</t>
        </is>
      </c>
      <c r="BC19" s="6" t="inlineStr">
        <is>
          <t>Don’t know or not applicable</t>
        </is>
      </c>
      <c r="BD19" s="6" t="inlineStr">
        <is>
          <t>Don’t know or not applicable</t>
        </is>
      </c>
      <c r="BE19" s="6" t="inlineStr">
        <is>
          <t>Don’t know or not applicable</t>
        </is>
      </c>
      <c r="BF19" s="6" t="inlineStr">
        <is>
          <t>Don’t know or not applicable</t>
        </is>
      </c>
      <c r="BG19" s="6" t="inlineStr">
        <is>
          <t>Don’t know or not applicable</t>
        </is>
      </c>
      <c r="BH19" s="6" t="inlineStr">
        <is>
          <t>Don’t know or not applicable</t>
        </is>
      </c>
      <c r="BI19" s="6" t="inlineStr">
        <is>
          <t>Don’t know or not applicable</t>
        </is>
      </c>
      <c r="BJ19" s="6" t="inlineStr">
        <is>
          <t>To a moderate extent</t>
        </is>
      </c>
      <c r="BK19" s="6" t="inlineStr">
        <is>
          <t>To a slight extent</t>
        </is>
      </c>
      <c r="BL19" s="6" t="inlineStr">
        <is>
          <t>To a slight extent</t>
        </is>
      </c>
      <c r="BM19" s="6" t="inlineStr">
        <is>
          <t>Not at all</t>
        </is>
      </c>
      <c r="BN19" s="6" t="inlineStr">
        <is>
          <t>Don’t know or not applicable</t>
        </is>
      </c>
      <c r="BO19" s="6" t="inlineStr">
        <is>
          <t>To a moderate extent</t>
        </is>
      </c>
      <c r="BP19" s="6" t="inlineStr">
        <is>
          <t>To a slight extent</t>
        </is>
      </c>
      <c r="BQ19" s="6" t="inlineStr">
        <is>
          <t>Don’t know or not applicable</t>
        </is>
      </c>
      <c r="BR19" s="6" t="inlineStr">
        <is>
          <t>Don’t know or not applicable</t>
        </is>
      </c>
      <c r="BS19" s="6" t="n"/>
      <c r="BT19" s="6" t="inlineStr">
        <is>
          <t>The IMF dedicated an appropriate amount of resources</t>
        </is>
      </c>
      <c r="BU19" s="6" t="inlineStr">
        <is>
          <t>To a moderate extent</t>
        </is>
      </c>
      <c r="BV19" s="6" t="inlineStr">
        <is>
          <t>To a moderate extent</t>
        </is>
      </c>
      <c r="BW19" s="6" t="inlineStr">
        <is>
          <t>To a moderate extent</t>
        </is>
      </c>
      <c r="BX19" s="6" t="inlineStr">
        <is>
          <t>To a moderate extent</t>
        </is>
      </c>
      <c r="BY19" s="6" t="inlineStr">
        <is>
          <t>To a moderate extent</t>
        </is>
      </c>
      <c r="BZ19" s="6" t="inlineStr">
        <is>
          <t>To a moderate extent</t>
        </is>
      </c>
      <c r="CA19" s="6" t="inlineStr">
        <is>
          <t>To a moderate extent</t>
        </is>
      </c>
      <c r="CB19" s="6" t="inlineStr">
        <is>
          <t>To a moderate extent</t>
        </is>
      </c>
      <c r="CC19" s="6" t="inlineStr">
        <is>
          <t>To a moderate extent</t>
        </is>
      </c>
      <c r="CD19" s="6" t="inlineStr">
        <is>
          <t>To a moderate extent</t>
        </is>
      </c>
      <c r="CE19" s="6" t="inlineStr">
        <is>
          <t>To a moderate extent</t>
        </is>
      </c>
      <c r="CF19" s="6" t="inlineStr">
        <is>
          <t>To a moderate extent</t>
        </is>
      </c>
      <c r="CG19" s="6" t="n"/>
      <c r="CH19" s="6" t="inlineStr">
        <is>
          <t>No</t>
        </is>
      </c>
      <c r="CI19" s="6" t="inlineStr">
        <is>
          <t>No</t>
        </is>
      </c>
      <c r="CJ19" s="6" t="n"/>
      <c r="CK19" s="6" t="n"/>
      <c r="CL19" s="6" t="n"/>
      <c r="CM19" s="6" t="n"/>
      <c r="CN19" s="6" t="n"/>
      <c r="CO19" s="6" t="n"/>
      <c r="CP19" s="6" t="n"/>
      <c r="CQ19" s="6" t="n"/>
      <c r="CR19" s="6" t="n"/>
      <c r="CS19" s="6" t="n"/>
      <c r="CT19" s="6" t="n"/>
      <c r="CU19" s="6" t="n"/>
      <c r="CV19" s="6" t="n"/>
      <c r="CW19" s="6" t="n"/>
      <c r="CX19" s="6" t="n"/>
      <c r="CY19" s="6" t="n"/>
      <c r="CZ19" s="6" t="n"/>
      <c r="DA19" s="6" t="n"/>
      <c r="DB19" s="6" t="n"/>
      <c r="DC19" s="6" t="n"/>
      <c r="DD19" s="6" t="n"/>
      <c r="DE19" s="6" t="n"/>
      <c r="DF19" s="6" t="n"/>
      <c r="DG19" s="6" t="n"/>
      <c r="DH19" s="6" t="n"/>
      <c r="DI19" s="6" t="n"/>
      <c r="DJ19" s="6" t="n"/>
      <c r="DK19" s="6" t="n"/>
      <c r="DL19" s="6" t="n"/>
      <c r="DM19" s="6" t="n"/>
      <c r="DN19" s="6" t="n"/>
      <c r="DO19" s="6" t="n"/>
      <c r="DP19" s="6" t="n"/>
      <c r="DQ19" s="6" t="n"/>
      <c r="DR19" s="6" t="n"/>
      <c r="DS19" s="6" t="n"/>
      <c r="DT19" s="6" t="n"/>
      <c r="DU19" s="6" t="inlineStr">
        <is>
          <t>An RSF arrangement would have been useful, but my country had no balance of payments issues/did not need/was not willing to commit to the underlying UCT program</t>
        </is>
      </c>
      <c r="DV19" s="6" t="n"/>
      <c r="DW19" s="6" t="inlineStr">
        <is>
          <t>Yes</t>
        </is>
      </c>
      <c r="DX19" s="6" t="inlineStr">
        <is>
          <t>World Bank Group</t>
        </is>
      </c>
      <c r="DY19" s="6" t="inlineStr">
        <is>
          <t>Regional development banks</t>
        </is>
      </c>
      <c r="DZ19" s="6" t="n"/>
      <c r="EA19" s="6" t="n"/>
      <c r="EB19" s="6" t="inlineStr">
        <is>
          <t>Other (please specify) : European Commission</t>
        </is>
      </c>
      <c r="EC19" s="6" t="inlineStr">
        <is>
          <t>Don’t know or not applicable</t>
        </is>
      </c>
      <c r="ED19" s="6" t="inlineStr">
        <is>
          <t>Don’t know or not applicable</t>
        </is>
      </c>
      <c r="EE19" s="6" t="inlineStr">
        <is>
          <t>Don’t know or not applicable</t>
        </is>
      </c>
      <c r="EF19" s="6" t="inlineStr">
        <is>
          <t>Don’t know or not applicable</t>
        </is>
      </c>
      <c r="EG19" s="6" t="inlineStr">
        <is>
          <t>Don’t know or not applicable</t>
        </is>
      </c>
      <c r="EH19" s="6" t="inlineStr">
        <is>
          <t>Don’t know or not applicable</t>
        </is>
      </c>
      <c r="EI19" s="6" t="inlineStr">
        <is>
          <t>Don’t know or not applicable</t>
        </is>
      </c>
      <c r="EJ19" s="6" t="inlineStr">
        <is>
          <t>Don’t know or not applicable</t>
        </is>
      </c>
      <c r="EK19" s="6" t="inlineStr">
        <is>
          <t>Don’t know or not applicable</t>
        </is>
      </c>
      <c r="EL19" s="6" t="inlineStr">
        <is>
          <t>Don’t know or not applicable</t>
        </is>
      </c>
      <c r="EM19" s="6" t="n"/>
      <c r="EN19" s="6" t="n"/>
      <c r="EO19" s="6" t="n"/>
      <c r="EP19" s="6" t="n"/>
      <c r="EQ19" s="6" t="inlineStr">
        <is>
          <t>To a slight extent</t>
        </is>
      </c>
      <c r="ER19" s="6" t="inlineStr">
        <is>
          <t>To a slight extent</t>
        </is>
      </c>
      <c r="ES19" s="6" t="n"/>
      <c r="ET19" s="6" t="inlineStr">
        <is>
          <t>Don’t know or not applicable</t>
        </is>
      </c>
      <c r="EU19" s="6" t="inlineStr">
        <is>
          <t>Don’t know or not applicable</t>
        </is>
      </c>
      <c r="EV19" s="6" t="inlineStr">
        <is>
          <t>Don’t know or not applicable</t>
        </is>
      </c>
      <c r="EW19" s="6" t="inlineStr">
        <is>
          <t>Don’t know or not applicable</t>
        </is>
      </c>
      <c r="EX19" s="6" t="n"/>
      <c r="EY19" s="6" t="inlineStr">
        <is>
          <t>To a slight extent</t>
        </is>
      </c>
      <c r="EZ19" s="6" t="inlineStr">
        <is>
          <t>Not at all</t>
        </is>
      </c>
      <c r="FA19" s="6" t="inlineStr">
        <is>
          <t>To a slight extent</t>
        </is>
      </c>
      <c r="FB19" s="6" t="inlineStr">
        <is>
          <t>Don’t know or not applicable</t>
        </is>
      </c>
      <c r="FC19" s="6" t="inlineStr">
        <is>
          <t>To a moderate extent</t>
        </is>
      </c>
      <c r="FD19" s="6" t="inlineStr">
        <is>
          <t>To a moderate extent</t>
        </is>
      </c>
      <c r="FE19" s="6" t="inlineStr">
        <is>
          <t>Don’t know or not applicable</t>
        </is>
      </c>
      <c r="FF19" s="6" t="inlineStr">
        <is>
          <t>Don’t know or not applicable</t>
        </is>
      </c>
      <c r="FG19" s="6" t="inlineStr">
        <is>
          <t>Don’t know or not applicable</t>
        </is>
      </c>
      <c r="FH19" s="6" t="inlineStr">
        <is>
          <t>Don’t know or not applicable</t>
        </is>
      </c>
      <c r="FI19" s="6" t="inlineStr">
        <is>
          <t>Don’t know or not applicable</t>
        </is>
      </c>
      <c r="FJ19" s="6" t="inlineStr">
        <is>
          <t>Don’t know or not applicable</t>
        </is>
      </c>
      <c r="FK19" s="6" t="inlineStr">
        <is>
          <t>Don’t know or not applicable</t>
        </is>
      </c>
      <c r="FL19" s="6" t="inlineStr">
        <is>
          <t>Don’t know or not applicable</t>
        </is>
      </c>
      <c r="FM19" s="6" t="inlineStr">
        <is>
          <t>Don’t know or not applicable</t>
        </is>
      </c>
      <c r="FN19" s="6" t="inlineStr">
        <is>
          <t>Don’t know or not applicable</t>
        </is>
      </c>
      <c r="FO19" s="6" t="inlineStr">
        <is>
          <t>Don’t know or not applicable</t>
        </is>
      </c>
      <c r="FP19" s="6" t="inlineStr">
        <is>
          <t>Don’t know or not applicable</t>
        </is>
      </c>
      <c r="FQ19" s="6" t="inlineStr">
        <is>
          <t>Don’t know or not applicable</t>
        </is>
      </c>
      <c r="FR19" s="6" t="inlineStr">
        <is>
          <t>To a slight extent</t>
        </is>
      </c>
      <c r="FS19" s="6" t="inlineStr">
        <is>
          <t>To a slight extent</t>
        </is>
      </c>
      <c r="FT19" s="6" t="inlineStr">
        <is>
          <t>Don’t know or not applicable</t>
        </is>
      </c>
      <c r="FU19" s="6" t="inlineStr">
        <is>
          <t>Don’t know or not applicable</t>
        </is>
      </c>
      <c r="FV19" s="6" t="n"/>
      <c r="FW19" s="6" t="inlineStr">
        <is>
          <t>The IMF dedicated the appropriate amount of resources</t>
        </is>
      </c>
      <c r="FX19" s="6" t="n"/>
      <c r="FY19" s="6" t="inlineStr">
        <is>
          <t>To a moderate extent</t>
        </is>
      </c>
      <c r="FZ19" s="6" t="inlineStr">
        <is>
          <t>To a moderate extent</t>
        </is>
      </c>
      <c r="GA19" s="6" t="inlineStr">
        <is>
          <t>To a moderate extent</t>
        </is>
      </c>
      <c r="GB19" s="6" t="inlineStr">
        <is>
          <t>To a slight extent</t>
        </is>
      </c>
      <c r="GC19" s="6" t="inlineStr">
        <is>
          <t>Not at all</t>
        </is>
      </c>
      <c r="GD19" s="6" t="n"/>
      <c r="GE19" s="6" t="inlineStr">
        <is>
          <t>To a slight extent</t>
        </is>
      </c>
      <c r="GF19" s="6" t="inlineStr">
        <is>
          <t>To a moderate extent</t>
        </is>
      </c>
      <c r="GG19" s="6" t="inlineStr">
        <is>
          <t>To a great extent</t>
        </is>
      </c>
      <c r="GH19" s="6" t="inlineStr">
        <is>
          <t>To a slight extent</t>
        </is>
      </c>
      <c r="GI19" s="6" t="inlineStr">
        <is>
          <t>To a great extent</t>
        </is>
      </c>
      <c r="GJ19" s="6" t="inlineStr">
        <is>
          <t>To a moderate extent</t>
        </is>
      </c>
      <c r="GK19" s="6" t="inlineStr">
        <is>
          <t>N?A</t>
        </is>
      </c>
      <c r="GL19" s="7">
        <f>DATE(2025,6,6)+TIME(9,47,30)</f>
        <v/>
      </c>
    </row>
    <row r="20" ht="393.75" customHeight="1">
      <c r="A20" s="3" t="inlineStr">
        <is>
          <t>Yara</t>
        </is>
      </c>
      <c r="B20" s="3" t="inlineStr">
        <is>
          <t>Garcia</t>
        </is>
      </c>
      <c r="C20" s="3" t="inlineStr">
        <is>
          <t>ygarcia@organization.org</t>
        </is>
      </c>
      <c r="D20" s="3" t="inlineStr">
        <is>
          <t>XOVQ9ERUM</t>
        </is>
      </c>
      <c r="E20" s="3" t="n"/>
      <c r="F20" s="3" t="inlineStr">
        <is>
          <t>OEDMI</t>
        </is>
      </c>
      <c r="G20" s="3" t="n"/>
      <c r="H20" s="3" t="n"/>
      <c r="I20" s="3" t="n"/>
      <c r="J20" s="3" t="n"/>
      <c r="K20" s="3" t="n"/>
      <c r="L20" s="3" t="n"/>
      <c r="M20" s="3" t="n"/>
      <c r="N20" s="3" t="n"/>
      <c r="O20" s="3" t="n"/>
      <c r="P20" s="3" t="n"/>
      <c r="Q20" s="3" t="n"/>
      <c r="R20" s="3" t="n"/>
      <c r="S20" s="3" t="n"/>
      <c r="T20" s="3" t="n"/>
      <c r="U20" s="3" t="n"/>
      <c r="V20" s="3" t="n"/>
      <c r="W20" s="3" t="inlineStr">
        <is>
          <t>Kuwait</t>
        </is>
      </c>
      <c r="X20" s="3" t="n"/>
      <c r="Y20" s="3" t="n"/>
      <c r="Z20" s="3" t="n"/>
      <c r="AA20" s="3" t="n"/>
      <c r="AB20" s="3" t="n"/>
      <c r="AC20" s="3" t="n"/>
      <c r="AD20" s="3" t="n"/>
      <c r="AE20" s="3" t="n"/>
      <c r="AF20" s="4" t="inlineStr">
        <is>
          <t>Kuwait</t>
        </is>
      </c>
      <c r="AG20" s="3" t="inlineStr">
        <is>
          <t>The IMF should engage less on climate change-related issues</t>
        </is>
      </c>
      <c r="AH20" s="3" t="inlineStr">
        <is>
          <t>To a slight extent</t>
        </is>
      </c>
      <c r="AI20" s="3" t="inlineStr">
        <is>
          <t>To a slight extent</t>
        </is>
      </c>
      <c r="AJ20" s="3" t="inlineStr">
        <is>
          <t>Don’t know or not applicable</t>
        </is>
      </c>
      <c r="AK20" s="3" t="inlineStr">
        <is>
          <t>To a slight extent</t>
        </is>
      </c>
      <c r="AL20" s="3" t="inlineStr">
        <is>
          <t>Don’t know or not applicable</t>
        </is>
      </c>
      <c r="AM20" s="3" t="inlineStr">
        <is>
          <t>Don’t know or not applicable</t>
        </is>
      </c>
      <c r="AN20" s="3" t="inlineStr">
        <is>
          <t>Don’t know or not applicable</t>
        </is>
      </c>
      <c r="AO20" s="3" t="inlineStr">
        <is>
          <t>Don’t know or not applicable</t>
        </is>
      </c>
      <c r="AP20" s="3" t="inlineStr">
        <is>
          <t>To a slight extent</t>
        </is>
      </c>
      <c r="AQ20" s="3" t="inlineStr">
        <is>
          <t>To a slight extent</t>
        </is>
      </c>
      <c r="AR20" s="3" t="inlineStr">
        <is>
          <t>To a slight extent</t>
        </is>
      </c>
      <c r="AS20" s="3" t="n"/>
      <c r="AT20" s="3" t="inlineStr">
        <is>
          <t>Not at all</t>
        </is>
      </c>
      <c r="AU20" s="3" t="inlineStr">
        <is>
          <t>To a slight extent</t>
        </is>
      </c>
      <c r="AV20" s="3" t="inlineStr">
        <is>
          <t>To a slight extent</t>
        </is>
      </c>
      <c r="AW20" s="3" t="inlineStr">
        <is>
          <t>To a slight extent</t>
        </is>
      </c>
      <c r="AX20" s="3" t="inlineStr">
        <is>
          <t>To a slight extent</t>
        </is>
      </c>
      <c r="AY20" s="3" t="inlineStr">
        <is>
          <t>Don’t know or not applicable</t>
        </is>
      </c>
      <c r="AZ20" s="3" t="inlineStr">
        <is>
          <t>To a slight extent</t>
        </is>
      </c>
      <c r="BA20" s="3" t="inlineStr">
        <is>
          <t>To a great extent</t>
        </is>
      </c>
      <c r="BB20" s="3" t="inlineStr">
        <is>
          <t>To a moderate extent</t>
        </is>
      </c>
      <c r="BC20" s="3" t="inlineStr">
        <is>
          <t>To a slight extent</t>
        </is>
      </c>
      <c r="BD20" s="3" t="inlineStr">
        <is>
          <t>Don’t know or not applicable</t>
        </is>
      </c>
      <c r="BE20" s="3" t="inlineStr">
        <is>
          <t>Don’t know or not applicable</t>
        </is>
      </c>
      <c r="BF20" s="3" t="inlineStr">
        <is>
          <t>Don’t know or not applicable</t>
        </is>
      </c>
      <c r="BG20" s="3" t="inlineStr">
        <is>
          <t>Don’t know or not applicable</t>
        </is>
      </c>
      <c r="BH20" s="3" t="inlineStr">
        <is>
          <t>Don’t know or not applicable</t>
        </is>
      </c>
      <c r="BI20" s="3" t="inlineStr">
        <is>
          <t>Don’t know or not applicable</t>
        </is>
      </c>
      <c r="BJ20" s="3" t="inlineStr">
        <is>
          <t>To a slight extent</t>
        </is>
      </c>
      <c r="BK20" s="3" t="inlineStr">
        <is>
          <t>To a moderate extent</t>
        </is>
      </c>
      <c r="BL20" s="3" t="inlineStr">
        <is>
          <t>To a moderate extent</t>
        </is>
      </c>
      <c r="BM20" s="3" t="inlineStr">
        <is>
          <t>To a slight extent</t>
        </is>
      </c>
      <c r="BN20" s="3" t="inlineStr">
        <is>
          <t>To a slight extent</t>
        </is>
      </c>
      <c r="BO20" s="3" t="inlineStr">
        <is>
          <t>Not at all</t>
        </is>
      </c>
      <c r="BP20" s="3" t="inlineStr">
        <is>
          <t>Not at all</t>
        </is>
      </c>
      <c r="BQ20" s="3" t="inlineStr">
        <is>
          <t>Not at all</t>
        </is>
      </c>
      <c r="BR20" s="3" t="inlineStr">
        <is>
          <t>Not at all</t>
        </is>
      </c>
      <c r="BS20" s="3" t="n"/>
      <c r="BT20" s="3" t="inlineStr">
        <is>
          <t>The IMF should have dedicated less resources</t>
        </is>
      </c>
      <c r="BU20" s="3" t="inlineStr">
        <is>
          <t>To a slight extent</t>
        </is>
      </c>
      <c r="BV20" s="3" t="inlineStr">
        <is>
          <t>Not at all</t>
        </is>
      </c>
      <c r="BW20" s="3" t="inlineStr">
        <is>
          <t>To a slight extent</t>
        </is>
      </c>
      <c r="BX20" s="3" t="inlineStr">
        <is>
          <t>To a slight extent</t>
        </is>
      </c>
      <c r="BY20" s="3" t="inlineStr">
        <is>
          <t>Not at all</t>
        </is>
      </c>
      <c r="BZ20" s="3" t="inlineStr">
        <is>
          <t>To a slight extent</t>
        </is>
      </c>
      <c r="CA20" s="3" t="inlineStr">
        <is>
          <t>To a slight extent</t>
        </is>
      </c>
      <c r="CB20" s="3" t="inlineStr">
        <is>
          <t>Not at all</t>
        </is>
      </c>
      <c r="CC20" s="3" t="inlineStr">
        <is>
          <t>To a slight extent</t>
        </is>
      </c>
      <c r="CD20" s="3" t="inlineStr">
        <is>
          <t>To a slight extent</t>
        </is>
      </c>
      <c r="CE20" s="3" t="inlineStr">
        <is>
          <t>Not at all</t>
        </is>
      </c>
      <c r="CF20" s="3" t="inlineStr">
        <is>
          <t>To a slight extent</t>
        </is>
      </c>
      <c r="CG20" s="3" t="n"/>
      <c r="CH20" s="3" t="inlineStr">
        <is>
          <t>No</t>
        </is>
      </c>
      <c r="CI20" s="3" t="inlineStr">
        <is>
          <t>No</t>
        </is>
      </c>
      <c r="CJ20" s="3" t="n"/>
      <c r="CK20" s="3" t="n"/>
      <c r="CL20" s="3" t="n"/>
      <c r="CM20" s="3" t="n"/>
      <c r="CN20" s="3" t="n"/>
      <c r="CO20" s="3" t="n"/>
      <c r="CP20" s="3" t="n"/>
      <c r="CQ20" s="3" t="n"/>
      <c r="CR20" s="3" t="n"/>
      <c r="CS20" s="3" t="n"/>
      <c r="CT20" s="3" t="n"/>
      <c r="CU20" s="3" t="n"/>
      <c r="CV20" s="3" t="n"/>
      <c r="CW20" s="3" t="n"/>
      <c r="CX20" s="3" t="n"/>
      <c r="CY20" s="3" t="n"/>
      <c r="CZ20" s="3" t="n"/>
      <c r="DA20" s="3" t="n"/>
      <c r="DB20" s="3" t="n"/>
      <c r="DC20" s="3" t="n"/>
      <c r="DD20" s="3" t="n"/>
      <c r="DE20" s="3" t="n"/>
      <c r="DF20" s="3" t="n"/>
      <c r="DG20" s="3" t="n"/>
      <c r="DH20" s="3" t="n"/>
      <c r="DI20" s="3" t="n"/>
      <c r="DJ20" s="3" t="n"/>
      <c r="DK20" s="3" t="n"/>
      <c r="DL20" s="3" t="n"/>
      <c r="DM20" s="3" t="n"/>
      <c r="DN20" s="3" t="n"/>
      <c r="DO20" s="3" t="n"/>
      <c r="DP20" s="3" t="inlineStr">
        <is>
          <t>My country is not eligible for an RSF arrangement</t>
        </is>
      </c>
      <c r="DQ20" s="3" t="n"/>
      <c r="DR20" s="3" t="n"/>
      <c r="DS20" s="3" t="n"/>
      <c r="DT20" s="3" t="n"/>
      <c r="DU20" s="3" t="n"/>
      <c r="DV20" s="3" t="n"/>
      <c r="DW20" s="3" t="inlineStr">
        <is>
          <t>No</t>
        </is>
      </c>
      <c r="DX20" s="3" t="n"/>
      <c r="DY20" s="3" t="n"/>
      <c r="DZ20" s="3" t="n"/>
      <c r="EA20" s="3" t="n"/>
      <c r="EB20" s="3" t="n"/>
      <c r="EC20" s="3" t="n"/>
      <c r="ED20" s="3" t="n"/>
      <c r="EE20" s="3" t="n"/>
      <c r="EF20" s="3" t="inlineStr">
        <is>
          <t>To a great extent</t>
        </is>
      </c>
      <c r="EG20" s="3" t="inlineStr">
        <is>
          <t>To a slight extent</t>
        </is>
      </c>
      <c r="EH20" s="3" t="inlineStr">
        <is>
          <t>To a slight extent</t>
        </is>
      </c>
      <c r="EI20" s="3" t="inlineStr">
        <is>
          <t>To a great extent</t>
        </is>
      </c>
      <c r="EJ20" s="3" t="inlineStr">
        <is>
          <t>To a great extent</t>
        </is>
      </c>
      <c r="EK20" s="3" t="inlineStr">
        <is>
          <t>To a great extent</t>
        </is>
      </c>
      <c r="EL20" s="3" t="inlineStr">
        <is>
          <t>To a moderate extent</t>
        </is>
      </c>
      <c r="EM20" s="3" t="n"/>
      <c r="EN20" s="3" t="n"/>
      <c r="EO20" s="3" t="n"/>
      <c r="EP20" s="3" t="n"/>
      <c r="EQ20" s="3" t="inlineStr">
        <is>
          <t>To a moderate extent</t>
        </is>
      </c>
      <c r="ER20" s="3" t="inlineStr">
        <is>
          <t>To a moderate extent</t>
        </is>
      </c>
      <c r="ES20" s="3" t="n"/>
      <c r="ET20" s="3" t="inlineStr">
        <is>
          <t>To a moderate extent</t>
        </is>
      </c>
      <c r="EU20" s="3" t="inlineStr">
        <is>
          <t>To a moderate extent</t>
        </is>
      </c>
      <c r="EV20" s="3" t="inlineStr">
        <is>
          <t>To a moderate extent</t>
        </is>
      </c>
      <c r="EW20" s="3" t="inlineStr">
        <is>
          <t>Don’t know or not applicable</t>
        </is>
      </c>
      <c r="EX20" s="3" t="n"/>
      <c r="EY20" s="3" t="inlineStr">
        <is>
          <t>To a moderate extent</t>
        </is>
      </c>
      <c r="EZ20" s="3" t="inlineStr">
        <is>
          <t>Not at all</t>
        </is>
      </c>
      <c r="FA20" s="3" t="inlineStr">
        <is>
          <t>To a moderate extent</t>
        </is>
      </c>
      <c r="FB20" s="3" t="inlineStr">
        <is>
          <t>To a moderate extent</t>
        </is>
      </c>
      <c r="FC20" s="3" t="inlineStr">
        <is>
          <t>To a moderate extent</t>
        </is>
      </c>
      <c r="FD20" s="3" t="inlineStr">
        <is>
          <t>To a moderate extent</t>
        </is>
      </c>
      <c r="FE20" s="3" t="inlineStr">
        <is>
          <t>To a moderate extent</t>
        </is>
      </c>
      <c r="FF20" s="3" t="inlineStr">
        <is>
          <t>To a moderate extent</t>
        </is>
      </c>
      <c r="FG20" s="3" t="inlineStr">
        <is>
          <t>To a moderate extent</t>
        </is>
      </c>
      <c r="FH20" s="3" t="inlineStr">
        <is>
          <t>To a moderate extent</t>
        </is>
      </c>
      <c r="FI20" s="3" t="inlineStr">
        <is>
          <t>To a moderate extent</t>
        </is>
      </c>
      <c r="FJ20" s="3" t="inlineStr">
        <is>
          <t>To a slight extent</t>
        </is>
      </c>
      <c r="FK20" s="3" t="inlineStr">
        <is>
          <t>To a moderate extent</t>
        </is>
      </c>
      <c r="FL20" s="3" t="inlineStr">
        <is>
          <t>To a moderate extent</t>
        </is>
      </c>
      <c r="FM20" s="3" t="inlineStr">
        <is>
          <t>To a moderate extent</t>
        </is>
      </c>
      <c r="FN20" s="3" t="inlineStr">
        <is>
          <t>To a moderate extent</t>
        </is>
      </c>
      <c r="FO20" s="3" t="inlineStr">
        <is>
          <t>To a moderate extent</t>
        </is>
      </c>
      <c r="FP20" s="3" t="inlineStr">
        <is>
          <t>To a moderate extent</t>
        </is>
      </c>
      <c r="FQ20" s="3" t="inlineStr">
        <is>
          <t>To a moderate extent</t>
        </is>
      </c>
      <c r="FR20" s="3" t="inlineStr">
        <is>
          <t>To a great extent</t>
        </is>
      </c>
      <c r="FS20" s="3" t="inlineStr">
        <is>
          <t>To a moderate extent</t>
        </is>
      </c>
      <c r="FT20" s="3" t="inlineStr">
        <is>
          <t>Don’t know or not applicable</t>
        </is>
      </c>
      <c r="FU20" s="3" t="inlineStr">
        <is>
          <t>Don’t know or not applicable</t>
        </is>
      </c>
      <c r="FV20" s="3" t="n"/>
      <c r="FW20" s="3" t="inlineStr">
        <is>
          <t>The IMF should have dedicated less resources</t>
        </is>
      </c>
      <c r="FX20" s="3" t="n"/>
      <c r="FY20" s="3" t="inlineStr">
        <is>
          <t>To a slight extent</t>
        </is>
      </c>
      <c r="FZ20" s="3" t="inlineStr">
        <is>
          <t>Not at all</t>
        </is>
      </c>
      <c r="GA20" s="3" t="inlineStr">
        <is>
          <t>To a slight extent</t>
        </is>
      </c>
      <c r="GB20" s="3" t="inlineStr">
        <is>
          <t>Not at all</t>
        </is>
      </c>
      <c r="GC20" s="3" t="inlineStr">
        <is>
          <t>Don’t know or not applicable</t>
        </is>
      </c>
      <c r="GD20" s="3" t="n"/>
      <c r="GE20" s="3" t="inlineStr">
        <is>
          <t>To a moderate extent</t>
        </is>
      </c>
      <c r="GF20" s="3" t="inlineStr">
        <is>
          <t>To a slight extent</t>
        </is>
      </c>
      <c r="GG20" s="3" t="inlineStr">
        <is>
          <t>To a great extent</t>
        </is>
      </c>
      <c r="GH20" s="3" t="inlineStr">
        <is>
          <t>To a slight extent</t>
        </is>
      </c>
      <c r="GI20" s="3" t="inlineStr">
        <is>
          <t>To a slight extent</t>
        </is>
      </c>
      <c r="GJ20" s="3" t="inlineStr">
        <is>
          <t>To a great extent</t>
        </is>
      </c>
      <c r="GK20" s="3" t="inlineStr">
        <is>
          <t>The Comprehensive Surveillance Review (CSR) should determine the Fund's engagement in non-core areas, mindful of the need to prioritize the core mandate. 
Such engagement should be conditional on macro-criticality, which
needs to be carefully defined in the context of the CSR. This applies to the Fund's work on climate change-related issues.
When carried out, the Fund's work on climate change-related issues should pay close attention to adaptation and transition challenges, especially in countries facing heightened vulnerabilities.</t>
        </is>
      </c>
      <c r="GL20" s="5">
        <f>DATE(2025,6,5)+TIME(11,17,44)</f>
        <v/>
      </c>
    </row>
    <row r="21" ht="409.5" customHeight="1">
      <c r="A21" s="6" t="inlineStr">
        <is>
          <t>James</t>
        </is>
      </c>
      <c r="B21" s="6" t="inlineStr">
        <is>
          <t>Garcia</t>
        </is>
      </c>
      <c r="C21" s="6" t="inlineStr">
        <is>
          <t>jgarcia@organization.org</t>
        </is>
      </c>
      <c r="D21" s="6" t="inlineStr">
        <is>
          <t>7EVNXX6D7</t>
        </is>
      </c>
      <c r="E21" s="6" t="n"/>
      <c r="F21" s="6" t="inlineStr">
        <is>
          <t>OEDST</t>
        </is>
      </c>
      <c r="G21" s="6" t="n"/>
      <c r="H21" s="6" t="n"/>
      <c r="I21" s="6" t="n"/>
      <c r="J21" s="6" t="n"/>
      <c r="K21" s="6" t="n"/>
      <c r="L21" s="6" t="n"/>
      <c r="M21" s="6" t="n"/>
      <c r="N21" s="6" t="n"/>
      <c r="O21" s="6" t="n"/>
      <c r="P21" s="6" t="n"/>
      <c r="Q21" s="6" t="n"/>
      <c r="R21" s="6" t="n"/>
      <c r="S21" s="6" t="n"/>
      <c r="T21" s="6" t="n"/>
      <c r="U21" s="6" t="n"/>
      <c r="V21" s="6" t="n"/>
      <c r="W21" s="6" t="n"/>
      <c r="X21" s="6" t="n"/>
      <c r="Y21" s="6" t="n"/>
      <c r="Z21" s="6" t="n"/>
      <c r="AA21" s="6" t="n"/>
      <c r="AB21" s="6" t="inlineStr">
        <is>
          <t>Indonesia</t>
        </is>
      </c>
      <c r="AC21" s="6" t="n"/>
      <c r="AD21" s="6" t="n"/>
      <c r="AE21" s="6" t="n"/>
      <c r="AF21" s="4" t="inlineStr">
        <is>
          <t>Indonesia</t>
        </is>
      </c>
      <c r="AG21" s="6" t="inlineStr">
        <is>
          <t>The IMF should engage a similar amount on climate change-related issues</t>
        </is>
      </c>
      <c r="AH21" s="6" t="inlineStr">
        <is>
          <t>To a moderate extent</t>
        </is>
      </c>
      <c r="AI21" s="6" t="inlineStr">
        <is>
          <t>To a slight extent</t>
        </is>
      </c>
      <c r="AJ21" s="6" t="inlineStr">
        <is>
          <t>To a slight extent</t>
        </is>
      </c>
      <c r="AK21" s="6" t="inlineStr">
        <is>
          <t>To a slight extent</t>
        </is>
      </c>
      <c r="AL21" s="6" t="inlineStr">
        <is>
          <t>To a slight extent</t>
        </is>
      </c>
      <c r="AM21" s="6" t="inlineStr">
        <is>
          <t>To a slight extent</t>
        </is>
      </c>
      <c r="AN21" s="6" t="inlineStr">
        <is>
          <t>To a slight extent</t>
        </is>
      </c>
      <c r="AO21" s="6" t="inlineStr">
        <is>
          <t>To a moderate extent</t>
        </is>
      </c>
      <c r="AP21" s="6" t="inlineStr">
        <is>
          <t>To a moderate extent</t>
        </is>
      </c>
      <c r="AQ21" s="6" t="inlineStr">
        <is>
          <t>To a moderate extent</t>
        </is>
      </c>
      <c r="AR21" s="6" t="inlineStr">
        <is>
          <t>To a great extent</t>
        </is>
      </c>
      <c r="AS21" s="6" t="n"/>
      <c r="AT21" s="6" t="inlineStr">
        <is>
          <t>Not at all</t>
        </is>
      </c>
      <c r="AU21" s="6" t="inlineStr">
        <is>
          <t>Not at all</t>
        </is>
      </c>
      <c r="AV21" s="6" t="inlineStr">
        <is>
          <t>Not at all</t>
        </is>
      </c>
      <c r="AW21" s="6" t="inlineStr">
        <is>
          <t>To a moderate extent</t>
        </is>
      </c>
      <c r="AX21" s="6" t="inlineStr">
        <is>
          <t>To a slight extent</t>
        </is>
      </c>
      <c r="AY21" s="6" t="inlineStr">
        <is>
          <t>To a slight extent</t>
        </is>
      </c>
      <c r="AZ21" s="6" t="inlineStr">
        <is>
          <t>To a slight extent</t>
        </is>
      </c>
      <c r="BA21" s="6" t="inlineStr">
        <is>
          <t>To a slight extent</t>
        </is>
      </c>
      <c r="BB21" s="6" t="inlineStr">
        <is>
          <t>To a slight extent</t>
        </is>
      </c>
      <c r="BC21" s="6" t="inlineStr">
        <is>
          <t>To a slight extent</t>
        </is>
      </c>
      <c r="BD21" s="6" t="inlineStr">
        <is>
          <t>To a slight extent</t>
        </is>
      </c>
      <c r="BE21" s="6" t="inlineStr">
        <is>
          <t>To a slight extent</t>
        </is>
      </c>
      <c r="BF21" s="6" t="inlineStr">
        <is>
          <t>Not at all</t>
        </is>
      </c>
      <c r="BG21" s="6" t="inlineStr">
        <is>
          <t>To a moderate extent</t>
        </is>
      </c>
      <c r="BH21" s="6" t="inlineStr">
        <is>
          <t>To a slight extent</t>
        </is>
      </c>
      <c r="BI21" s="6" t="inlineStr">
        <is>
          <t>To a slight extent</t>
        </is>
      </c>
      <c r="BJ21" s="6" t="inlineStr">
        <is>
          <t>To a great extent</t>
        </is>
      </c>
      <c r="BK21" s="6" t="inlineStr">
        <is>
          <t>Not at all</t>
        </is>
      </c>
      <c r="BL21" s="6" t="inlineStr">
        <is>
          <t>To a moderate extent</t>
        </is>
      </c>
      <c r="BM21" s="6" t="inlineStr">
        <is>
          <t>To a slight extent</t>
        </is>
      </c>
      <c r="BN21" s="6" t="inlineStr">
        <is>
          <t>To a slight extent</t>
        </is>
      </c>
      <c r="BO21" s="6" t="inlineStr">
        <is>
          <t>To a moderate extent</t>
        </is>
      </c>
      <c r="BP21" s="6" t="inlineStr">
        <is>
          <t>Don’t know or not applicable</t>
        </is>
      </c>
      <c r="BQ21" s="6" t="inlineStr">
        <is>
          <t>Not at all</t>
        </is>
      </c>
      <c r="BR21" s="6" t="inlineStr">
        <is>
          <t>Don’t know or not applicable</t>
        </is>
      </c>
      <c r="BS21" s="6" t="n"/>
      <c r="BT21" s="6" t="inlineStr">
        <is>
          <t>The IMF dedicated an appropriate amount of resources</t>
        </is>
      </c>
      <c r="BU21" s="6" t="inlineStr">
        <is>
          <t>To a moderate extent</t>
        </is>
      </c>
      <c r="BV21" s="6" t="inlineStr">
        <is>
          <t>To a moderate extent</t>
        </is>
      </c>
      <c r="BW21" s="6" t="inlineStr">
        <is>
          <t>To a moderate extent</t>
        </is>
      </c>
      <c r="BX21" s="6" t="inlineStr">
        <is>
          <t>To a moderate extent</t>
        </is>
      </c>
      <c r="BY21" s="6" t="inlineStr">
        <is>
          <t>To a moderate extent</t>
        </is>
      </c>
      <c r="BZ21" s="6" t="inlineStr">
        <is>
          <t>To a moderate extent</t>
        </is>
      </c>
      <c r="CA21" s="6" t="inlineStr">
        <is>
          <t>To a slight extent</t>
        </is>
      </c>
      <c r="CB21" s="6" t="inlineStr">
        <is>
          <t>To a slight extent</t>
        </is>
      </c>
      <c r="CC21" s="6" t="inlineStr">
        <is>
          <t>To a moderate extent</t>
        </is>
      </c>
      <c r="CD21" s="6" t="inlineStr">
        <is>
          <t>To a moderate extent</t>
        </is>
      </c>
      <c r="CE21" s="6" t="inlineStr">
        <is>
          <t>To a moderate extent</t>
        </is>
      </c>
      <c r="CF21" s="6" t="inlineStr">
        <is>
          <t>To a moderate extent</t>
        </is>
      </c>
      <c r="CG21" s="6" t="n"/>
      <c r="CH21" s="6" t="inlineStr">
        <is>
          <t>No</t>
        </is>
      </c>
      <c r="CI21" s="6" t="inlineStr">
        <is>
          <t>No</t>
        </is>
      </c>
      <c r="CJ21" s="6" t="n"/>
      <c r="CK21" s="6" t="n"/>
      <c r="CL21" s="6" t="n"/>
      <c r="CM21" s="6" t="n"/>
      <c r="CN21" s="6" t="n"/>
      <c r="CO21" s="6" t="n"/>
      <c r="CP21" s="6" t="n"/>
      <c r="CQ21" s="6" t="n"/>
      <c r="CR21" s="6" t="n"/>
      <c r="CS21" s="6" t="n"/>
      <c r="CT21" s="6" t="n"/>
      <c r="CU21" s="6" t="n"/>
      <c r="CV21" s="6" t="n"/>
      <c r="CW21" s="6" t="n"/>
      <c r="CX21" s="6" t="n"/>
      <c r="CY21" s="6" t="n"/>
      <c r="CZ21" s="6" t="n"/>
      <c r="DA21" s="6" t="n"/>
      <c r="DB21" s="6" t="n"/>
      <c r="DC21" s="6" t="n"/>
      <c r="DD21" s="6" t="n"/>
      <c r="DE21" s="6" t="n"/>
      <c r="DF21" s="6" t="n"/>
      <c r="DG21" s="6" t="n"/>
      <c r="DH21" s="6" t="n"/>
      <c r="DI21" s="6" t="n"/>
      <c r="DJ21" s="6" t="n"/>
      <c r="DK21" s="6" t="n"/>
      <c r="DL21" s="6" t="n"/>
      <c r="DM21" s="6" t="n"/>
      <c r="DN21" s="6" t="n"/>
      <c r="DO21" s="6" t="n"/>
      <c r="DP21" s="6" t="n"/>
      <c r="DQ21" s="6" t="n"/>
      <c r="DR21" s="6" t="n"/>
      <c r="DS21" s="6" t="n"/>
      <c r="DT21" s="6" t="n"/>
      <c r="DU21" s="6" t="inlineStr">
        <is>
          <t>An RSF arrangement would have been useful, but my country had no balance of payments issues/did not need/was not willing to commit to the underlying UCT program</t>
        </is>
      </c>
      <c r="DV21" s="6" t="n"/>
      <c r="DW21" s="6" t="inlineStr">
        <is>
          <t>No</t>
        </is>
      </c>
      <c r="DX21" s="6" t="n"/>
      <c r="DY21" s="6" t="n"/>
      <c r="DZ21" s="6" t="n"/>
      <c r="EA21" s="6" t="n"/>
      <c r="EB21" s="6" t="n"/>
      <c r="EC21" s="6" t="n"/>
      <c r="ED21" s="6" t="n"/>
      <c r="EE21" s="6" t="n"/>
      <c r="EF21" s="6" t="inlineStr">
        <is>
          <t>To a slight extent</t>
        </is>
      </c>
      <c r="EG21" s="6" t="inlineStr">
        <is>
          <t>To a slight extent</t>
        </is>
      </c>
      <c r="EH21" s="6" t="inlineStr">
        <is>
          <t>To a slight extent</t>
        </is>
      </c>
      <c r="EI21" s="6" t="inlineStr">
        <is>
          <t>To a slight extent</t>
        </is>
      </c>
      <c r="EJ21" s="6" t="inlineStr">
        <is>
          <t>To a moderate extent</t>
        </is>
      </c>
      <c r="EK21" s="6" t="inlineStr">
        <is>
          <t>Not at all</t>
        </is>
      </c>
      <c r="EL21" s="6" t="inlineStr">
        <is>
          <t>To a moderate extent</t>
        </is>
      </c>
      <c r="EM21" s="6" t="n"/>
      <c r="EN21" s="6" t="n"/>
      <c r="EO21" s="6" t="n"/>
      <c r="EP21" s="6" t="n"/>
      <c r="EQ21" s="6" t="inlineStr">
        <is>
          <t>To a slight extent</t>
        </is>
      </c>
      <c r="ER21" s="6" t="inlineStr">
        <is>
          <t>To a slight extent</t>
        </is>
      </c>
      <c r="ES21" s="6" t="n"/>
      <c r="ET21" s="6" t="inlineStr">
        <is>
          <t>To a slight extent</t>
        </is>
      </c>
      <c r="EU21" s="6" t="inlineStr">
        <is>
          <t>To a slight extent</t>
        </is>
      </c>
      <c r="EV21" s="6" t="inlineStr">
        <is>
          <t>To a moderate extent</t>
        </is>
      </c>
      <c r="EW21" s="6" t="n"/>
      <c r="EX21" s="6" t="n"/>
      <c r="EY21" s="6" t="inlineStr">
        <is>
          <t>To a slight extent</t>
        </is>
      </c>
      <c r="EZ21" s="6" t="inlineStr">
        <is>
          <t>Not at all</t>
        </is>
      </c>
      <c r="FA21" s="6" t="inlineStr">
        <is>
          <t>To a slight extent</t>
        </is>
      </c>
      <c r="FB21" s="6" t="inlineStr">
        <is>
          <t>To a slight extent</t>
        </is>
      </c>
      <c r="FC21" s="6" t="inlineStr">
        <is>
          <t>To a slight extent</t>
        </is>
      </c>
      <c r="FD21" s="6" t="inlineStr">
        <is>
          <t>Not at all</t>
        </is>
      </c>
      <c r="FE21" s="6" t="inlineStr">
        <is>
          <t>To a slight extent</t>
        </is>
      </c>
      <c r="FF21" s="6" t="inlineStr">
        <is>
          <t>To a slight extent</t>
        </is>
      </c>
      <c r="FG21" s="6" t="inlineStr">
        <is>
          <t>Not at all</t>
        </is>
      </c>
      <c r="FH21" s="6" t="inlineStr">
        <is>
          <t>To a slight extent</t>
        </is>
      </c>
      <c r="FI21" s="6" t="inlineStr">
        <is>
          <t>To a slight extent</t>
        </is>
      </c>
      <c r="FJ21" s="6" t="inlineStr">
        <is>
          <t>Not at all</t>
        </is>
      </c>
      <c r="FK21" s="6" t="inlineStr">
        <is>
          <t>Don’t know or not applicable</t>
        </is>
      </c>
      <c r="FL21" s="6" t="inlineStr">
        <is>
          <t>To a slight extent</t>
        </is>
      </c>
      <c r="FM21" s="6" t="inlineStr">
        <is>
          <t>Don’t know or not applicable</t>
        </is>
      </c>
      <c r="FN21" s="6" t="inlineStr">
        <is>
          <t>Not at all</t>
        </is>
      </c>
      <c r="FO21" s="6" t="inlineStr">
        <is>
          <t>To a slight extent</t>
        </is>
      </c>
      <c r="FP21" s="6" t="inlineStr">
        <is>
          <t>To a slight extent</t>
        </is>
      </c>
      <c r="FQ21" s="6" t="inlineStr">
        <is>
          <t>Not at all</t>
        </is>
      </c>
      <c r="FR21" s="6" t="inlineStr">
        <is>
          <t>To a slight extent</t>
        </is>
      </c>
      <c r="FS21" s="6" t="inlineStr">
        <is>
          <t>Not at all</t>
        </is>
      </c>
      <c r="FT21" s="6" t="inlineStr">
        <is>
          <t>Not at all</t>
        </is>
      </c>
      <c r="FU21" s="6" t="inlineStr">
        <is>
          <t>Not at all</t>
        </is>
      </c>
      <c r="FV21" s="6" t="n"/>
      <c r="FW21" s="6" t="inlineStr">
        <is>
          <t>The IMF dedicated the appropriate amount of resources</t>
        </is>
      </c>
      <c r="FX21" s="6" t="n"/>
      <c r="FY21" s="6" t="inlineStr">
        <is>
          <t>To a moderate extent</t>
        </is>
      </c>
      <c r="FZ21" s="6" t="inlineStr">
        <is>
          <t>To a moderate extent</t>
        </is>
      </c>
      <c r="GA21" s="6" t="inlineStr">
        <is>
          <t>To a moderate extent</t>
        </is>
      </c>
      <c r="GB21" s="6" t="inlineStr">
        <is>
          <t>To a moderate extent</t>
        </is>
      </c>
      <c r="GC21" s="6" t="n"/>
      <c r="GD21" s="6" t="n"/>
      <c r="GE21" s="6" t="inlineStr">
        <is>
          <t>To a great extent</t>
        </is>
      </c>
      <c r="GF21" s="6" t="inlineStr">
        <is>
          <t>To a great extent</t>
        </is>
      </c>
      <c r="GG21" s="6" t="inlineStr">
        <is>
          <t>To a great extent</t>
        </is>
      </c>
      <c r="GH21" s="6" t="inlineStr">
        <is>
          <t>Not at all</t>
        </is>
      </c>
      <c r="GI21" s="6" t="inlineStr">
        <is>
          <t>To a great extent</t>
        </is>
      </c>
      <c r="GJ21" s="6" t="inlineStr">
        <is>
          <t>To a moderate extent</t>
        </is>
      </c>
      <c r="GK21" s="6" t="inlineStr">
        <is>
          <t>Given the significant exposure of many countries—particularly EMDEs and SDS-LICs—to climate risks, the Fund's engagement in terms of advocacy and assessment on climate-related risks should remain integrated into its policy agenda, surveillance, support programs, and capacity development, where the Fund’s global reach and analytical expertise provide unique value in supporting members' climate resilience and transition efforts. Moreover, the Fund’s continued engagement on climate-related issues is also critical because climate change is a global challenge that demands collective action. As all nations work toward building a more sustainable future, the Fund’s role in promoting coordinated policy responses and supporting members’ climate commitments is indispensable.</t>
        </is>
      </c>
      <c r="GL21" s="7">
        <f>DATE(2025,6,4)+TIME(19,41,40)</f>
        <v/>
      </c>
    </row>
    <row r="22" ht="409.5" customHeight="1">
      <c r="A22" s="3" t="inlineStr">
        <is>
          <t>Isla</t>
        </is>
      </c>
      <c r="B22" s="3" t="inlineStr">
        <is>
          <t>Fernandez</t>
        </is>
      </c>
      <c r="C22" s="3" t="inlineStr">
        <is>
          <t>ifernandez@organization.org</t>
        </is>
      </c>
      <c r="D22" s="3" t="inlineStr">
        <is>
          <t>ULN9J3WSF</t>
        </is>
      </c>
      <c r="E22" s="3" t="n"/>
      <c r="F22" s="3" t="inlineStr">
        <is>
          <t>OEDMI</t>
        </is>
      </c>
      <c r="G22" s="3" t="n"/>
      <c r="H22" s="3" t="n"/>
      <c r="I22" s="3" t="n"/>
      <c r="J22" s="3" t="n"/>
      <c r="K22" s="3" t="n"/>
      <c r="L22" s="3" t="n"/>
      <c r="M22" s="3" t="n"/>
      <c r="N22" s="3" t="n"/>
      <c r="O22" s="3" t="n"/>
      <c r="P22" s="3" t="n"/>
      <c r="Q22" s="3" t="n"/>
      <c r="R22" s="3" t="n"/>
      <c r="S22" s="3" t="n"/>
      <c r="T22" s="3" t="n"/>
      <c r="U22" s="3" t="n"/>
      <c r="V22" s="3" t="n"/>
      <c r="W22" s="3" t="inlineStr">
        <is>
          <t>Maldives</t>
        </is>
      </c>
      <c r="X22" s="3" t="n"/>
      <c r="Y22" s="3" t="n"/>
      <c r="Z22" s="3" t="n"/>
      <c r="AA22" s="3" t="n"/>
      <c r="AB22" s="3" t="n"/>
      <c r="AC22" s="3" t="n"/>
      <c r="AD22" s="3" t="n"/>
      <c r="AE22" s="3" t="n"/>
      <c r="AF22" s="4" t="inlineStr">
        <is>
          <t>Maldives</t>
        </is>
      </c>
      <c r="AG22" s="3" t="inlineStr">
        <is>
          <t>The IMF should engage a similar amount on climate change-related issues</t>
        </is>
      </c>
      <c r="AH22" s="3" t="inlineStr">
        <is>
          <t>To a moderate extent</t>
        </is>
      </c>
      <c r="AI22" s="3" t="inlineStr">
        <is>
          <t>To a moderate extent</t>
        </is>
      </c>
      <c r="AJ22" s="3" t="inlineStr">
        <is>
          <t>To a moderate extent</t>
        </is>
      </c>
      <c r="AK22" s="3" t="inlineStr">
        <is>
          <t>To a moderate extent</t>
        </is>
      </c>
      <c r="AL22" s="3" t="inlineStr">
        <is>
          <t>To a moderate extent</t>
        </is>
      </c>
      <c r="AM22" s="3" t="inlineStr">
        <is>
          <t>Don’t know or not applicable</t>
        </is>
      </c>
      <c r="AN22" s="3" t="inlineStr">
        <is>
          <t>Don’t know or not applicable</t>
        </is>
      </c>
      <c r="AO22" s="3" t="inlineStr">
        <is>
          <t>To a moderate extent</t>
        </is>
      </c>
      <c r="AP22" s="3" t="inlineStr">
        <is>
          <t>Don’t know or not applicable</t>
        </is>
      </c>
      <c r="AQ22" s="3" t="inlineStr">
        <is>
          <t>Don’t know or not applicable</t>
        </is>
      </c>
      <c r="AR22" s="3" t="inlineStr">
        <is>
          <t>To a moderate extent</t>
        </is>
      </c>
      <c r="AS22" s="3" t="n"/>
      <c r="AT22" s="3" t="inlineStr">
        <is>
          <t>Not at all</t>
        </is>
      </c>
      <c r="AU22" s="3" t="inlineStr">
        <is>
          <t>To a moderate extent</t>
        </is>
      </c>
      <c r="AV22" s="3" t="inlineStr">
        <is>
          <t>To a slight extent</t>
        </is>
      </c>
      <c r="AW22" s="3" t="inlineStr">
        <is>
          <t>To a slight extent</t>
        </is>
      </c>
      <c r="AX22" s="3" t="inlineStr">
        <is>
          <t>To a slight extent</t>
        </is>
      </c>
      <c r="AY22" s="3" t="inlineStr">
        <is>
          <t>Don’t know or not applicable</t>
        </is>
      </c>
      <c r="AZ22" s="3" t="inlineStr">
        <is>
          <t>To a slight extent</t>
        </is>
      </c>
      <c r="BA22" s="3" t="inlineStr">
        <is>
          <t>To a great extent</t>
        </is>
      </c>
      <c r="BB22" s="3" t="inlineStr">
        <is>
          <t>To a moderate extent</t>
        </is>
      </c>
      <c r="BC22" s="3" t="inlineStr">
        <is>
          <t>To a slight extent</t>
        </is>
      </c>
      <c r="BD22" s="3" t="inlineStr">
        <is>
          <t>To a slight extent</t>
        </is>
      </c>
      <c r="BE22" s="3" t="inlineStr">
        <is>
          <t>To a slight extent</t>
        </is>
      </c>
      <c r="BF22" s="3" t="inlineStr">
        <is>
          <t>To a slight extent</t>
        </is>
      </c>
      <c r="BG22" s="3" t="inlineStr">
        <is>
          <t>To a slight extent</t>
        </is>
      </c>
      <c r="BH22" s="3" t="inlineStr">
        <is>
          <t>To a slight extent</t>
        </is>
      </c>
      <c r="BI22" s="3" t="inlineStr">
        <is>
          <t>Don’t know or not applicable</t>
        </is>
      </c>
      <c r="BJ22" s="3" t="inlineStr">
        <is>
          <t>To a slight extent</t>
        </is>
      </c>
      <c r="BK22" s="3" t="inlineStr">
        <is>
          <t>To a great extent</t>
        </is>
      </c>
      <c r="BL22" s="3" t="inlineStr">
        <is>
          <t>To a moderate extent</t>
        </is>
      </c>
      <c r="BM22" s="3" t="inlineStr">
        <is>
          <t>To a moderate extent</t>
        </is>
      </c>
      <c r="BN22" s="3" t="inlineStr">
        <is>
          <t>To a slight extent</t>
        </is>
      </c>
      <c r="BO22" s="3" t="inlineStr">
        <is>
          <t>To a great extent</t>
        </is>
      </c>
      <c r="BP22" s="3" t="inlineStr">
        <is>
          <t>To a slight extent</t>
        </is>
      </c>
      <c r="BQ22" s="3" t="inlineStr">
        <is>
          <t>To a slight extent</t>
        </is>
      </c>
      <c r="BR22" s="3" t="inlineStr">
        <is>
          <t>Don’t know or not applicable</t>
        </is>
      </c>
      <c r="BS22" s="3" t="n"/>
      <c r="BT22" s="3" t="inlineStr">
        <is>
          <t>The IMF dedicated an appropriate amount of resources</t>
        </is>
      </c>
      <c r="BU22" s="3" t="inlineStr">
        <is>
          <t>To a great extent</t>
        </is>
      </c>
      <c r="BV22" s="3" t="inlineStr">
        <is>
          <t>To a moderate extent</t>
        </is>
      </c>
      <c r="BW22" s="3" t="inlineStr">
        <is>
          <t>Don’t know or not applicable</t>
        </is>
      </c>
      <c r="BX22" s="3" t="inlineStr">
        <is>
          <t>To a great extent</t>
        </is>
      </c>
      <c r="BY22" s="3" t="inlineStr">
        <is>
          <t>To a moderate extent</t>
        </is>
      </c>
      <c r="BZ22" s="3" t="inlineStr">
        <is>
          <t>Don’t know or not applicable</t>
        </is>
      </c>
      <c r="CA22" s="3" t="inlineStr">
        <is>
          <t>To a great extent</t>
        </is>
      </c>
      <c r="CB22" s="3" t="inlineStr">
        <is>
          <t>To a moderate extent</t>
        </is>
      </c>
      <c r="CC22" s="3" t="inlineStr">
        <is>
          <t>Don’t know or not applicable</t>
        </is>
      </c>
      <c r="CD22" s="3" t="inlineStr">
        <is>
          <t>To a great extent</t>
        </is>
      </c>
      <c r="CE22" s="3" t="inlineStr">
        <is>
          <t>To a moderate extent</t>
        </is>
      </c>
      <c r="CF22" s="3" t="inlineStr">
        <is>
          <t>Don’t know or not applicable</t>
        </is>
      </c>
      <c r="CG22" s="3" t="n"/>
      <c r="CH22" s="3" t="inlineStr">
        <is>
          <t>No</t>
        </is>
      </c>
      <c r="CI22" s="3" t="inlineStr">
        <is>
          <t>No</t>
        </is>
      </c>
      <c r="CJ22" s="3" t="n"/>
      <c r="CK22" s="3" t="n"/>
      <c r="CL22" s="3" t="n"/>
      <c r="CM22" s="3" t="n"/>
      <c r="CN22" s="3" t="n"/>
      <c r="CO22" s="3" t="n"/>
      <c r="CP22" s="3" t="n"/>
      <c r="CQ22" s="3" t="n"/>
      <c r="CR22" s="3" t="n"/>
      <c r="CS22" s="3" t="n"/>
      <c r="CT22" s="3" t="n"/>
      <c r="CU22" s="3" t="n"/>
      <c r="CV22" s="3" t="n"/>
      <c r="CW22" s="3" t="n"/>
      <c r="CX22" s="3" t="n"/>
      <c r="CY22" s="3" t="n"/>
      <c r="CZ22" s="3" t="n"/>
      <c r="DA22" s="3" t="n"/>
      <c r="DB22" s="3" t="n"/>
      <c r="DC22" s="3" t="n"/>
      <c r="DD22" s="3" t="n"/>
      <c r="DE22" s="3" t="n"/>
      <c r="DF22" s="3" t="n"/>
      <c r="DG22" s="3" t="n"/>
      <c r="DH22" s="3" t="n"/>
      <c r="DI22" s="3" t="n"/>
      <c r="DJ22" s="3" t="n"/>
      <c r="DK22" s="3" t="n"/>
      <c r="DL22" s="3" t="n"/>
      <c r="DM22" s="3" t="n"/>
      <c r="DN22" s="3" t="n"/>
      <c r="DO22" s="3" t="n"/>
      <c r="DP22" s="3" t="n"/>
      <c r="DQ22" s="3" t="n"/>
      <c r="DR22" s="3" t="inlineStr">
        <is>
          <t>Insufficient administrative capacity to implement an IMF   program concurrent with an RSF arrangement</t>
        </is>
      </c>
      <c r="DS22" s="3" t="n"/>
      <c r="DT22" s="3" t="inlineStr">
        <is>
          <t>My country requested an RSF arrangement but it has not been approved yet or the request did not progress</t>
        </is>
      </c>
      <c r="DU22" s="3" t="inlineStr">
        <is>
          <t>An RSF arrangement would have been useful, but my country had no balance of payments issues/did not need/was not willing to commit to the underlying UCT program</t>
        </is>
      </c>
      <c r="DV22" s="3" t="n"/>
      <c r="DW22" s="3" t="inlineStr">
        <is>
          <t>Yes</t>
        </is>
      </c>
      <c r="DX22" s="3" t="inlineStr">
        <is>
          <t>World Bank Group</t>
        </is>
      </c>
      <c r="DY22" s="3" t="inlineStr">
        <is>
          <t>Regional development banks</t>
        </is>
      </c>
      <c r="DZ22" s="3" t="inlineStr">
        <is>
          <t>Bilateral sources</t>
        </is>
      </c>
      <c r="EA22" s="3" t="n"/>
      <c r="EB22" s="3" t="n"/>
      <c r="EC22" s="3" t="inlineStr">
        <is>
          <t>Don’t know or not applicable</t>
        </is>
      </c>
      <c r="ED22" s="3" t="inlineStr">
        <is>
          <t>Don’t know or not applicable</t>
        </is>
      </c>
      <c r="EE22" s="3" t="inlineStr">
        <is>
          <t>Don’t know or not applicable</t>
        </is>
      </c>
      <c r="EF22" s="3" t="inlineStr">
        <is>
          <t>To a slight extent</t>
        </is>
      </c>
      <c r="EG22" s="3" t="inlineStr">
        <is>
          <t>To a slight extent</t>
        </is>
      </c>
      <c r="EH22" s="3" t="inlineStr">
        <is>
          <t>To a slight extent</t>
        </is>
      </c>
      <c r="EI22" s="3" t="inlineStr">
        <is>
          <t>To a great extent</t>
        </is>
      </c>
      <c r="EJ22" s="3" t="inlineStr">
        <is>
          <t>To a great extent</t>
        </is>
      </c>
      <c r="EK22" s="3" t="inlineStr">
        <is>
          <t>To a great extent</t>
        </is>
      </c>
      <c r="EL22" s="3" t="inlineStr">
        <is>
          <t>To a great extent</t>
        </is>
      </c>
      <c r="EM22" s="3" t="n"/>
      <c r="EN22" s="3" t="n"/>
      <c r="EO22" s="3" t="n"/>
      <c r="EP22" s="3" t="n"/>
      <c r="EQ22" s="3" t="inlineStr">
        <is>
          <t>To a slight extent</t>
        </is>
      </c>
      <c r="ER22" s="3" t="inlineStr">
        <is>
          <t>Not at all</t>
        </is>
      </c>
      <c r="ES22" s="3" t="n"/>
      <c r="ET22" s="3" t="inlineStr">
        <is>
          <t>To a moderate extent</t>
        </is>
      </c>
      <c r="EU22" s="3" t="inlineStr">
        <is>
          <t>To a moderate extent</t>
        </is>
      </c>
      <c r="EV22" s="3" t="inlineStr">
        <is>
          <t>To a slight extent</t>
        </is>
      </c>
      <c r="EW22" s="3" t="n"/>
      <c r="EX22" s="3" t="n"/>
      <c r="EY22" s="3" t="inlineStr">
        <is>
          <t>To a slight extent</t>
        </is>
      </c>
      <c r="EZ22" s="3" t="inlineStr">
        <is>
          <t>To a slight extent</t>
        </is>
      </c>
      <c r="FA22" s="3" t="inlineStr">
        <is>
          <t>To a moderate extent</t>
        </is>
      </c>
      <c r="FB22" s="3" t="inlineStr">
        <is>
          <t>To a slight extent</t>
        </is>
      </c>
      <c r="FC22" s="3" t="inlineStr">
        <is>
          <t>To a slight extent</t>
        </is>
      </c>
      <c r="FD22" s="3" t="inlineStr">
        <is>
          <t>Don’t know or not applicable</t>
        </is>
      </c>
      <c r="FE22" s="3" t="inlineStr">
        <is>
          <t>To a slight extent</t>
        </is>
      </c>
      <c r="FF22" s="3" t="inlineStr">
        <is>
          <t>To a slight extent</t>
        </is>
      </c>
      <c r="FG22" s="3" t="inlineStr">
        <is>
          <t>To a slight extent</t>
        </is>
      </c>
      <c r="FH22" s="3" t="n"/>
      <c r="FI22" s="3" t="n"/>
      <c r="FJ22" s="3" t="n"/>
      <c r="FK22" s="3" t="n"/>
      <c r="FL22" s="3" t="n"/>
      <c r="FM22" s="3" t="n"/>
      <c r="FN22" s="3" t="n"/>
      <c r="FO22" s="3" t="n"/>
      <c r="FP22" s="3" t="n"/>
      <c r="FQ22" s="3" t="n"/>
      <c r="FR22" s="3" t="inlineStr">
        <is>
          <t>To a great extent</t>
        </is>
      </c>
      <c r="FS22" s="3" t="inlineStr">
        <is>
          <t>To a slight extent</t>
        </is>
      </c>
      <c r="FT22" s="3" t="inlineStr">
        <is>
          <t>Don’t know or not applicable</t>
        </is>
      </c>
      <c r="FU22" s="3" t="inlineStr">
        <is>
          <t>Don’t know or not applicable</t>
        </is>
      </c>
      <c r="FV22" s="3" t="n"/>
      <c r="FW22" s="3" t="inlineStr">
        <is>
          <t>The IMF dedicated the appropriate amount of resources</t>
        </is>
      </c>
      <c r="FX22" s="3" t="n"/>
      <c r="FY22" s="3" t="inlineStr">
        <is>
          <t>To a great extent</t>
        </is>
      </c>
      <c r="FZ22" s="3" t="inlineStr">
        <is>
          <t>To a slight extent</t>
        </is>
      </c>
      <c r="GA22" s="3" t="inlineStr">
        <is>
          <t>To a moderate extent</t>
        </is>
      </c>
      <c r="GB22" s="3" t="inlineStr">
        <is>
          <t>To a slight extent</t>
        </is>
      </c>
      <c r="GC22" s="3" t="inlineStr">
        <is>
          <t>Don’t know or not applicable</t>
        </is>
      </c>
      <c r="GD22" s="3" t="n"/>
      <c r="GE22" s="3" t="inlineStr">
        <is>
          <t>To a moderate extent</t>
        </is>
      </c>
      <c r="GF22" s="3" t="inlineStr">
        <is>
          <t>To a moderate extent</t>
        </is>
      </c>
      <c r="GG22" s="3" t="inlineStr">
        <is>
          <t>To a moderate extent</t>
        </is>
      </c>
      <c r="GH22" s="3" t="inlineStr">
        <is>
          <t>To a slight extent</t>
        </is>
      </c>
      <c r="GI22" s="3" t="inlineStr">
        <is>
          <t>To a slight extent</t>
        </is>
      </c>
      <c r="GJ22" s="3" t="inlineStr">
        <is>
          <t>To a moderate extent</t>
        </is>
      </c>
      <c r="GK22" s="11" t="inlineStr">
        <is>
          <t>-The Comprehensive Surveillance Review (CSR) should determine the Fund's engagement in non-core areas, mindful of the need to prioritize the core mandate.
-Such engagement should be conditional on macro-criticality, which needs to be carefully defined in the context of the CSR. This applies to the Fund's work on climate change-related issues.
- When carried out, the Fund's work on climate change-related issues should pay close attention to adaptation and transition challenges, especially in countries facing heightened vulnerabilities.
- Many advanced climate integration hindered by poor fundamental. Eg: conclusion of C-PIMA 2024 Maldives notes that without progress on PIM procedures climate integration will not be successful
- Addressing macroeconomic stability and debt sustainability as the building blocks for strengthening climate resilience.</t>
        </is>
      </c>
      <c r="GL22" s="5">
        <f>DATE(2025,6,4)+TIME(16,47,47)</f>
        <v/>
      </c>
    </row>
    <row r="23" ht="110.25" customHeight="1">
      <c r="A23" s="6" t="inlineStr">
        <is>
          <t>Felix</t>
        </is>
      </c>
      <c r="B23" s="6" t="inlineStr">
        <is>
          <t>Sato</t>
        </is>
      </c>
      <c r="C23" s="6" t="inlineStr">
        <is>
          <t>fsato@organization.org</t>
        </is>
      </c>
      <c r="D23" s="6" t="inlineStr">
        <is>
          <t>CWCBSXNJ0</t>
        </is>
      </c>
      <c r="E23" s="6" t="n"/>
      <c r="F23" s="6" t="inlineStr">
        <is>
          <t>OEDCO</t>
        </is>
      </c>
      <c r="G23" s="6" t="n"/>
      <c r="H23" s="6" t="n"/>
      <c r="I23" s="6" t="n"/>
      <c r="J23" s="6" t="n"/>
      <c r="K23" s="6" t="n"/>
      <c r="L23" s="6" t="n"/>
      <c r="M23" s="6" t="n"/>
      <c r="N23" s="6" t="n"/>
      <c r="O23" s="6" t="inlineStr">
        <is>
          <t>Belize</t>
        </is>
      </c>
      <c r="P23" s="6" t="n"/>
      <c r="Q23" s="6" t="n"/>
      <c r="R23" s="6" t="n"/>
      <c r="S23" s="6" t="n"/>
      <c r="T23" s="6" t="n"/>
      <c r="U23" s="6" t="n"/>
      <c r="V23" s="6" t="n"/>
      <c r="W23" s="6" t="n"/>
      <c r="X23" s="6" t="n"/>
      <c r="Y23" s="6" t="n"/>
      <c r="Z23" s="6" t="n"/>
      <c r="AA23" s="6" t="n"/>
      <c r="AB23" s="6" t="n"/>
      <c r="AC23" s="6" t="n"/>
      <c r="AD23" s="6" t="n"/>
      <c r="AE23" s="6" t="n"/>
      <c r="AF23" s="4" t="inlineStr">
        <is>
          <t>Belize</t>
        </is>
      </c>
      <c r="AG23" s="6" t="inlineStr">
        <is>
          <t>The IMF should engage more on climate change-related issues</t>
        </is>
      </c>
      <c r="AH23" s="6" t="inlineStr">
        <is>
          <t>To a moderate extent</t>
        </is>
      </c>
      <c r="AI23" s="6" t="inlineStr">
        <is>
          <t>To a slight extent</t>
        </is>
      </c>
      <c r="AJ23" s="6" t="inlineStr">
        <is>
          <t>Don’t know or not applicable</t>
        </is>
      </c>
      <c r="AK23" s="6" t="inlineStr">
        <is>
          <t>To a slight extent</t>
        </is>
      </c>
      <c r="AL23" s="6" t="inlineStr">
        <is>
          <t>To a slight extent</t>
        </is>
      </c>
      <c r="AM23" s="6" t="inlineStr">
        <is>
          <t>To a slight extent</t>
        </is>
      </c>
      <c r="AN23" s="6" t="inlineStr">
        <is>
          <t>Don’t know or not applicable</t>
        </is>
      </c>
      <c r="AO23" s="6" t="inlineStr">
        <is>
          <t>To a moderate extent</t>
        </is>
      </c>
      <c r="AP23" s="6" t="inlineStr">
        <is>
          <t>To a slight extent</t>
        </is>
      </c>
      <c r="AQ23" s="6" t="inlineStr">
        <is>
          <t>To a slight extent</t>
        </is>
      </c>
      <c r="AR23" s="6" t="inlineStr">
        <is>
          <t>To a moderate extent</t>
        </is>
      </c>
      <c r="AS23" s="6" t="n"/>
      <c r="AT23" s="6" t="inlineStr">
        <is>
          <t>To a great extent</t>
        </is>
      </c>
      <c r="AU23" s="6" t="inlineStr">
        <is>
          <t>To a slight extent</t>
        </is>
      </c>
      <c r="AV23" s="6" t="inlineStr">
        <is>
          <t>Not at all</t>
        </is>
      </c>
      <c r="AW23" s="6" t="inlineStr">
        <is>
          <t>To a slight extent</t>
        </is>
      </c>
      <c r="AX23" s="6" t="inlineStr">
        <is>
          <t>To a slight extent</t>
        </is>
      </c>
      <c r="AY23" s="6" t="inlineStr">
        <is>
          <t>To a great extent</t>
        </is>
      </c>
      <c r="AZ23" s="6" t="inlineStr">
        <is>
          <t>To a slight extent</t>
        </is>
      </c>
      <c r="BA23" s="6" t="inlineStr">
        <is>
          <t>Not at all</t>
        </is>
      </c>
      <c r="BB23" s="6" t="inlineStr">
        <is>
          <t>To a slight extent</t>
        </is>
      </c>
      <c r="BC23" s="6" t="inlineStr">
        <is>
          <t>To a slight extent</t>
        </is>
      </c>
      <c r="BD23" s="6" t="inlineStr">
        <is>
          <t>To a great extent</t>
        </is>
      </c>
      <c r="BE23" s="6" t="inlineStr">
        <is>
          <t>Don’t know or not applicable</t>
        </is>
      </c>
      <c r="BF23" s="6" t="inlineStr">
        <is>
          <t>Don’t know or not applicable</t>
        </is>
      </c>
      <c r="BG23" s="6" t="inlineStr">
        <is>
          <t>Don’t know or not applicable</t>
        </is>
      </c>
      <c r="BH23" s="6" t="inlineStr">
        <is>
          <t>Don’t know or not applicable</t>
        </is>
      </c>
      <c r="BI23" s="6" t="inlineStr">
        <is>
          <t>Don’t know or not applicable</t>
        </is>
      </c>
      <c r="BJ23" s="6" t="inlineStr">
        <is>
          <t>To a slight extent</t>
        </is>
      </c>
      <c r="BK23" s="6" t="inlineStr">
        <is>
          <t>Not at all</t>
        </is>
      </c>
      <c r="BL23" s="6" t="inlineStr">
        <is>
          <t>To a slight extent</t>
        </is>
      </c>
      <c r="BM23" s="6" t="inlineStr">
        <is>
          <t>To a slight extent</t>
        </is>
      </c>
      <c r="BN23" s="6" t="inlineStr">
        <is>
          <t>To a great extent</t>
        </is>
      </c>
      <c r="BO23" s="6" t="inlineStr">
        <is>
          <t>To a moderate extent</t>
        </is>
      </c>
      <c r="BP23" s="6" t="inlineStr">
        <is>
          <t>To a moderate extent</t>
        </is>
      </c>
      <c r="BQ23" s="6" t="inlineStr">
        <is>
          <t>Don’t know or not applicable</t>
        </is>
      </c>
      <c r="BR23" s="6" t="inlineStr">
        <is>
          <t>Don’t know or not applicable</t>
        </is>
      </c>
      <c r="BS23" s="6" t="n"/>
      <c r="BT23" s="6" t="inlineStr">
        <is>
          <t>The IMF dedicated an appropriate amount of resources</t>
        </is>
      </c>
      <c r="BU23" s="6" t="inlineStr">
        <is>
          <t>To a great extent</t>
        </is>
      </c>
      <c r="BV23" s="6" t="inlineStr">
        <is>
          <t>To a great extent</t>
        </is>
      </c>
      <c r="BW23" s="6" t="inlineStr">
        <is>
          <t>To a great extent</t>
        </is>
      </c>
      <c r="BX23" s="6" t="inlineStr">
        <is>
          <t>To a great extent</t>
        </is>
      </c>
      <c r="BY23" s="6" t="inlineStr">
        <is>
          <t>To a great extent</t>
        </is>
      </c>
      <c r="BZ23" s="6" t="inlineStr">
        <is>
          <t>To a great extent</t>
        </is>
      </c>
      <c r="CA23" s="6" t="inlineStr">
        <is>
          <t>To a great extent</t>
        </is>
      </c>
      <c r="CB23" s="6" t="inlineStr">
        <is>
          <t>To a great extent</t>
        </is>
      </c>
      <c r="CC23" s="6" t="inlineStr">
        <is>
          <t>To a great extent</t>
        </is>
      </c>
      <c r="CD23" s="6" t="inlineStr">
        <is>
          <t>To a great extent</t>
        </is>
      </c>
      <c r="CE23" s="6" t="inlineStr">
        <is>
          <t>To a great extent</t>
        </is>
      </c>
      <c r="CF23" s="6" t="inlineStr">
        <is>
          <t>To a great extent</t>
        </is>
      </c>
      <c r="CG23" s="6" t="n"/>
      <c r="CH23" s="6" t="inlineStr">
        <is>
          <t>No</t>
        </is>
      </c>
      <c r="CI23" s="6" t="inlineStr">
        <is>
          <t>No</t>
        </is>
      </c>
      <c r="CJ23" s="6" t="n"/>
      <c r="CK23" s="6" t="n"/>
      <c r="CL23" s="6" t="n"/>
      <c r="CM23" s="6" t="n"/>
      <c r="CN23" s="6" t="n"/>
      <c r="CO23" s="6" t="n"/>
      <c r="CP23" s="6" t="n"/>
      <c r="CQ23" s="6" t="n"/>
      <c r="CR23" s="6" t="n"/>
      <c r="CS23" s="6" t="n"/>
      <c r="CT23" s="6" t="n"/>
      <c r="CU23" s="6" t="n"/>
      <c r="CV23" s="6" t="n"/>
      <c r="CW23" s="6" t="n"/>
      <c r="CX23" s="6" t="n"/>
      <c r="CY23" s="6" t="n"/>
      <c r="CZ23" s="6" t="n"/>
      <c r="DA23" s="6" t="n"/>
      <c r="DB23" s="6" t="n"/>
      <c r="DC23" s="6" t="n"/>
      <c r="DD23" s="6" t="n"/>
      <c r="DE23" s="6" t="n"/>
      <c r="DF23" s="6" t="n"/>
      <c r="DG23" s="6" t="n"/>
      <c r="DH23" s="6" t="n"/>
      <c r="DI23" s="6" t="n"/>
      <c r="DJ23" s="6" t="n"/>
      <c r="DK23" s="6" t="n"/>
      <c r="DL23" s="6" t="n"/>
      <c r="DM23" s="6" t="n"/>
      <c r="DN23" s="6" t="n"/>
      <c r="DO23" s="6" t="n"/>
      <c r="DP23" s="6" t="n"/>
      <c r="DQ23" s="6" t="n"/>
      <c r="DR23" s="6" t="inlineStr">
        <is>
          <t>Insufficient administrative capacity to implement an IMF   program concurrent with an RSF arrangement</t>
        </is>
      </c>
      <c r="DS23" s="6" t="n"/>
      <c r="DT23" s="6" t="n"/>
      <c r="DU23" s="6" t="inlineStr">
        <is>
          <t>An RSF arrangement would have been useful, but my country had no balance of payments issues/did not need/was not willing to commit to the underlying UCT program</t>
        </is>
      </c>
      <c r="DV23" s="6" t="inlineStr">
        <is>
          <t>Other (please specify) : The eligible RSF amount is too small to be worth the administrative work to implement a UCT program</t>
        </is>
      </c>
      <c r="DW23" s="6" t="inlineStr">
        <is>
          <t>Yes</t>
        </is>
      </c>
      <c r="DX23" s="6" t="inlineStr">
        <is>
          <t>World Bank Group</t>
        </is>
      </c>
      <c r="DY23" s="6" t="inlineStr">
        <is>
          <t>Regional development banks</t>
        </is>
      </c>
      <c r="DZ23" s="6" t="inlineStr">
        <is>
          <t>Bilateral sources</t>
        </is>
      </c>
      <c r="EA23" s="6" t="n"/>
      <c r="EB23" s="6" t="n"/>
      <c r="EC23" s="6" t="inlineStr">
        <is>
          <t>To a slight extent</t>
        </is>
      </c>
      <c r="ED23" s="6" t="inlineStr">
        <is>
          <t>Not at all</t>
        </is>
      </c>
      <c r="EE23" s="6" t="inlineStr">
        <is>
          <t>Don’t know or not applicable</t>
        </is>
      </c>
      <c r="EF23" s="6" t="inlineStr">
        <is>
          <t>Not at all</t>
        </is>
      </c>
      <c r="EG23" s="6" t="inlineStr">
        <is>
          <t>To a moderate extent</t>
        </is>
      </c>
      <c r="EH23" s="6" t="inlineStr">
        <is>
          <t>To a moderate extent</t>
        </is>
      </c>
      <c r="EI23" s="6" t="inlineStr">
        <is>
          <t>To a moderate extent</t>
        </is>
      </c>
      <c r="EJ23" s="6" t="inlineStr">
        <is>
          <t>To a great extent</t>
        </is>
      </c>
      <c r="EK23" s="6" t="inlineStr">
        <is>
          <t>Not at all</t>
        </is>
      </c>
      <c r="EL23" s="6" t="inlineStr">
        <is>
          <t>To a great extent</t>
        </is>
      </c>
      <c r="EM23" s="6" t="n"/>
      <c r="EN23" s="6" t="n"/>
      <c r="EO23" s="6" t="n"/>
      <c r="EP23" s="6" t="n"/>
      <c r="EQ23" s="6" t="inlineStr">
        <is>
          <t>Not at all</t>
        </is>
      </c>
      <c r="ER23" s="6" t="inlineStr">
        <is>
          <t>Not at all</t>
        </is>
      </c>
      <c r="ES23" s="6" t="n"/>
      <c r="ET23" s="6" t="n"/>
      <c r="EU23" s="6" t="n"/>
      <c r="EV23" s="6" t="n"/>
      <c r="EW23" s="6" t="n"/>
      <c r="EX23" s="6" t="n"/>
      <c r="EY23" s="6" t="n"/>
      <c r="EZ23" s="6" t="n"/>
      <c r="FA23" s="6" t="n"/>
      <c r="FB23" s="6" t="n"/>
      <c r="FC23" s="6" t="n"/>
      <c r="FD23" s="6" t="n"/>
      <c r="FE23" s="6" t="n"/>
      <c r="FF23" s="6" t="n"/>
      <c r="FG23" s="6" t="n"/>
      <c r="FH23" s="6" t="n"/>
      <c r="FI23" s="6" t="n"/>
      <c r="FJ23" s="6" t="n"/>
      <c r="FK23" s="6" t="n"/>
      <c r="FL23" s="6" t="n"/>
      <c r="FM23" s="6" t="n"/>
      <c r="FN23" s="6" t="n"/>
      <c r="FO23" s="6" t="n"/>
      <c r="FP23" s="6" t="n"/>
      <c r="FQ23" s="6" t="n"/>
      <c r="FR23" s="6" t="n"/>
      <c r="FS23" s="6" t="n"/>
      <c r="FT23" s="6" t="n"/>
      <c r="FU23" s="6" t="n"/>
      <c r="FV23" s="6" t="n"/>
      <c r="FW23" s="6" t="n"/>
      <c r="FX23" s="6" t="n"/>
      <c r="FY23" s="6" t="inlineStr">
        <is>
          <t>To a great extent</t>
        </is>
      </c>
      <c r="FZ23" s="6" t="inlineStr">
        <is>
          <t>To a great extent</t>
        </is>
      </c>
      <c r="GA23" s="6" t="inlineStr">
        <is>
          <t>To a great extent</t>
        </is>
      </c>
      <c r="GB23" s="6" t="inlineStr">
        <is>
          <t>To a great extent</t>
        </is>
      </c>
      <c r="GC23" s="6" t="n"/>
      <c r="GD23" s="6" t="n"/>
      <c r="GE23" s="6" t="inlineStr">
        <is>
          <t>To a great extent</t>
        </is>
      </c>
      <c r="GF23" s="6" t="inlineStr">
        <is>
          <t>To a great extent</t>
        </is>
      </c>
      <c r="GG23" s="6" t="inlineStr">
        <is>
          <t>To a great extent</t>
        </is>
      </c>
      <c r="GH23" s="6" t="inlineStr">
        <is>
          <t>To a moderate extent</t>
        </is>
      </c>
      <c r="GI23" s="6" t="inlineStr">
        <is>
          <t>To a moderate extent</t>
        </is>
      </c>
      <c r="GJ23" s="6" t="inlineStr">
        <is>
          <t>To a moderate extent</t>
        </is>
      </c>
      <c r="GK23" s="6" t="n"/>
      <c r="GL23" s="7">
        <f>DATE(2025,6,4)+TIME(13,37,7)</f>
        <v/>
      </c>
    </row>
    <row r="24" ht="110.25" customHeight="1">
      <c r="A24" s="3" t="inlineStr">
        <is>
          <t>James</t>
        </is>
      </c>
      <c r="B24" s="3" t="inlineStr">
        <is>
          <t>Garcia</t>
        </is>
      </c>
      <c r="C24" s="3" t="inlineStr">
        <is>
          <t>jgarcia@organization.org</t>
        </is>
      </c>
      <c r="D24" s="3" t="inlineStr">
        <is>
          <t>J5QBN9P1T</t>
        </is>
      </c>
      <c r="E24" s="3" t="n"/>
      <c r="F24" s="3" t="inlineStr">
        <is>
          <t>OEDST</t>
        </is>
      </c>
      <c r="G24" s="3" t="n"/>
      <c r="H24" s="3" t="n"/>
      <c r="I24" s="3" t="n"/>
      <c r="J24" s="3" t="n"/>
      <c r="K24" s="3" t="n"/>
      <c r="L24" s="3" t="n"/>
      <c r="M24" s="3" t="n"/>
      <c r="N24" s="3" t="n"/>
      <c r="O24" s="3" t="n"/>
      <c r="P24" s="3" t="n"/>
      <c r="Q24" s="3" t="n"/>
      <c r="R24" s="3" t="n"/>
      <c r="S24" s="3" t="n"/>
      <c r="T24" s="3" t="n"/>
      <c r="U24" s="3" t="n"/>
      <c r="V24" s="3" t="n"/>
      <c r="W24" s="3" t="n"/>
      <c r="X24" s="3" t="n"/>
      <c r="Y24" s="3" t="n"/>
      <c r="Z24" s="3" t="n"/>
      <c r="AA24" s="3" t="n"/>
      <c r="AB24" s="3" t="inlineStr">
        <is>
          <t>Laos People's Democratic Republic (Laos)</t>
        </is>
      </c>
      <c r="AC24" s="3" t="n"/>
      <c r="AD24" s="3" t="n"/>
      <c r="AE24" s="3" t="n"/>
      <c r="AF24" s="4" t="inlineStr">
        <is>
          <t>Laos People's Democratic Republic (Laos)</t>
        </is>
      </c>
      <c r="AG24" s="3" t="inlineStr">
        <is>
          <t>The IMF should engage a similar amount on climate change-related issues</t>
        </is>
      </c>
      <c r="AH24" s="3" t="inlineStr">
        <is>
          <t>To a slight extent</t>
        </is>
      </c>
      <c r="AI24" s="3" t="inlineStr">
        <is>
          <t>Not at all</t>
        </is>
      </c>
      <c r="AJ24" s="3" t="inlineStr">
        <is>
          <t>Don’t know or not applicable</t>
        </is>
      </c>
      <c r="AK24" s="3" t="inlineStr">
        <is>
          <t>Don’t know or not applicable</t>
        </is>
      </c>
      <c r="AL24" s="3" t="inlineStr">
        <is>
          <t>Don’t know or not applicable</t>
        </is>
      </c>
      <c r="AM24" s="3" t="inlineStr">
        <is>
          <t>Don’t know or not applicable</t>
        </is>
      </c>
      <c r="AN24" s="3" t="inlineStr">
        <is>
          <t>Don’t know or not applicable</t>
        </is>
      </c>
      <c r="AO24" s="3" t="inlineStr">
        <is>
          <t>Not at all</t>
        </is>
      </c>
      <c r="AP24" s="3" t="inlineStr">
        <is>
          <t>Not at all</t>
        </is>
      </c>
      <c r="AQ24" s="3" t="inlineStr">
        <is>
          <t>Not at all</t>
        </is>
      </c>
      <c r="AR24" s="3" t="inlineStr">
        <is>
          <t>Not at all</t>
        </is>
      </c>
      <c r="AS24" s="3" t="n"/>
      <c r="AT24" s="3" t="inlineStr">
        <is>
          <t>Not at all</t>
        </is>
      </c>
      <c r="AU24" s="3" t="inlineStr">
        <is>
          <t>To a slight extent</t>
        </is>
      </c>
      <c r="AV24" s="3" t="inlineStr">
        <is>
          <t>To a slight extent</t>
        </is>
      </c>
      <c r="AW24" s="3" t="inlineStr">
        <is>
          <t>Not at all</t>
        </is>
      </c>
      <c r="AX24" s="3" t="inlineStr">
        <is>
          <t>Not at all</t>
        </is>
      </c>
      <c r="AY24" s="3" t="inlineStr">
        <is>
          <t>Don’t know or not applicable</t>
        </is>
      </c>
      <c r="AZ24" s="3" t="inlineStr">
        <is>
          <t>To a slight extent</t>
        </is>
      </c>
      <c r="BA24" s="3" t="inlineStr">
        <is>
          <t>To a moderate extent</t>
        </is>
      </c>
      <c r="BB24" s="3" t="inlineStr">
        <is>
          <t>To a slight extent</t>
        </is>
      </c>
      <c r="BC24" s="3" t="inlineStr">
        <is>
          <t>Not at all</t>
        </is>
      </c>
      <c r="BD24" s="3" t="inlineStr">
        <is>
          <t>Don’t know or not applicable</t>
        </is>
      </c>
      <c r="BE24" s="3" t="inlineStr">
        <is>
          <t>Don’t know or not applicable</t>
        </is>
      </c>
      <c r="BF24" s="3" t="inlineStr">
        <is>
          <t>Don’t know or not applicable</t>
        </is>
      </c>
      <c r="BG24" s="3" t="inlineStr">
        <is>
          <t>Don’t know or not applicable</t>
        </is>
      </c>
      <c r="BH24" s="3" t="inlineStr">
        <is>
          <t>Don’t know or not applicable</t>
        </is>
      </c>
      <c r="BI24" s="3" t="inlineStr">
        <is>
          <t>Don’t know or not applicable</t>
        </is>
      </c>
      <c r="BJ24" s="3" t="inlineStr">
        <is>
          <t>To a slight extent</t>
        </is>
      </c>
      <c r="BK24" s="3" t="inlineStr">
        <is>
          <t>Not at all</t>
        </is>
      </c>
      <c r="BL24" s="3" t="inlineStr">
        <is>
          <t>To a slight extent</t>
        </is>
      </c>
      <c r="BM24" s="3" t="inlineStr">
        <is>
          <t>Not at all</t>
        </is>
      </c>
      <c r="BN24" s="3" t="inlineStr">
        <is>
          <t>Don’t know or not applicable</t>
        </is>
      </c>
      <c r="BO24" s="3" t="inlineStr">
        <is>
          <t>To a slight extent</t>
        </is>
      </c>
      <c r="BP24" s="3" t="inlineStr">
        <is>
          <t>Not at all</t>
        </is>
      </c>
      <c r="BQ24" s="3" t="inlineStr">
        <is>
          <t>To a slight extent</t>
        </is>
      </c>
      <c r="BR24" s="3" t="n"/>
      <c r="BS24" s="3" t="n"/>
      <c r="BT24" s="3" t="inlineStr">
        <is>
          <t>The IMF dedicated an appropriate amount of resources</t>
        </is>
      </c>
      <c r="BU24" s="3" t="inlineStr">
        <is>
          <t>To a great extent</t>
        </is>
      </c>
      <c r="BV24" s="3" t="inlineStr">
        <is>
          <t>To a slight extent</t>
        </is>
      </c>
      <c r="BW24" s="3" t="inlineStr">
        <is>
          <t>To a great extent</t>
        </is>
      </c>
      <c r="BX24" s="3" t="inlineStr">
        <is>
          <t>To a slight extent</t>
        </is>
      </c>
      <c r="BY24" s="3" t="inlineStr">
        <is>
          <t>To a slight extent</t>
        </is>
      </c>
      <c r="BZ24" s="3" t="inlineStr">
        <is>
          <t>To a slight extent</t>
        </is>
      </c>
      <c r="CA24" s="3" t="inlineStr">
        <is>
          <t>Don’t know or not applicable</t>
        </is>
      </c>
      <c r="CB24" s="3" t="inlineStr">
        <is>
          <t>Don’t know or not applicable</t>
        </is>
      </c>
      <c r="CC24" s="3" t="inlineStr">
        <is>
          <t>Don’t know or not applicable</t>
        </is>
      </c>
      <c r="CD24" s="3" t="inlineStr">
        <is>
          <t>To a slight extent</t>
        </is>
      </c>
      <c r="CE24" s="3" t="inlineStr">
        <is>
          <t>To a slight extent</t>
        </is>
      </c>
      <c r="CF24" s="3" t="inlineStr">
        <is>
          <t>To a slight extent</t>
        </is>
      </c>
      <c r="CG24" s="3" t="n"/>
      <c r="CH24" s="3" t="inlineStr">
        <is>
          <t>No</t>
        </is>
      </c>
      <c r="CI24" s="3" t="inlineStr">
        <is>
          <t>No</t>
        </is>
      </c>
      <c r="CJ24" s="3" t="n"/>
      <c r="CK24" s="3" t="n"/>
      <c r="CL24" s="3" t="n"/>
      <c r="CM24" s="3" t="n"/>
      <c r="CN24" s="3" t="n"/>
      <c r="CO24" s="3" t="n"/>
      <c r="CP24" s="3" t="n"/>
      <c r="CQ24" s="3" t="n"/>
      <c r="CR24" s="3" t="n"/>
      <c r="CS24" s="3" t="n"/>
      <c r="CT24" s="3" t="n"/>
      <c r="CU24" s="3" t="n"/>
      <c r="CV24" s="3" t="n"/>
      <c r="CW24" s="3" t="n"/>
      <c r="CX24" s="3" t="n"/>
      <c r="CY24" s="3" t="n"/>
      <c r="CZ24" s="3" t="n"/>
      <c r="DA24" s="3" t="n"/>
      <c r="DB24" s="3" t="n"/>
      <c r="DC24" s="3" t="n"/>
      <c r="DD24" s="3" t="n"/>
      <c r="DE24" s="3" t="n"/>
      <c r="DF24" s="3" t="n"/>
      <c r="DG24" s="3" t="n"/>
      <c r="DH24" s="3" t="n"/>
      <c r="DI24" s="3" t="n"/>
      <c r="DJ24" s="3" t="n"/>
      <c r="DK24" s="3" t="n"/>
      <c r="DL24" s="3" t="n"/>
      <c r="DM24" s="3" t="n"/>
      <c r="DN24" s="3" t="n"/>
      <c r="DO24" s="3" t="n"/>
      <c r="DP24" s="3" t="n"/>
      <c r="DQ24" s="3" t="inlineStr">
        <is>
          <t>Climate change does not pose a major balance of payments risk in my country</t>
        </is>
      </c>
      <c r="DR24" s="3" t="n"/>
      <c r="DS24" s="3" t="n"/>
      <c r="DT24" s="3" t="n"/>
      <c r="DU24" s="3" t="inlineStr">
        <is>
          <t>An RSF arrangement would have been useful, but my country had no balance of payments issues/did not need/was not willing to commit to the underlying UCT program</t>
        </is>
      </c>
      <c r="DV24" s="3" t="n"/>
      <c r="DW24" s="3" t="inlineStr">
        <is>
          <t>No</t>
        </is>
      </c>
      <c r="DX24" s="3" t="n"/>
      <c r="DY24" s="3" t="n"/>
      <c r="DZ24" s="3" t="n"/>
      <c r="EA24" s="3" t="n"/>
      <c r="EB24" s="3" t="n"/>
      <c r="EC24" s="3" t="n"/>
      <c r="ED24" s="3" t="n"/>
      <c r="EE24" s="3" t="n"/>
      <c r="EF24" s="3" t="inlineStr">
        <is>
          <t>Don’t know or not applicable</t>
        </is>
      </c>
      <c r="EG24" s="3" t="inlineStr">
        <is>
          <t>Don’t know or not applicable</t>
        </is>
      </c>
      <c r="EH24" s="3" t="inlineStr">
        <is>
          <t>Don’t know or not applicable</t>
        </is>
      </c>
      <c r="EI24" s="3" t="inlineStr">
        <is>
          <t>Don’t know or not applicable</t>
        </is>
      </c>
      <c r="EJ24" s="3" t="inlineStr">
        <is>
          <t>Don’t know or not applicable</t>
        </is>
      </c>
      <c r="EK24" s="3" t="inlineStr">
        <is>
          <t>Don’t know or not applicable</t>
        </is>
      </c>
      <c r="EL24" s="3" t="inlineStr">
        <is>
          <t>Don’t know or not applicable</t>
        </is>
      </c>
      <c r="EM24" s="3" t="n"/>
      <c r="EN24" s="3" t="n"/>
      <c r="EO24" s="3" t="n"/>
      <c r="EP24" s="3" t="n"/>
      <c r="EQ24" s="3" t="inlineStr">
        <is>
          <t>Not at all</t>
        </is>
      </c>
      <c r="ER24" s="3" t="inlineStr">
        <is>
          <t>Not at all</t>
        </is>
      </c>
      <c r="ES24" s="3" t="n"/>
      <c r="ET24" s="3" t="n"/>
      <c r="EU24" s="3" t="n"/>
      <c r="EV24" s="3" t="n"/>
      <c r="EW24" s="3" t="n"/>
      <c r="EX24" s="3" t="n"/>
      <c r="EY24" s="3" t="n"/>
      <c r="EZ24" s="3" t="n"/>
      <c r="FA24" s="3" t="n"/>
      <c r="FB24" s="3" t="n"/>
      <c r="FC24" s="3" t="n"/>
      <c r="FD24" s="3" t="n"/>
      <c r="FE24" s="3" t="n"/>
      <c r="FF24" s="3" t="n"/>
      <c r="FG24" s="3" t="n"/>
      <c r="FH24" s="3" t="n"/>
      <c r="FI24" s="3" t="n"/>
      <c r="FJ24" s="3" t="n"/>
      <c r="FK24" s="3" t="n"/>
      <c r="FL24" s="3" t="n"/>
      <c r="FM24" s="3" t="n"/>
      <c r="FN24" s="3" t="n"/>
      <c r="FO24" s="3" t="n"/>
      <c r="FP24" s="3" t="n"/>
      <c r="FQ24" s="3" t="n"/>
      <c r="FR24" s="3" t="n"/>
      <c r="FS24" s="3" t="n"/>
      <c r="FT24" s="3" t="n"/>
      <c r="FU24" s="3" t="n"/>
      <c r="FV24" s="3" t="n"/>
      <c r="FW24" s="3" t="n"/>
      <c r="FX24" s="3" t="n"/>
      <c r="FY24" s="3" t="inlineStr">
        <is>
          <t>To a moderate extent</t>
        </is>
      </c>
      <c r="FZ24" s="3" t="inlineStr">
        <is>
          <t>To a slight extent</t>
        </is>
      </c>
      <c r="GA24" s="3" t="inlineStr">
        <is>
          <t>To a slight extent</t>
        </is>
      </c>
      <c r="GB24" s="3" t="inlineStr">
        <is>
          <t>To a slight extent</t>
        </is>
      </c>
      <c r="GC24" s="3" t="n"/>
      <c r="GD24" s="3" t="n"/>
      <c r="GE24" s="3" t="inlineStr">
        <is>
          <t>To a slight extent</t>
        </is>
      </c>
      <c r="GF24" s="3" t="inlineStr">
        <is>
          <t>To a slight extent</t>
        </is>
      </c>
      <c r="GG24" s="3" t="inlineStr">
        <is>
          <t>To a great extent</t>
        </is>
      </c>
      <c r="GH24" s="3" t="inlineStr">
        <is>
          <t>Not at all</t>
        </is>
      </c>
      <c r="GI24" s="3" t="inlineStr">
        <is>
          <t>To a slight extent</t>
        </is>
      </c>
      <c r="GJ24" s="3" t="inlineStr">
        <is>
          <t>To a great extent</t>
        </is>
      </c>
      <c r="GK24" s="3" t="n"/>
      <c r="GL24" s="5">
        <f>DATE(2025,6,4)+TIME(10,31,40)</f>
        <v/>
      </c>
    </row>
    <row r="25" ht="409.5" customHeight="1">
      <c r="A25" s="6" t="inlineStr">
        <is>
          <t>James</t>
        </is>
      </c>
      <c r="B25" s="6" t="inlineStr">
        <is>
          <t>Garcia</t>
        </is>
      </c>
      <c r="C25" s="6" t="inlineStr">
        <is>
          <t>jgarcia@organization.org</t>
        </is>
      </c>
      <c r="D25" s="6" t="inlineStr">
        <is>
          <t>QZH8A8DME</t>
        </is>
      </c>
      <c r="E25" s="6" t="n"/>
      <c r="F25" s="6" t="inlineStr">
        <is>
          <t>OEDST</t>
        </is>
      </c>
      <c r="G25" s="6" t="n"/>
      <c r="H25" s="6" t="n"/>
      <c r="I25" s="6" t="n"/>
      <c r="J25" s="6" t="n"/>
      <c r="K25" s="6" t="n"/>
      <c r="L25" s="6" t="n"/>
      <c r="M25" s="6" t="n"/>
      <c r="N25" s="6" t="n"/>
      <c r="O25" s="6" t="n"/>
      <c r="P25" s="6" t="n"/>
      <c r="Q25" s="6" t="n"/>
      <c r="R25" s="6" t="n"/>
      <c r="S25" s="6" t="n"/>
      <c r="T25" s="6" t="n"/>
      <c r="U25" s="6" t="n"/>
      <c r="V25" s="6" t="n"/>
      <c r="W25" s="6" t="n"/>
      <c r="X25" s="6" t="n"/>
      <c r="Y25" s="6" t="n"/>
      <c r="Z25" s="6" t="n"/>
      <c r="AA25" s="6" t="n"/>
      <c r="AB25" s="6" t="inlineStr">
        <is>
          <t>Tonga</t>
        </is>
      </c>
      <c r="AC25" s="6" t="n"/>
      <c r="AD25" s="6" t="n"/>
      <c r="AE25" s="6" t="n"/>
      <c r="AF25" s="4" t="inlineStr">
        <is>
          <t>Tonga</t>
        </is>
      </c>
      <c r="AG25" s="6" t="inlineStr">
        <is>
          <t>The IMF should engage more on climate change-related issues</t>
        </is>
      </c>
      <c r="AH25" s="6" t="inlineStr">
        <is>
          <t>To a great extent</t>
        </is>
      </c>
      <c r="AI25" s="6" t="inlineStr">
        <is>
          <t>To a great extent</t>
        </is>
      </c>
      <c r="AJ25" s="6" t="inlineStr">
        <is>
          <t>Don’t know or not applicable</t>
        </is>
      </c>
      <c r="AK25" s="6" t="inlineStr">
        <is>
          <t>To a great extent</t>
        </is>
      </c>
      <c r="AL25" s="6" t="inlineStr">
        <is>
          <t>To a great extent</t>
        </is>
      </c>
      <c r="AM25" s="6" t="inlineStr">
        <is>
          <t>Not at all</t>
        </is>
      </c>
      <c r="AN25" s="6" t="inlineStr">
        <is>
          <t>Don’t know or not applicable</t>
        </is>
      </c>
      <c r="AO25" s="6" t="inlineStr">
        <is>
          <t>To a great extent</t>
        </is>
      </c>
      <c r="AP25" s="6" t="inlineStr">
        <is>
          <t>To a great extent</t>
        </is>
      </c>
      <c r="AQ25" s="6" t="inlineStr">
        <is>
          <t>Don’t know or not applicable</t>
        </is>
      </c>
      <c r="AR25" s="6" t="inlineStr">
        <is>
          <t>To a great extent</t>
        </is>
      </c>
      <c r="AS25" s="6" t="n"/>
      <c r="AT25" s="6" t="inlineStr">
        <is>
          <t>To a great extent</t>
        </is>
      </c>
      <c r="AU25" s="6" t="inlineStr">
        <is>
          <t>To a moderate extent</t>
        </is>
      </c>
      <c r="AV25" s="6" t="inlineStr">
        <is>
          <t>Not at all</t>
        </is>
      </c>
      <c r="AW25" s="6" t="inlineStr">
        <is>
          <t>To a great extent</t>
        </is>
      </c>
      <c r="AX25" s="6" t="inlineStr">
        <is>
          <t>To a moderate extent</t>
        </is>
      </c>
      <c r="AY25" s="6" t="inlineStr">
        <is>
          <t>Don’t know or not applicable</t>
        </is>
      </c>
      <c r="AZ25" s="6" t="inlineStr">
        <is>
          <t>To a great extent</t>
        </is>
      </c>
      <c r="BA25" s="6" t="inlineStr">
        <is>
          <t>Don’t know or not applicable</t>
        </is>
      </c>
      <c r="BB25" s="6" t="inlineStr">
        <is>
          <t>To a great extent</t>
        </is>
      </c>
      <c r="BC25" s="6" t="inlineStr">
        <is>
          <t>To a great extent</t>
        </is>
      </c>
      <c r="BD25" s="6" t="inlineStr">
        <is>
          <t>To a great extent</t>
        </is>
      </c>
      <c r="BE25" s="6" t="inlineStr">
        <is>
          <t>Don’t know or not applicable</t>
        </is>
      </c>
      <c r="BF25" s="6" t="inlineStr">
        <is>
          <t>Don’t know or not applicable</t>
        </is>
      </c>
      <c r="BG25" s="6" t="inlineStr">
        <is>
          <t>Don’t know or not applicable</t>
        </is>
      </c>
      <c r="BH25" s="6" t="inlineStr">
        <is>
          <t>Don’t know or not applicable</t>
        </is>
      </c>
      <c r="BI25" s="6" t="inlineStr">
        <is>
          <t>Don’t know or not applicable</t>
        </is>
      </c>
      <c r="BJ25" s="6" t="inlineStr">
        <is>
          <t>To a great extent</t>
        </is>
      </c>
      <c r="BK25" s="6" t="inlineStr">
        <is>
          <t>Not at all</t>
        </is>
      </c>
      <c r="BL25" s="6" t="inlineStr">
        <is>
          <t>To a great extent</t>
        </is>
      </c>
      <c r="BM25" s="6" t="inlineStr">
        <is>
          <t>To a great extent</t>
        </is>
      </c>
      <c r="BN25" s="6" t="inlineStr">
        <is>
          <t>Don’t know or not applicable</t>
        </is>
      </c>
      <c r="BO25" s="6" t="inlineStr">
        <is>
          <t>To a great extent</t>
        </is>
      </c>
      <c r="BP25" s="6" t="inlineStr">
        <is>
          <t>To a moderate extent</t>
        </is>
      </c>
      <c r="BQ25" s="6" t="inlineStr">
        <is>
          <t>To a slight extent</t>
        </is>
      </c>
      <c r="BR25" s="6" t="inlineStr">
        <is>
          <t>Don’t know or not applicable</t>
        </is>
      </c>
      <c r="BS25" s="6" t="n"/>
      <c r="BT25" s="6" t="inlineStr">
        <is>
          <t>The IMF dedicated an appropriate amount of resources</t>
        </is>
      </c>
      <c r="BU25" s="6" t="inlineStr">
        <is>
          <t>To a great extent</t>
        </is>
      </c>
      <c r="BV25" s="6" t="inlineStr">
        <is>
          <t>To a slight extent</t>
        </is>
      </c>
      <c r="BW25" s="6" t="inlineStr">
        <is>
          <t>To a great extent</t>
        </is>
      </c>
      <c r="BX25" s="6" t="inlineStr">
        <is>
          <t>To a great extent</t>
        </is>
      </c>
      <c r="BY25" s="6" t="inlineStr">
        <is>
          <t>To a moderate extent</t>
        </is>
      </c>
      <c r="BZ25" s="6" t="inlineStr">
        <is>
          <t>To a great extent</t>
        </is>
      </c>
      <c r="CA25" s="6" t="inlineStr">
        <is>
          <t>To a great extent</t>
        </is>
      </c>
      <c r="CB25" s="6" t="inlineStr">
        <is>
          <t>To a great extent</t>
        </is>
      </c>
      <c r="CC25" s="6" t="inlineStr">
        <is>
          <t>To a great extent</t>
        </is>
      </c>
      <c r="CD25" s="6" t="inlineStr">
        <is>
          <t>To a great extent</t>
        </is>
      </c>
      <c r="CE25" s="6" t="inlineStr">
        <is>
          <t>To a moderate extent</t>
        </is>
      </c>
      <c r="CF25" s="6" t="inlineStr">
        <is>
          <t>To a great extent</t>
        </is>
      </c>
      <c r="CG25" s="6" t="n"/>
      <c r="CH25" s="6" t="inlineStr">
        <is>
          <t>No</t>
        </is>
      </c>
      <c r="CI25" s="6" t="inlineStr">
        <is>
          <t>Yes</t>
        </is>
      </c>
      <c r="CJ25" s="6" t="n"/>
      <c r="CK25" s="6" t="n"/>
      <c r="CL25" s="6" t="n"/>
      <c r="CM25" s="6" t="n"/>
      <c r="CN25" s="6" t="n"/>
      <c r="CO25" s="6" t="n"/>
      <c r="CP25" s="6" t="n"/>
      <c r="CQ25" s="6" t="n"/>
      <c r="CR25" s="6" t="n"/>
      <c r="CS25" s="6" t="n"/>
      <c r="CT25" s="6" t="n"/>
      <c r="CU25" s="6" t="n"/>
      <c r="CV25" s="6" t="n"/>
      <c r="CW25" s="6" t="n"/>
      <c r="CX25" s="6" t="n"/>
      <c r="CY25" s="6" t="n"/>
      <c r="CZ25" s="6" t="n"/>
      <c r="DA25" s="6" t="n"/>
      <c r="DB25" s="6" t="n"/>
      <c r="DC25" s="6" t="n"/>
      <c r="DD25" s="6" t="n"/>
      <c r="DE25" s="6" t="n"/>
      <c r="DF25" s="6" t="n"/>
      <c r="DG25" s="6" t="n"/>
      <c r="DH25" s="6" t="n"/>
      <c r="DI25" s="6" t="n"/>
      <c r="DJ25" s="6" t="n"/>
      <c r="DK25" s="6" t="n"/>
      <c r="DL25" s="6" t="n"/>
      <c r="DM25" s="6" t="n"/>
      <c r="DN25" s="6" t="n"/>
      <c r="DO25" s="6" t="n"/>
      <c r="DP25" s="6" t="n"/>
      <c r="DQ25" s="6" t="n"/>
      <c r="DR25" s="6" t="inlineStr">
        <is>
          <t>Insufficient administrative capacity to implement an IMF   program concurrent with an RSF arrangement</t>
        </is>
      </c>
      <c r="DS25" s="6" t="inlineStr">
        <is>
          <t>More convenient alternative financing options</t>
        </is>
      </c>
      <c r="DT25" s="6" t="n"/>
      <c r="DU25" s="6" t="n"/>
      <c r="DV25" s="6" t="n"/>
      <c r="DW25" s="6" t="inlineStr">
        <is>
          <t>Yes</t>
        </is>
      </c>
      <c r="DX25" s="6" t="inlineStr">
        <is>
          <t>World Bank Group</t>
        </is>
      </c>
      <c r="DY25" s="6" t="inlineStr">
        <is>
          <t>Regional development banks</t>
        </is>
      </c>
      <c r="DZ25" s="6" t="inlineStr">
        <is>
          <t>Bilateral sources</t>
        </is>
      </c>
      <c r="EA25" s="6" t="n"/>
      <c r="EB25" s="6" t="inlineStr">
        <is>
          <t>Other (please specify) : Green Climate Fund, UNDP</t>
        </is>
      </c>
      <c r="EC25" s="6" t="inlineStr">
        <is>
          <t>To a slight extent</t>
        </is>
      </c>
      <c r="ED25" s="6" t="inlineStr">
        <is>
          <t>Not at all</t>
        </is>
      </c>
      <c r="EE25" s="6" t="inlineStr">
        <is>
          <t>To a great extent</t>
        </is>
      </c>
      <c r="EF25" s="6" t="inlineStr">
        <is>
          <t>To a slight extent</t>
        </is>
      </c>
      <c r="EG25" s="6" t="inlineStr">
        <is>
          <t>To a moderate extent</t>
        </is>
      </c>
      <c r="EH25" s="6" t="inlineStr">
        <is>
          <t>To a moderate extent</t>
        </is>
      </c>
      <c r="EI25" s="6" t="inlineStr">
        <is>
          <t>To a slight extent</t>
        </is>
      </c>
      <c r="EJ25" s="6" t="inlineStr">
        <is>
          <t>To a great extent</t>
        </is>
      </c>
      <c r="EK25" s="6" t="inlineStr">
        <is>
          <t>Not at all</t>
        </is>
      </c>
      <c r="EL25" s="6" t="inlineStr">
        <is>
          <t>To a moderate extent</t>
        </is>
      </c>
      <c r="EM25" s="6" t="inlineStr">
        <is>
          <t>To a great extent</t>
        </is>
      </c>
      <c r="EN25" s="6" t="inlineStr">
        <is>
          <t>To a great extent</t>
        </is>
      </c>
      <c r="EO25" s="6" t="inlineStr">
        <is>
          <t>To a slight extent</t>
        </is>
      </c>
      <c r="EP25" s="6" t="n"/>
      <c r="EQ25" s="6" t="inlineStr">
        <is>
          <t>To a moderate extent</t>
        </is>
      </c>
      <c r="ER25" s="6" t="inlineStr">
        <is>
          <t>To a moderate extent</t>
        </is>
      </c>
      <c r="ES25" s="6" t="n"/>
      <c r="ET25" s="6" t="inlineStr">
        <is>
          <t>To a great extent</t>
        </is>
      </c>
      <c r="EU25" s="6" t="inlineStr">
        <is>
          <t>To a great extent</t>
        </is>
      </c>
      <c r="EV25" s="6" t="inlineStr">
        <is>
          <t>Don’t know or not applicable</t>
        </is>
      </c>
      <c r="EW25" s="6" t="inlineStr">
        <is>
          <t>Don’t know or not applicable</t>
        </is>
      </c>
      <c r="EX25" s="6" t="n"/>
      <c r="EY25" s="6" t="inlineStr">
        <is>
          <t>To a great extent</t>
        </is>
      </c>
      <c r="EZ25" s="6" t="inlineStr">
        <is>
          <t>To a slight extent</t>
        </is>
      </c>
      <c r="FA25" s="6" t="inlineStr">
        <is>
          <t>To a moderate extent</t>
        </is>
      </c>
      <c r="FB25" s="6" t="inlineStr">
        <is>
          <t>To a moderate extent</t>
        </is>
      </c>
      <c r="FC25" s="6" t="inlineStr">
        <is>
          <t>To a moderate extent</t>
        </is>
      </c>
      <c r="FD25" s="6" t="inlineStr">
        <is>
          <t>To a moderate extent</t>
        </is>
      </c>
      <c r="FE25" s="6" t="inlineStr">
        <is>
          <t>To a moderate extent</t>
        </is>
      </c>
      <c r="FF25" s="6" t="inlineStr">
        <is>
          <t>To a moderate extent</t>
        </is>
      </c>
      <c r="FG25" s="6" t="inlineStr">
        <is>
          <t>To a moderate extent</t>
        </is>
      </c>
      <c r="FH25" s="6" t="inlineStr">
        <is>
          <t>To a moderate extent</t>
        </is>
      </c>
      <c r="FI25" s="6" t="inlineStr">
        <is>
          <t>To a moderate extent</t>
        </is>
      </c>
      <c r="FJ25" s="6" t="inlineStr">
        <is>
          <t>To a moderate extent</t>
        </is>
      </c>
      <c r="FK25" s="6" t="inlineStr">
        <is>
          <t>To a great extent</t>
        </is>
      </c>
      <c r="FL25" s="6" t="inlineStr">
        <is>
          <t>To a great extent</t>
        </is>
      </c>
      <c r="FM25" s="6" t="inlineStr">
        <is>
          <t>To a great extent</t>
        </is>
      </c>
      <c r="FN25" s="6" t="inlineStr">
        <is>
          <t>To a great extent</t>
        </is>
      </c>
      <c r="FO25" s="6" t="inlineStr">
        <is>
          <t>To a moderate extent</t>
        </is>
      </c>
      <c r="FP25" s="6" t="inlineStr">
        <is>
          <t>To a moderate extent</t>
        </is>
      </c>
      <c r="FQ25" s="6" t="inlineStr">
        <is>
          <t>To a great extent</t>
        </is>
      </c>
      <c r="FR25" s="6" t="inlineStr">
        <is>
          <t>To a moderate extent</t>
        </is>
      </c>
      <c r="FS25" s="6" t="inlineStr">
        <is>
          <t>To a moderate extent</t>
        </is>
      </c>
      <c r="FT25" s="6" t="inlineStr">
        <is>
          <t>To a moderate extent</t>
        </is>
      </c>
      <c r="FU25" s="6" t="inlineStr">
        <is>
          <t>Don’t know or not applicable</t>
        </is>
      </c>
      <c r="FV25" s="6" t="n"/>
      <c r="FW25" s="6" t="inlineStr">
        <is>
          <t>The IMF dedicated the appropriate amount of resources</t>
        </is>
      </c>
      <c r="FX25" s="6" t="n"/>
      <c r="FY25" s="6" t="inlineStr">
        <is>
          <t>To a great extent</t>
        </is>
      </c>
      <c r="FZ25" s="6" t="inlineStr">
        <is>
          <t>To a great extent</t>
        </is>
      </c>
      <c r="GA25" s="6" t="inlineStr">
        <is>
          <t>To a great extent</t>
        </is>
      </c>
      <c r="GB25" s="6" t="inlineStr">
        <is>
          <t>To a great extent</t>
        </is>
      </c>
      <c r="GC25" s="6" t="inlineStr">
        <is>
          <t>Don’t know or not applicable</t>
        </is>
      </c>
      <c r="GD25" s="6" t="n"/>
      <c r="GE25" s="6" t="inlineStr">
        <is>
          <t>To a great extent</t>
        </is>
      </c>
      <c r="GF25" s="6" t="inlineStr">
        <is>
          <t>To a great extent</t>
        </is>
      </c>
      <c r="GG25" s="6" t="inlineStr">
        <is>
          <t>To a moderate extent</t>
        </is>
      </c>
      <c r="GH25" s="6" t="inlineStr">
        <is>
          <t>To a moderate extent</t>
        </is>
      </c>
      <c r="GI25" s="6" t="inlineStr">
        <is>
          <t>To a great extent</t>
        </is>
      </c>
      <c r="GJ25" s="6" t="inlineStr">
        <is>
          <t>To a great extent</t>
        </is>
      </c>
      <c r="GK25" s="6" t="inlineStr">
        <is>
          <t>We support the Fund's focus on Climate and Gender as macro critical. While we do not necessarily think the Fund should provide Lending facilities to address Climate, we think there is definitely scope for better leveraging of the Fund's convening power and its Surveillance work and Article IV policy recommendations to better crowd in or catalyze funding from other sources of financing, private sector and climate funding from the World Bank and other climate financing agencies like the Green Climate Fund. And, for small developing states how we can link climate with debt restructuring especially in a high debt, slow growth, shock prone world. We think the roundtables, and interagency coordination can be more effective in this regard.</t>
        </is>
      </c>
      <c r="GL25" s="7">
        <f>DATE(2025,6,3)+TIME(10,11,9)</f>
        <v/>
      </c>
    </row>
    <row r="26" ht="409.5" customHeight="1">
      <c r="A26" s="3" t="inlineStr">
        <is>
          <t>Liam</t>
        </is>
      </c>
      <c r="B26" s="3" t="inlineStr">
        <is>
          <t>Reddy</t>
        </is>
      </c>
      <c r="C26" s="3" t="inlineStr">
        <is>
          <t>lreddy@organization.org</t>
        </is>
      </c>
      <c r="D26" s="3" t="inlineStr">
        <is>
          <t>WLS5JE95Q</t>
        </is>
      </c>
      <c r="E26" s="3" t="n"/>
      <c r="F26" s="3" t="inlineStr">
        <is>
          <t>OEDCO</t>
        </is>
      </c>
      <c r="G26" s="3" t="n"/>
      <c r="H26" s="3" t="n"/>
      <c r="I26" s="3" t="n"/>
      <c r="J26" s="3" t="n"/>
      <c r="K26" s="3" t="n"/>
      <c r="L26" s="3" t="n"/>
      <c r="M26" s="3" t="n"/>
      <c r="N26" s="3" t="n"/>
      <c r="O26" s="3" t="inlineStr">
        <is>
          <t>St. Vincent and the Grenadines</t>
        </is>
      </c>
      <c r="P26" s="3" t="n"/>
      <c r="Q26" s="3" t="n"/>
      <c r="R26" s="3" t="n"/>
      <c r="S26" s="3" t="n"/>
      <c r="T26" s="3" t="n"/>
      <c r="U26" s="3" t="n"/>
      <c r="V26" s="3" t="n"/>
      <c r="W26" s="3" t="n"/>
      <c r="X26" s="3" t="n"/>
      <c r="Y26" s="3" t="n"/>
      <c r="Z26" s="3" t="n"/>
      <c r="AA26" s="3" t="n"/>
      <c r="AB26" s="3" t="n"/>
      <c r="AC26" s="3" t="n"/>
      <c r="AD26" s="3" t="n"/>
      <c r="AE26" s="3" t="n"/>
      <c r="AF26" s="4" t="inlineStr">
        <is>
          <t>St. Vincent and the Grenadines</t>
        </is>
      </c>
      <c r="AG26" s="3" t="inlineStr">
        <is>
          <t>The IMF should engage more on climate change-related issues</t>
        </is>
      </c>
      <c r="AH26" s="3" t="inlineStr">
        <is>
          <t>To a moderate extent</t>
        </is>
      </c>
      <c r="AI26" s="3" t="inlineStr">
        <is>
          <t>To a slight extent</t>
        </is>
      </c>
      <c r="AJ26" s="3" t="inlineStr">
        <is>
          <t>Don’t know or not applicable</t>
        </is>
      </c>
      <c r="AK26" s="3" t="inlineStr">
        <is>
          <t>Don’t know or not applicable</t>
        </is>
      </c>
      <c r="AL26" s="3" t="inlineStr">
        <is>
          <t>Don’t know or not applicable</t>
        </is>
      </c>
      <c r="AM26" s="3" t="inlineStr">
        <is>
          <t>Not at all</t>
        </is>
      </c>
      <c r="AN26" s="3" t="inlineStr">
        <is>
          <t>Not at all</t>
        </is>
      </c>
      <c r="AO26" s="3" t="inlineStr">
        <is>
          <t>Don’t know or not applicable</t>
        </is>
      </c>
      <c r="AP26" s="3" t="inlineStr">
        <is>
          <t>Don’t know or not applicable</t>
        </is>
      </c>
      <c r="AQ26" s="3" t="inlineStr">
        <is>
          <t>Don’t know or not applicable</t>
        </is>
      </c>
      <c r="AR26" s="3" t="inlineStr">
        <is>
          <t>To a slight extent</t>
        </is>
      </c>
      <c r="AS26" s="3" t="n"/>
      <c r="AT26" s="3" t="inlineStr">
        <is>
          <t>To a moderate extent</t>
        </is>
      </c>
      <c r="AU26" s="3" t="inlineStr">
        <is>
          <t>To a moderate extent</t>
        </is>
      </c>
      <c r="AV26" s="3" t="inlineStr">
        <is>
          <t>Not at all</t>
        </is>
      </c>
      <c r="AW26" s="3" t="inlineStr">
        <is>
          <t>To a moderate extent</t>
        </is>
      </c>
      <c r="AX26" s="3" t="inlineStr">
        <is>
          <t>To a moderate extent</t>
        </is>
      </c>
      <c r="AY26" s="3" t="inlineStr">
        <is>
          <t>To a great extent</t>
        </is>
      </c>
      <c r="AZ26" s="3" t="inlineStr">
        <is>
          <t>To a slight extent</t>
        </is>
      </c>
      <c r="BA26" s="3" t="inlineStr">
        <is>
          <t>Not at all</t>
        </is>
      </c>
      <c r="BB26" s="3" t="inlineStr">
        <is>
          <t>To a slight extent</t>
        </is>
      </c>
      <c r="BC26" s="3" t="inlineStr">
        <is>
          <t>To a slight extent</t>
        </is>
      </c>
      <c r="BD26" s="3" t="inlineStr">
        <is>
          <t>To a moderate extent</t>
        </is>
      </c>
      <c r="BE26" s="3" t="inlineStr">
        <is>
          <t>Don’t know or not applicable</t>
        </is>
      </c>
      <c r="BF26" s="3" t="inlineStr">
        <is>
          <t>Don’t know or not applicable</t>
        </is>
      </c>
      <c r="BG26" s="3" t="inlineStr">
        <is>
          <t>Don’t know or not applicable</t>
        </is>
      </c>
      <c r="BH26" s="3" t="inlineStr">
        <is>
          <t>Don’t know or not applicable</t>
        </is>
      </c>
      <c r="BI26" s="3" t="inlineStr">
        <is>
          <t>Don’t know or not applicable</t>
        </is>
      </c>
      <c r="BJ26" s="3" t="inlineStr">
        <is>
          <t>Don’t know or not applicable</t>
        </is>
      </c>
      <c r="BK26" s="3" t="inlineStr">
        <is>
          <t>Don’t know or not applicable</t>
        </is>
      </c>
      <c r="BL26" s="3" t="inlineStr">
        <is>
          <t>Don’t know or not applicable</t>
        </is>
      </c>
      <c r="BM26" s="3" t="inlineStr">
        <is>
          <t>Don’t know or not applicable</t>
        </is>
      </c>
      <c r="BN26" s="3" t="inlineStr">
        <is>
          <t>Don’t know or not applicable</t>
        </is>
      </c>
      <c r="BO26" s="3" t="inlineStr">
        <is>
          <t>Don’t know or not applicable</t>
        </is>
      </c>
      <c r="BP26" s="3" t="inlineStr">
        <is>
          <t>Don’t know or not applicable</t>
        </is>
      </c>
      <c r="BQ26" s="3" t="inlineStr">
        <is>
          <t>Don’t know or not applicable</t>
        </is>
      </c>
      <c r="BR26" s="3" t="inlineStr">
        <is>
          <t>Don’t know or not applicable</t>
        </is>
      </c>
      <c r="BS26" s="3" t="n"/>
      <c r="BT26" s="3" t="inlineStr">
        <is>
          <t>The IMF should have dedicated more resources</t>
        </is>
      </c>
      <c r="BU26" s="3" t="inlineStr">
        <is>
          <t>To a great extent</t>
        </is>
      </c>
      <c r="BV26" s="3" t="inlineStr">
        <is>
          <t>To a slight extent</t>
        </is>
      </c>
      <c r="BW26" s="3" t="inlineStr">
        <is>
          <t>To a moderate extent</t>
        </is>
      </c>
      <c r="BX26" s="3" t="inlineStr">
        <is>
          <t>To a great extent</t>
        </is>
      </c>
      <c r="BY26" s="3" t="inlineStr">
        <is>
          <t>To a slight extent</t>
        </is>
      </c>
      <c r="BZ26" s="3" t="inlineStr">
        <is>
          <t>Don’t know or not applicable</t>
        </is>
      </c>
      <c r="CA26" s="3" t="inlineStr">
        <is>
          <t>To a great extent</t>
        </is>
      </c>
      <c r="CB26" s="3" t="inlineStr">
        <is>
          <t>To a slight extent</t>
        </is>
      </c>
      <c r="CC26" s="3" t="inlineStr">
        <is>
          <t>Don’t know or not applicable</t>
        </is>
      </c>
      <c r="CD26" s="3" t="inlineStr">
        <is>
          <t>To a great extent</t>
        </is>
      </c>
      <c r="CE26" s="3" t="inlineStr">
        <is>
          <t>To a slight extent</t>
        </is>
      </c>
      <c r="CF26" s="3" t="inlineStr">
        <is>
          <t>Don’t know or not applicable</t>
        </is>
      </c>
      <c r="CG26" s="3" t="n"/>
      <c r="CH26" s="3" t="inlineStr">
        <is>
          <t>No</t>
        </is>
      </c>
      <c r="CI26" s="3" t="inlineStr">
        <is>
          <t>Yes</t>
        </is>
      </c>
      <c r="CJ26" s="3" t="n"/>
      <c r="CK26" s="3" t="n"/>
      <c r="CL26" s="3" t="n"/>
      <c r="CM26" s="3" t="n"/>
      <c r="CN26" s="3" t="n"/>
      <c r="CO26" s="3" t="n"/>
      <c r="CP26" s="3" t="n"/>
      <c r="CQ26" s="3" t="n"/>
      <c r="CR26" s="3" t="n"/>
      <c r="CS26" s="3" t="n"/>
      <c r="CT26" s="3" t="n"/>
      <c r="CU26" s="3" t="n"/>
      <c r="CV26" s="3" t="n"/>
      <c r="CW26" s="3" t="n"/>
      <c r="CX26" s="3" t="n"/>
      <c r="CY26" s="3" t="n"/>
      <c r="CZ26" s="3" t="n"/>
      <c r="DA26" s="3" t="n"/>
      <c r="DB26" s="3" t="n"/>
      <c r="DC26" s="3" t="n"/>
      <c r="DD26" s="3" t="n"/>
      <c r="DE26" s="3" t="n"/>
      <c r="DF26" s="3" t="n"/>
      <c r="DG26" s="3" t="n"/>
      <c r="DH26" s="3" t="n"/>
      <c r="DI26" s="3" t="n"/>
      <c r="DJ26" s="3" t="n"/>
      <c r="DK26" s="3" t="n"/>
      <c r="DL26" s="3" t="n"/>
      <c r="DM26" s="3" t="n"/>
      <c r="DN26" s="3" t="n"/>
      <c r="DO26" s="3" t="n"/>
      <c r="DP26" s="3" t="n"/>
      <c r="DQ26" s="3" t="n"/>
      <c r="DR26" s="3" t="n"/>
      <c r="DS26" s="3" t="n"/>
      <c r="DT26" s="3" t="n"/>
      <c r="DU26" s="3" t="inlineStr">
        <is>
          <t>An RSF arrangement would have been useful, but my country had no balance of payments issues/did not need/was not willing to commit to the underlying UCT program</t>
        </is>
      </c>
      <c r="DV26" s="3" t="n"/>
      <c r="DW26" s="3" t="inlineStr">
        <is>
          <t>Yes</t>
        </is>
      </c>
      <c r="DX26" s="3" t="inlineStr">
        <is>
          <t>World Bank Group</t>
        </is>
      </c>
      <c r="DY26" s="3" t="n"/>
      <c r="DZ26" s="3" t="inlineStr">
        <is>
          <t>Bilateral sources</t>
        </is>
      </c>
      <c r="EA26" s="3" t="n"/>
      <c r="EB26" s="3" t="n"/>
      <c r="EC26" s="3" t="inlineStr">
        <is>
          <t>Don’t know or not applicable</t>
        </is>
      </c>
      <c r="ED26" s="3" t="inlineStr">
        <is>
          <t>Not at all</t>
        </is>
      </c>
      <c r="EE26" s="3" t="inlineStr">
        <is>
          <t>Don’t know or not applicable</t>
        </is>
      </c>
      <c r="EF26" s="3" t="inlineStr">
        <is>
          <t>Not at all</t>
        </is>
      </c>
      <c r="EG26" s="3" t="inlineStr">
        <is>
          <t>To a slight extent</t>
        </is>
      </c>
      <c r="EH26" s="3" t="inlineStr">
        <is>
          <t>Don’t know or not applicable</t>
        </is>
      </c>
      <c r="EI26" s="3" t="inlineStr">
        <is>
          <t>To a moderate extent</t>
        </is>
      </c>
      <c r="EJ26" s="3" t="inlineStr">
        <is>
          <t>To a great extent</t>
        </is>
      </c>
      <c r="EK26" s="3" t="inlineStr">
        <is>
          <t>Not at all</t>
        </is>
      </c>
      <c r="EL26" s="3" t="inlineStr">
        <is>
          <t>To a moderate extent</t>
        </is>
      </c>
      <c r="EM26" s="3" t="inlineStr">
        <is>
          <t>Don’t know or not applicable</t>
        </is>
      </c>
      <c r="EN26" s="3" t="inlineStr">
        <is>
          <t>Not at all</t>
        </is>
      </c>
      <c r="EO26" s="3" t="inlineStr">
        <is>
          <t>To a great extent</t>
        </is>
      </c>
      <c r="EP26" s="3" t="n"/>
      <c r="EQ26" s="3" t="inlineStr">
        <is>
          <t>To a slight extent</t>
        </is>
      </c>
      <c r="ER26" s="3" t="inlineStr">
        <is>
          <t>To a slight extent</t>
        </is>
      </c>
      <c r="ES26" s="3" t="n"/>
      <c r="ET26" s="3" t="inlineStr">
        <is>
          <t>Don’t know or not applicable</t>
        </is>
      </c>
      <c r="EU26" s="3" t="inlineStr">
        <is>
          <t>Don’t know or not applicable</t>
        </is>
      </c>
      <c r="EV26" s="3" t="inlineStr">
        <is>
          <t>Don’t know or not applicable</t>
        </is>
      </c>
      <c r="EW26" s="3" t="inlineStr">
        <is>
          <t>Don’t know or not applicable</t>
        </is>
      </c>
      <c r="EX26" s="3" t="n"/>
      <c r="EY26" s="3" t="inlineStr">
        <is>
          <t>To a slight extent</t>
        </is>
      </c>
      <c r="EZ26" s="3" t="inlineStr">
        <is>
          <t>Not at all</t>
        </is>
      </c>
      <c r="FA26" s="3" t="inlineStr">
        <is>
          <t>To a moderate extent</t>
        </is>
      </c>
      <c r="FB26" s="3" t="inlineStr">
        <is>
          <t>To a moderate extent</t>
        </is>
      </c>
      <c r="FC26" s="3" t="inlineStr">
        <is>
          <t>Don’t know or not applicable</t>
        </is>
      </c>
      <c r="FD26" s="3" t="inlineStr">
        <is>
          <t>Don’t know or not applicable</t>
        </is>
      </c>
      <c r="FE26" s="3" t="inlineStr">
        <is>
          <t>Don’t know or not applicable</t>
        </is>
      </c>
      <c r="FF26" s="3" t="inlineStr">
        <is>
          <t>Don’t know or not applicable</t>
        </is>
      </c>
      <c r="FG26" s="3" t="inlineStr">
        <is>
          <t>Don’t know or not applicable</t>
        </is>
      </c>
      <c r="FH26" s="3" t="inlineStr">
        <is>
          <t>To a moderate extent</t>
        </is>
      </c>
      <c r="FI26" s="3" t="inlineStr">
        <is>
          <t>To a slight extent</t>
        </is>
      </c>
      <c r="FJ26" s="3" t="inlineStr">
        <is>
          <t>Not at all</t>
        </is>
      </c>
      <c r="FK26" s="3" t="inlineStr">
        <is>
          <t>To a moderate extent</t>
        </is>
      </c>
      <c r="FL26" s="3" t="inlineStr">
        <is>
          <t>To a moderate extent</t>
        </is>
      </c>
      <c r="FM26" s="3" t="inlineStr">
        <is>
          <t>Don’t know or not applicable</t>
        </is>
      </c>
      <c r="FN26" s="3" t="inlineStr">
        <is>
          <t>Don’t know or not applicable</t>
        </is>
      </c>
      <c r="FO26" s="3" t="inlineStr">
        <is>
          <t>Don’t know or not applicable</t>
        </is>
      </c>
      <c r="FP26" s="3" t="inlineStr">
        <is>
          <t>Don’t know or not applicable</t>
        </is>
      </c>
      <c r="FQ26" s="3" t="inlineStr">
        <is>
          <t>Don’t know or not applicable</t>
        </is>
      </c>
      <c r="FR26" s="3" t="inlineStr">
        <is>
          <t>Don’t know or not applicable</t>
        </is>
      </c>
      <c r="FS26" s="3" t="inlineStr">
        <is>
          <t>Don’t know or not applicable</t>
        </is>
      </c>
      <c r="FT26" s="3" t="inlineStr">
        <is>
          <t>Don’t know or not applicable</t>
        </is>
      </c>
      <c r="FU26" s="3" t="inlineStr">
        <is>
          <t>Don’t know or not applicable</t>
        </is>
      </c>
      <c r="FV26" s="3" t="n"/>
      <c r="FW26" s="3" t="inlineStr">
        <is>
          <t>The IMF should have dedicated more resources</t>
        </is>
      </c>
      <c r="FX26" s="3" t="n"/>
      <c r="FY26" s="3" t="inlineStr">
        <is>
          <t>To a moderate extent</t>
        </is>
      </c>
      <c r="FZ26" s="3" t="inlineStr">
        <is>
          <t>To a moderate extent</t>
        </is>
      </c>
      <c r="GA26" s="3" t="inlineStr">
        <is>
          <t>To a moderate extent</t>
        </is>
      </c>
      <c r="GB26" s="3" t="inlineStr">
        <is>
          <t>To a moderate extent</t>
        </is>
      </c>
      <c r="GC26" s="3" t="inlineStr">
        <is>
          <t>Don’t know or not applicable</t>
        </is>
      </c>
      <c r="GD26" s="3" t="n"/>
      <c r="GE26" s="3" t="inlineStr">
        <is>
          <t>To a slight extent</t>
        </is>
      </c>
      <c r="GF26" s="3" t="inlineStr">
        <is>
          <t>To a great extent</t>
        </is>
      </c>
      <c r="GG26" s="3" t="inlineStr">
        <is>
          <t>To a great extent</t>
        </is>
      </c>
      <c r="GH26" s="3" t="inlineStr">
        <is>
          <t>To a moderate extent</t>
        </is>
      </c>
      <c r="GI26" s="3" t="inlineStr">
        <is>
          <t>To a moderate extent</t>
        </is>
      </c>
      <c r="GJ26" s="3" t="inlineStr">
        <is>
          <t>To a great extent</t>
        </is>
      </c>
      <c r="GK26" s="3" t="inlineStr">
        <is>
          <t>Getting the Executive Board to better understand the concept of vulnerability should improve future engagements on climate change-related issues.  The authorities view the conditionalities that accompany UCT programs as onerous relative to the low access levels for the RSF.  They suggest that consideration should be given to the World Bank’s CAT DDO model, which links climate-related financing to practical, non-onerous disaster preparedness conditionalities, as a framework for crafting RST conditionalities. Leveraging existing CAT DDO agreements could streamline reform efforts and increase uptake by Caribbean countries.</t>
        </is>
      </c>
      <c r="GL26" s="5">
        <f>DATE(2025,6,2)+TIME(14,10,22)</f>
        <v/>
      </c>
    </row>
    <row r="27" ht="47.25" customHeight="1">
      <c r="A27" s="6" t="inlineStr">
        <is>
          <t>James</t>
        </is>
      </c>
      <c r="B27" s="6" t="inlineStr">
        <is>
          <t>Novak</t>
        </is>
      </c>
      <c r="C27" s="6" t="inlineStr">
        <is>
          <t>jnovak@organization.org</t>
        </is>
      </c>
      <c r="D27" s="6" t="inlineStr">
        <is>
          <t>9W40M8JTH</t>
        </is>
      </c>
      <c r="E27" s="6" t="n"/>
      <c r="F27" s="6" t="inlineStr">
        <is>
          <t>OEDAW</t>
        </is>
      </c>
      <c r="G27" s="6" t="n"/>
      <c r="H27" s="6" t="n"/>
      <c r="I27" s="6" t="n"/>
      <c r="J27" s="6" t="n"/>
      <c r="K27" s="6" t="inlineStr">
        <is>
          <t>Benin</t>
        </is>
      </c>
      <c r="L27" s="6" t="n"/>
      <c r="M27" s="6" t="n"/>
      <c r="N27" s="6" t="n"/>
      <c r="O27" s="6" t="n"/>
      <c r="P27" s="6" t="n"/>
      <c r="Q27" s="6" t="n"/>
      <c r="R27" s="6" t="n"/>
      <c r="S27" s="6" t="n"/>
      <c r="T27" s="6" t="n"/>
      <c r="U27" s="6" t="n"/>
      <c r="V27" s="6" t="n"/>
      <c r="W27" s="6" t="n"/>
      <c r="X27" s="6" t="n"/>
      <c r="Y27" s="6" t="n"/>
      <c r="Z27" s="6" t="n"/>
      <c r="AA27" s="6" t="n"/>
      <c r="AB27" s="6" t="n"/>
      <c r="AC27" s="6" t="n"/>
      <c r="AD27" s="6" t="n"/>
      <c r="AE27" s="6" t="n"/>
      <c r="AF27" s="4" t="inlineStr">
        <is>
          <t>Benin</t>
        </is>
      </c>
      <c r="AG27" s="6" t="inlineStr">
        <is>
          <t>The IMF should engage more on climate change-related issues</t>
        </is>
      </c>
      <c r="AH27" s="6" t="inlineStr">
        <is>
          <t>To a great extent</t>
        </is>
      </c>
      <c r="AI27" s="6" t="inlineStr">
        <is>
          <t>Don’t know or not applicable</t>
        </is>
      </c>
      <c r="AJ27" s="6" t="inlineStr">
        <is>
          <t>Don’t know or not applicable</t>
        </is>
      </c>
      <c r="AK27" s="6" t="inlineStr">
        <is>
          <t>To a great extent</t>
        </is>
      </c>
      <c r="AL27" s="6" t="inlineStr">
        <is>
          <t>To a great extent</t>
        </is>
      </c>
      <c r="AM27" s="6" t="inlineStr">
        <is>
          <t>To a great extent</t>
        </is>
      </c>
      <c r="AN27" s="6" t="inlineStr">
        <is>
          <t>To a great extent</t>
        </is>
      </c>
      <c r="AO27" s="6" t="inlineStr">
        <is>
          <t>To a great extent</t>
        </is>
      </c>
      <c r="AP27" s="6" t="inlineStr">
        <is>
          <t>To a great extent</t>
        </is>
      </c>
      <c r="AQ27" s="6" t="inlineStr">
        <is>
          <t>To a great extent</t>
        </is>
      </c>
      <c r="AR27" s="6" t="inlineStr">
        <is>
          <t>To a great extent</t>
        </is>
      </c>
      <c r="AS27" s="6" t="n"/>
      <c r="AT27" s="6" t="inlineStr">
        <is>
          <t>To a great extent</t>
        </is>
      </c>
      <c r="AU27" s="6" t="inlineStr">
        <is>
          <t>To a great extent</t>
        </is>
      </c>
      <c r="AV27" s="6" t="inlineStr">
        <is>
          <t>To a great extent</t>
        </is>
      </c>
      <c r="AW27" s="6" t="inlineStr">
        <is>
          <t>To a great extent</t>
        </is>
      </c>
      <c r="AX27" s="6" t="inlineStr">
        <is>
          <t>To a great extent</t>
        </is>
      </c>
      <c r="AY27" s="6" t="inlineStr">
        <is>
          <t>To a great extent</t>
        </is>
      </c>
      <c r="AZ27" s="6" t="inlineStr">
        <is>
          <t>Don’t know or not applicable</t>
        </is>
      </c>
      <c r="BA27" s="6" t="inlineStr">
        <is>
          <t>Don’t know or not applicable</t>
        </is>
      </c>
      <c r="BB27" s="6" t="inlineStr">
        <is>
          <t>Don’t know or not applicable</t>
        </is>
      </c>
      <c r="BC27" s="6" t="inlineStr">
        <is>
          <t>Don’t know or not applicable</t>
        </is>
      </c>
      <c r="BD27" s="6" t="inlineStr">
        <is>
          <t>Don’t know or not applicable</t>
        </is>
      </c>
      <c r="BE27" s="6" t="inlineStr">
        <is>
          <t>Don’t know or not applicable</t>
        </is>
      </c>
      <c r="BF27" s="6" t="inlineStr">
        <is>
          <t>Don’t know or not applicable</t>
        </is>
      </c>
      <c r="BG27" s="6" t="inlineStr">
        <is>
          <t>Don’t know or not applicable</t>
        </is>
      </c>
      <c r="BH27" s="6" t="inlineStr">
        <is>
          <t>Don’t know or not applicable</t>
        </is>
      </c>
      <c r="BI27" s="6" t="inlineStr">
        <is>
          <t>Don’t know or not applicable</t>
        </is>
      </c>
      <c r="BJ27" s="6" t="inlineStr">
        <is>
          <t>To a great extent</t>
        </is>
      </c>
      <c r="BK27" s="6" t="inlineStr">
        <is>
          <t>To a great extent</t>
        </is>
      </c>
      <c r="BL27" s="6" t="inlineStr">
        <is>
          <t>To a great extent</t>
        </is>
      </c>
      <c r="BM27" s="6" t="inlineStr">
        <is>
          <t>To a great extent</t>
        </is>
      </c>
      <c r="BN27" s="6" t="inlineStr">
        <is>
          <t>To a great extent</t>
        </is>
      </c>
      <c r="BO27" s="6" t="inlineStr">
        <is>
          <t>To a great extent</t>
        </is>
      </c>
      <c r="BP27" s="6" t="inlineStr">
        <is>
          <t>To a great extent</t>
        </is>
      </c>
      <c r="BQ27" s="6" t="inlineStr">
        <is>
          <t>To a great extent</t>
        </is>
      </c>
      <c r="BR27" s="6" t="inlineStr">
        <is>
          <t>Don’t know or not applicable</t>
        </is>
      </c>
      <c r="BS27" s="6" t="n"/>
      <c r="BT27" s="6" t="inlineStr">
        <is>
          <t>The IMF should have dedicated more resources</t>
        </is>
      </c>
      <c r="BU27" s="6" t="inlineStr">
        <is>
          <t>To a great extent</t>
        </is>
      </c>
      <c r="BV27" s="6" t="inlineStr">
        <is>
          <t>To a great extent</t>
        </is>
      </c>
      <c r="BW27" s="6" t="inlineStr">
        <is>
          <t>To a great extent</t>
        </is>
      </c>
      <c r="BX27" s="6" t="inlineStr">
        <is>
          <t>To a great extent</t>
        </is>
      </c>
      <c r="BY27" s="6" t="inlineStr">
        <is>
          <t>To a great extent</t>
        </is>
      </c>
      <c r="BZ27" s="6" t="inlineStr">
        <is>
          <t>To a great extent</t>
        </is>
      </c>
      <c r="CA27" s="6" t="inlineStr">
        <is>
          <t>To a great extent</t>
        </is>
      </c>
      <c r="CB27" s="6" t="inlineStr">
        <is>
          <t>To a great extent</t>
        </is>
      </c>
      <c r="CC27" s="6" t="inlineStr">
        <is>
          <t>To a great extent</t>
        </is>
      </c>
      <c r="CD27" s="6" t="inlineStr">
        <is>
          <t>To a great extent</t>
        </is>
      </c>
      <c r="CE27" s="6" t="inlineStr">
        <is>
          <t>To a great extent</t>
        </is>
      </c>
      <c r="CF27" s="6" t="inlineStr">
        <is>
          <t>To a great extent</t>
        </is>
      </c>
      <c r="CG27" s="6" t="n"/>
      <c r="CH27" s="6" t="inlineStr">
        <is>
          <t>Yes</t>
        </is>
      </c>
      <c r="CI27" s="6" t="inlineStr">
        <is>
          <t>Yes</t>
        </is>
      </c>
      <c r="CJ27" s="6" t="inlineStr">
        <is>
          <t>To a great extent</t>
        </is>
      </c>
      <c r="CK27" s="6" t="inlineStr">
        <is>
          <t>To a great extent</t>
        </is>
      </c>
      <c r="CL27" s="6" t="inlineStr">
        <is>
          <t>To a great extent</t>
        </is>
      </c>
      <c r="CM27" s="6" t="inlineStr">
        <is>
          <t>To a great extent</t>
        </is>
      </c>
      <c r="CN27" s="6" t="inlineStr">
        <is>
          <t>To a great extent</t>
        </is>
      </c>
      <c r="CO27" s="6" t="inlineStr">
        <is>
          <t>To a great extent</t>
        </is>
      </c>
      <c r="CP27" s="6" t="inlineStr">
        <is>
          <t>To a great extent</t>
        </is>
      </c>
      <c r="CQ27" s="6" t="inlineStr">
        <is>
          <t>To a great extent</t>
        </is>
      </c>
      <c r="CR27" s="6" t="inlineStr">
        <is>
          <t>To a great extent</t>
        </is>
      </c>
      <c r="CS27" s="6" t="inlineStr">
        <is>
          <t>To a great extent</t>
        </is>
      </c>
      <c r="CT27" s="6" t="inlineStr">
        <is>
          <t>To a great extent</t>
        </is>
      </c>
      <c r="CU27" s="6" t="inlineStr">
        <is>
          <t>To a great extent</t>
        </is>
      </c>
      <c r="CV27" s="6" t="inlineStr">
        <is>
          <t>To a great extent</t>
        </is>
      </c>
      <c r="CW27" s="6" t="inlineStr">
        <is>
          <t>To a great extent</t>
        </is>
      </c>
      <c r="CX27" s="6" t="inlineStr">
        <is>
          <t>To a great extent</t>
        </is>
      </c>
      <c r="CY27" s="6" t="inlineStr">
        <is>
          <t>To a great extent</t>
        </is>
      </c>
      <c r="CZ27" s="6" t="inlineStr">
        <is>
          <t>To a great extent</t>
        </is>
      </c>
      <c r="DA27" s="6" t="inlineStr">
        <is>
          <t>To a great extent</t>
        </is>
      </c>
      <c r="DB27" s="6" t="inlineStr">
        <is>
          <t>Additional new spending</t>
        </is>
      </c>
      <c r="DC27" s="6" t="inlineStr">
        <is>
          <t>Existing planned spending (substituting for other financing)</t>
        </is>
      </c>
      <c r="DD27" s="6" t="inlineStr">
        <is>
          <t>Refinancing existing borrowing</t>
        </is>
      </c>
      <c r="DE27" s="6" t="inlineStr">
        <is>
          <t>Building reserves</t>
        </is>
      </c>
      <c r="DF27" s="6" t="inlineStr">
        <is>
          <t>Climate change-related policies</t>
        </is>
      </c>
      <c r="DG27" s="6" t="n"/>
      <c r="DH27" s="6" t="inlineStr">
        <is>
          <t>Don’t know or not applicable</t>
        </is>
      </c>
      <c r="DI27" s="6" t="inlineStr">
        <is>
          <t>To a great extent</t>
        </is>
      </c>
      <c r="DJ27" s="6" t="inlineStr">
        <is>
          <t>Don’t know or not applicable</t>
        </is>
      </c>
      <c r="DK27" s="6" t="inlineStr">
        <is>
          <t>To a great extent</t>
        </is>
      </c>
      <c r="DL27" s="6" t="inlineStr">
        <is>
          <t>Don’t know or not applicable</t>
        </is>
      </c>
      <c r="DM27" s="6" t="inlineStr">
        <is>
          <t>Don’t know or not applicable</t>
        </is>
      </c>
      <c r="DN27" s="6" t="inlineStr">
        <is>
          <t>Don’t know or not applicable</t>
        </is>
      </c>
      <c r="DO27" s="6" t="n"/>
      <c r="DP27" s="6" t="n"/>
      <c r="DQ27" s="6" t="n"/>
      <c r="DR27" s="6" t="n"/>
      <c r="DS27" s="6" t="n"/>
      <c r="DT27" s="6" t="n"/>
      <c r="DU27" s="6" t="n"/>
      <c r="DV27" s="6" t="n"/>
      <c r="DW27" s="6" t="inlineStr">
        <is>
          <t>Don't know</t>
        </is>
      </c>
      <c r="DX27" s="6" t="n"/>
      <c r="DY27" s="6" t="n"/>
      <c r="DZ27" s="6" t="n"/>
      <c r="EA27" s="6" t="n"/>
      <c r="EB27" s="6" t="n"/>
      <c r="EC27" s="6" t="n"/>
      <c r="ED27" s="6" t="n"/>
      <c r="EE27" s="6" t="n"/>
      <c r="EF27" s="6" t="inlineStr">
        <is>
          <t>To a great extent</t>
        </is>
      </c>
      <c r="EG27" s="6" t="inlineStr">
        <is>
          <t>To a great extent</t>
        </is>
      </c>
      <c r="EH27" s="6" t="inlineStr">
        <is>
          <t>To a great extent</t>
        </is>
      </c>
      <c r="EI27" s="6" t="inlineStr">
        <is>
          <t>To a great extent</t>
        </is>
      </c>
      <c r="EJ27" s="6" t="inlineStr">
        <is>
          <t>To a great extent</t>
        </is>
      </c>
      <c r="EK27" s="6" t="inlineStr">
        <is>
          <t>To a great extent</t>
        </is>
      </c>
      <c r="EL27" s="6" t="inlineStr">
        <is>
          <t>To a great extent</t>
        </is>
      </c>
      <c r="EM27" s="6" t="inlineStr">
        <is>
          <t>To a moderate extent</t>
        </is>
      </c>
      <c r="EN27" s="6" t="inlineStr">
        <is>
          <t>To a moderate extent</t>
        </is>
      </c>
      <c r="EO27" s="6" t="inlineStr">
        <is>
          <t>To a moderate extent</t>
        </is>
      </c>
      <c r="EP27" s="6" t="n"/>
      <c r="EQ27" s="6" t="inlineStr">
        <is>
          <t>To a moderate extent</t>
        </is>
      </c>
      <c r="ER27" s="6" t="inlineStr">
        <is>
          <t>To a moderate extent</t>
        </is>
      </c>
      <c r="ES27" s="6" t="n"/>
      <c r="ET27" s="6" t="inlineStr">
        <is>
          <t>To a slight extent</t>
        </is>
      </c>
      <c r="EU27" s="6" t="inlineStr">
        <is>
          <t>To a great extent</t>
        </is>
      </c>
      <c r="EV27" s="6" t="inlineStr">
        <is>
          <t>To a great extent</t>
        </is>
      </c>
      <c r="EW27" s="6" t="n"/>
      <c r="EX27" s="6" t="n"/>
      <c r="EY27" s="6" t="inlineStr">
        <is>
          <t>To a great extent</t>
        </is>
      </c>
      <c r="EZ27" s="6" t="inlineStr">
        <is>
          <t>To a great extent</t>
        </is>
      </c>
      <c r="FA27" s="6" t="inlineStr">
        <is>
          <t>To a great extent</t>
        </is>
      </c>
      <c r="FB27" s="6" t="inlineStr">
        <is>
          <t>To a great extent</t>
        </is>
      </c>
      <c r="FC27" s="6" t="inlineStr">
        <is>
          <t>To a great extent</t>
        </is>
      </c>
      <c r="FD27" s="6" t="inlineStr">
        <is>
          <t>To a great extent</t>
        </is>
      </c>
      <c r="FE27" s="6" t="inlineStr">
        <is>
          <t>To a great extent</t>
        </is>
      </c>
      <c r="FF27" s="6" t="inlineStr">
        <is>
          <t>To a great extent</t>
        </is>
      </c>
      <c r="FG27" s="6" t="inlineStr">
        <is>
          <t>To a great extent</t>
        </is>
      </c>
      <c r="FH27" s="6" t="inlineStr">
        <is>
          <t>To a moderate extent</t>
        </is>
      </c>
      <c r="FI27" s="6" t="inlineStr">
        <is>
          <t>To a moderate extent</t>
        </is>
      </c>
      <c r="FJ27" s="6" t="inlineStr">
        <is>
          <t>To a moderate extent</t>
        </is>
      </c>
      <c r="FK27" s="6" t="inlineStr">
        <is>
          <t>To a great extent</t>
        </is>
      </c>
      <c r="FL27" s="6" t="inlineStr">
        <is>
          <t>To a great extent</t>
        </is>
      </c>
      <c r="FM27" s="6" t="inlineStr">
        <is>
          <t>To a great extent</t>
        </is>
      </c>
      <c r="FN27" s="6" t="inlineStr">
        <is>
          <t>To a great extent</t>
        </is>
      </c>
      <c r="FO27" s="6" t="inlineStr">
        <is>
          <t>To a great extent</t>
        </is>
      </c>
      <c r="FP27" s="6" t="inlineStr">
        <is>
          <t>To a great extent</t>
        </is>
      </c>
      <c r="FQ27" s="6" t="inlineStr">
        <is>
          <t>To a great extent</t>
        </is>
      </c>
      <c r="FR27" s="6" t="inlineStr">
        <is>
          <t>To a great extent</t>
        </is>
      </c>
      <c r="FS27" s="6" t="inlineStr">
        <is>
          <t>To a moderate extent</t>
        </is>
      </c>
      <c r="FT27" s="6" t="inlineStr">
        <is>
          <t>Don’t know or not applicable</t>
        </is>
      </c>
      <c r="FU27" s="6" t="inlineStr">
        <is>
          <t>Don’t know or not applicable</t>
        </is>
      </c>
      <c r="FV27" s="6" t="n"/>
      <c r="FW27" s="6" t="inlineStr">
        <is>
          <t>The IMF should have dedicated more resources</t>
        </is>
      </c>
      <c r="FX27" s="6" t="n"/>
      <c r="FY27" s="6" t="inlineStr">
        <is>
          <t>To a moderate extent</t>
        </is>
      </c>
      <c r="FZ27" s="6" t="inlineStr">
        <is>
          <t>To a great extent</t>
        </is>
      </c>
      <c r="GA27" s="6" t="inlineStr">
        <is>
          <t>To a moderate extent</t>
        </is>
      </c>
      <c r="GB27" s="6" t="inlineStr">
        <is>
          <t>To a great extent</t>
        </is>
      </c>
      <c r="GC27" s="6" t="inlineStr">
        <is>
          <t>Don’t know or not applicable</t>
        </is>
      </c>
      <c r="GD27" s="6" t="n"/>
      <c r="GE27" s="6" t="inlineStr">
        <is>
          <t>To a great extent</t>
        </is>
      </c>
      <c r="GF27" s="6" t="inlineStr">
        <is>
          <t>To a great extent</t>
        </is>
      </c>
      <c r="GG27" s="6" t="inlineStr">
        <is>
          <t>To a great extent</t>
        </is>
      </c>
      <c r="GH27" s="6" t="inlineStr">
        <is>
          <t>To a great extent</t>
        </is>
      </c>
      <c r="GI27" s="6" t="inlineStr">
        <is>
          <t>To a moderate extent</t>
        </is>
      </c>
      <c r="GJ27" s="6" t="inlineStr">
        <is>
          <t>To a great extent</t>
        </is>
      </c>
      <c r="GK27" s="6" t="n"/>
      <c r="GL27" s="7">
        <f>DATE(2025,6,10)+TIME(12,44,29)</f>
        <v/>
      </c>
    </row>
    <row r="28" ht="409.5" customHeight="1">
      <c r="A28" s="3" t="inlineStr">
        <is>
          <t>Olga</t>
        </is>
      </c>
      <c r="B28" s="3" t="inlineStr">
        <is>
          <t>Larsson</t>
        </is>
      </c>
      <c r="C28" s="3" t="inlineStr">
        <is>
          <t>olarsson@organization.org</t>
        </is>
      </c>
      <c r="D28" s="3" t="inlineStr">
        <is>
          <t>7EUKK6P04</t>
        </is>
      </c>
      <c r="E28" s="3" t="n"/>
      <c r="F28" s="3" t="inlineStr">
        <is>
          <t>OEDAP</t>
        </is>
      </c>
      <c r="G28" s="3" t="n"/>
      <c r="H28" s="3" t="n"/>
      <c r="I28" s="3" t="inlineStr">
        <is>
          <t>Seychelles</t>
        </is>
      </c>
      <c r="J28" s="3" t="n"/>
      <c r="K28" s="3" t="n"/>
      <c r="L28" s="3" t="n"/>
      <c r="M28" s="3" t="n"/>
      <c r="N28" s="3" t="n"/>
      <c r="O28" s="3" t="n"/>
      <c r="P28" s="3" t="n"/>
      <c r="Q28" s="3" t="n"/>
      <c r="R28" s="3" t="n"/>
      <c r="S28" s="3" t="n"/>
      <c r="T28" s="3" t="n"/>
      <c r="U28" s="3" t="n"/>
      <c r="V28" s="3" t="n"/>
      <c r="W28" s="3" t="n"/>
      <c r="X28" s="3" t="n"/>
      <c r="Y28" s="3" t="n"/>
      <c r="Z28" s="3" t="n"/>
      <c r="AA28" s="3" t="n"/>
      <c r="AB28" s="3" t="n"/>
      <c r="AC28" s="3" t="n"/>
      <c r="AD28" s="3" t="n"/>
      <c r="AE28" s="3" t="n"/>
      <c r="AF28" s="4" t="inlineStr">
        <is>
          <t>Seychelles</t>
        </is>
      </c>
      <c r="AG28" s="3" t="inlineStr">
        <is>
          <t>The IMF should engage a similar amount on climate change-related issues</t>
        </is>
      </c>
      <c r="AH28" s="3" t="inlineStr">
        <is>
          <t>To a great extent</t>
        </is>
      </c>
      <c r="AI28" s="3" t="inlineStr">
        <is>
          <t>To a moderate extent</t>
        </is>
      </c>
      <c r="AJ28" s="3" t="inlineStr">
        <is>
          <t>To a moderate extent</t>
        </is>
      </c>
      <c r="AK28" s="3" t="inlineStr">
        <is>
          <t>To a moderate extent</t>
        </is>
      </c>
      <c r="AL28" s="3" t="inlineStr">
        <is>
          <t>To a moderate extent</t>
        </is>
      </c>
      <c r="AM28" s="3" t="inlineStr">
        <is>
          <t>To a great extent</t>
        </is>
      </c>
      <c r="AN28" s="3" t="inlineStr">
        <is>
          <t>To a great extent</t>
        </is>
      </c>
      <c r="AO28" s="3" t="inlineStr">
        <is>
          <t>To a great extent</t>
        </is>
      </c>
      <c r="AP28" s="3" t="inlineStr">
        <is>
          <t>To a great extent</t>
        </is>
      </c>
      <c r="AQ28" s="3" t="inlineStr">
        <is>
          <t>To a moderate extent</t>
        </is>
      </c>
      <c r="AR28" s="3" t="inlineStr">
        <is>
          <t>To a slight extent</t>
        </is>
      </c>
      <c r="AS28" s="3" t="n"/>
      <c r="AT28" s="3" t="inlineStr">
        <is>
          <t>To a great extent</t>
        </is>
      </c>
      <c r="AU28" s="3" t="inlineStr">
        <is>
          <t>To a great extent</t>
        </is>
      </c>
      <c r="AV28" s="3" t="inlineStr">
        <is>
          <t>Don’t know or not applicable</t>
        </is>
      </c>
      <c r="AW28" s="3" t="inlineStr">
        <is>
          <t>To a great extent</t>
        </is>
      </c>
      <c r="AX28" s="3" t="inlineStr">
        <is>
          <t>To a moderate extent</t>
        </is>
      </c>
      <c r="AY28" s="3" t="inlineStr">
        <is>
          <t>To a slight extent</t>
        </is>
      </c>
      <c r="AZ28" s="3" t="inlineStr">
        <is>
          <t>To a moderate extent</t>
        </is>
      </c>
      <c r="BA28" s="3" t="inlineStr">
        <is>
          <t>Don’t know or not applicable</t>
        </is>
      </c>
      <c r="BB28" s="3" t="inlineStr">
        <is>
          <t>To a moderate extent</t>
        </is>
      </c>
      <c r="BC28" s="3" t="inlineStr">
        <is>
          <t>To a moderate extent</t>
        </is>
      </c>
      <c r="BD28" s="3" t="inlineStr">
        <is>
          <t>To a slight extent</t>
        </is>
      </c>
      <c r="BE28" s="3" t="inlineStr">
        <is>
          <t>To a great extent</t>
        </is>
      </c>
      <c r="BF28" s="3" t="inlineStr">
        <is>
          <t>Don’t know or not applicable</t>
        </is>
      </c>
      <c r="BG28" s="3" t="inlineStr">
        <is>
          <t>To a moderate extent</t>
        </is>
      </c>
      <c r="BH28" s="3" t="inlineStr">
        <is>
          <t>To a moderate extent</t>
        </is>
      </c>
      <c r="BI28" s="3" t="inlineStr">
        <is>
          <t>To a moderate extent</t>
        </is>
      </c>
      <c r="BJ28" s="3" t="inlineStr">
        <is>
          <t>To a slight extent</t>
        </is>
      </c>
      <c r="BK28" s="3" t="inlineStr">
        <is>
          <t>Don’t know or not applicable</t>
        </is>
      </c>
      <c r="BL28" s="3" t="inlineStr">
        <is>
          <t>To a moderate extent</t>
        </is>
      </c>
      <c r="BM28" s="3" t="inlineStr">
        <is>
          <t>To a slight extent</t>
        </is>
      </c>
      <c r="BN28" s="3" t="inlineStr">
        <is>
          <t>To a slight extent</t>
        </is>
      </c>
      <c r="BO28" s="3" t="inlineStr">
        <is>
          <t>To a great extent</t>
        </is>
      </c>
      <c r="BP28" s="3" t="inlineStr">
        <is>
          <t>To a great extent</t>
        </is>
      </c>
      <c r="BQ28" s="3" t="inlineStr">
        <is>
          <t>To a slight extent</t>
        </is>
      </c>
      <c r="BR28" s="3" t="inlineStr">
        <is>
          <t>Don’t know or not applicable</t>
        </is>
      </c>
      <c r="BS28" s="3" t="n"/>
      <c r="BT28" s="3" t="inlineStr">
        <is>
          <t>The IMF dedicated an appropriate amount of resources</t>
        </is>
      </c>
      <c r="BU28" s="3" t="inlineStr">
        <is>
          <t>To a great extent</t>
        </is>
      </c>
      <c r="BV28" s="3" t="inlineStr">
        <is>
          <t>To a moderate extent</t>
        </is>
      </c>
      <c r="BW28" s="3" t="inlineStr">
        <is>
          <t>To a moderate extent</t>
        </is>
      </c>
      <c r="BX28" s="3" t="inlineStr">
        <is>
          <t>To a great extent</t>
        </is>
      </c>
      <c r="BY28" s="3" t="inlineStr">
        <is>
          <t>To a great extent</t>
        </is>
      </c>
      <c r="BZ28" s="3" t="inlineStr">
        <is>
          <t>To a great extent</t>
        </is>
      </c>
      <c r="CA28" s="3" t="inlineStr">
        <is>
          <t>To a great extent</t>
        </is>
      </c>
      <c r="CB28" s="3" t="inlineStr">
        <is>
          <t>To a moderate extent</t>
        </is>
      </c>
      <c r="CC28" s="3" t="inlineStr">
        <is>
          <t>To a great extent</t>
        </is>
      </c>
      <c r="CD28" s="3" t="inlineStr">
        <is>
          <t>To a moderate extent</t>
        </is>
      </c>
      <c r="CE28" s="3" t="inlineStr">
        <is>
          <t>To a slight extent</t>
        </is>
      </c>
      <c r="CF28" s="3" t="inlineStr">
        <is>
          <t>To a slight extent</t>
        </is>
      </c>
      <c r="CG28" s="3" t="n"/>
      <c r="CH28" s="3" t="inlineStr">
        <is>
          <t>Yes</t>
        </is>
      </c>
      <c r="CI28" s="3" t="inlineStr">
        <is>
          <t>Yes</t>
        </is>
      </c>
      <c r="CJ28" s="3" t="inlineStr">
        <is>
          <t>To a great extent</t>
        </is>
      </c>
      <c r="CK28" s="3" t="inlineStr">
        <is>
          <t>To a moderate extent</t>
        </is>
      </c>
      <c r="CL28" s="3" t="inlineStr">
        <is>
          <t>To a great extent</t>
        </is>
      </c>
      <c r="CM28" s="3" t="inlineStr">
        <is>
          <t>Don’t know or not applicable</t>
        </is>
      </c>
      <c r="CN28" s="3" t="inlineStr">
        <is>
          <t>To a slight extent</t>
        </is>
      </c>
      <c r="CO28" s="3" t="inlineStr">
        <is>
          <t>To a great extent</t>
        </is>
      </c>
      <c r="CP28" s="3" t="inlineStr">
        <is>
          <t>To a great extent</t>
        </is>
      </c>
      <c r="CQ28" s="3" t="inlineStr">
        <is>
          <t>To a great extent</t>
        </is>
      </c>
      <c r="CR28" s="3" t="inlineStr">
        <is>
          <t>To a moderate extent</t>
        </is>
      </c>
      <c r="CS28" s="3" t="inlineStr">
        <is>
          <t>To a moderate extent</t>
        </is>
      </c>
      <c r="CT28" s="3" t="inlineStr">
        <is>
          <t>To a moderate extent</t>
        </is>
      </c>
      <c r="CU28" s="3" t="inlineStr">
        <is>
          <t>To a slight extent</t>
        </is>
      </c>
      <c r="CV28" s="3" t="inlineStr">
        <is>
          <t>To a great extent</t>
        </is>
      </c>
      <c r="CW28" s="3" t="inlineStr">
        <is>
          <t>To a great extent</t>
        </is>
      </c>
      <c r="CX28" s="3" t="inlineStr">
        <is>
          <t>To a moderate extent</t>
        </is>
      </c>
      <c r="CY28" s="3" t="inlineStr">
        <is>
          <t>To a great extent</t>
        </is>
      </c>
      <c r="CZ28" s="3" t="inlineStr">
        <is>
          <t>To a moderate extent</t>
        </is>
      </c>
      <c r="DA28" s="3" t="inlineStr">
        <is>
          <t>To a slight extent</t>
        </is>
      </c>
      <c r="DB28" s="3" t="n"/>
      <c r="DC28" s="3" t="n"/>
      <c r="DD28" s="3" t="n"/>
      <c r="DE28" s="3" t="inlineStr">
        <is>
          <t>Building reserves</t>
        </is>
      </c>
      <c r="DF28" s="3" t="inlineStr">
        <is>
          <t>Climate change-related policies</t>
        </is>
      </c>
      <c r="DG28" s="3" t="n"/>
      <c r="DH28" s="3" t="inlineStr">
        <is>
          <t>To a slight extent</t>
        </is>
      </c>
      <c r="DI28" s="3" t="inlineStr">
        <is>
          <t>Not at all</t>
        </is>
      </c>
      <c r="DJ28" s="3" t="inlineStr">
        <is>
          <t>To a moderate extent</t>
        </is>
      </c>
      <c r="DK28" s="3" t="inlineStr">
        <is>
          <t>To a moderate extent</t>
        </is>
      </c>
      <c r="DL28" s="3" t="inlineStr">
        <is>
          <t>To a moderate extent</t>
        </is>
      </c>
      <c r="DM28" s="3" t="inlineStr">
        <is>
          <t>To a slight extent</t>
        </is>
      </c>
      <c r="DN28" s="3" t="n"/>
      <c r="DO28" s="3" t="n"/>
      <c r="DP28" s="3" t="n"/>
      <c r="DQ28" s="3" t="n"/>
      <c r="DR28" s="3" t="n"/>
      <c r="DS28" s="3" t="n"/>
      <c r="DT28" s="3" t="n"/>
      <c r="DU28" s="3" t="n"/>
      <c r="DV28" s="3" t="n"/>
      <c r="DW28" s="3" t="inlineStr">
        <is>
          <t>Yes</t>
        </is>
      </c>
      <c r="DX28" s="3" t="inlineStr">
        <is>
          <t>World Bank Group</t>
        </is>
      </c>
      <c r="DY28" s="3" t="inlineStr">
        <is>
          <t>Regional development banks</t>
        </is>
      </c>
      <c r="DZ28" s="3" t="inlineStr">
        <is>
          <t>Bilateral sources</t>
        </is>
      </c>
      <c r="EA28" s="3" t="n"/>
      <c r="EB28" s="3" t="n"/>
      <c r="EC28" s="3" t="inlineStr">
        <is>
          <t>To a great extent</t>
        </is>
      </c>
      <c r="ED28" s="3" t="inlineStr">
        <is>
          <t>To a moderate extent</t>
        </is>
      </c>
      <c r="EE28" s="3" t="inlineStr">
        <is>
          <t>To a slight extent</t>
        </is>
      </c>
      <c r="EF28" s="3" t="inlineStr">
        <is>
          <t>To a slight extent</t>
        </is>
      </c>
      <c r="EG28" s="3" t="inlineStr">
        <is>
          <t>Don’t know or not applicable</t>
        </is>
      </c>
      <c r="EH28" s="3" t="inlineStr">
        <is>
          <t>To a slight extent</t>
        </is>
      </c>
      <c r="EI28" s="3" t="inlineStr">
        <is>
          <t>To a great extent</t>
        </is>
      </c>
      <c r="EJ28" s="3" t="inlineStr">
        <is>
          <t>To a great extent</t>
        </is>
      </c>
      <c r="EK28" s="3" t="inlineStr">
        <is>
          <t>Don’t know or not applicable</t>
        </is>
      </c>
      <c r="EL28" s="3" t="inlineStr">
        <is>
          <t>To a great extent</t>
        </is>
      </c>
      <c r="EM28" s="3" t="inlineStr">
        <is>
          <t>To a great extent</t>
        </is>
      </c>
      <c r="EN28" s="3" t="inlineStr">
        <is>
          <t>To a slight extent</t>
        </is>
      </c>
      <c r="EO28" s="3" t="inlineStr">
        <is>
          <t>To a great extent</t>
        </is>
      </c>
      <c r="EP28" s="3" t="n"/>
      <c r="EQ28" s="3" t="inlineStr">
        <is>
          <t>To a great extent</t>
        </is>
      </c>
      <c r="ER28" s="3" t="inlineStr">
        <is>
          <t>To a moderate extent</t>
        </is>
      </c>
      <c r="ES28" s="3" t="n"/>
      <c r="ET28" s="3" t="inlineStr">
        <is>
          <t>To a great extent</t>
        </is>
      </c>
      <c r="EU28" s="3" t="inlineStr">
        <is>
          <t>Not at all</t>
        </is>
      </c>
      <c r="EV28" s="3" t="inlineStr">
        <is>
          <t>To a moderate extent</t>
        </is>
      </c>
      <c r="EW28" s="3" t="n"/>
      <c r="EX28" s="3" t="n"/>
      <c r="EY28" s="3" t="inlineStr">
        <is>
          <t>To a slight extent</t>
        </is>
      </c>
      <c r="EZ28" s="3" t="inlineStr">
        <is>
          <t>To a moderate extent</t>
        </is>
      </c>
      <c r="FA28" s="3" t="inlineStr">
        <is>
          <t>To a moderate extent</t>
        </is>
      </c>
      <c r="FB28" s="3" t="inlineStr">
        <is>
          <t>To a moderate extent</t>
        </is>
      </c>
      <c r="FC28" s="3" t="inlineStr">
        <is>
          <t>To a moderate extent</t>
        </is>
      </c>
      <c r="FD28" s="3" t="inlineStr">
        <is>
          <t>To a moderate extent</t>
        </is>
      </c>
      <c r="FE28" s="3" t="inlineStr">
        <is>
          <t>To a moderate extent</t>
        </is>
      </c>
      <c r="FF28" s="3" t="inlineStr">
        <is>
          <t>To a moderate extent</t>
        </is>
      </c>
      <c r="FG28" s="3" t="inlineStr">
        <is>
          <t>To a moderate extent</t>
        </is>
      </c>
      <c r="FH28" s="3" t="inlineStr">
        <is>
          <t>To a great extent</t>
        </is>
      </c>
      <c r="FI28" s="3" t="inlineStr">
        <is>
          <t>To a moderate extent</t>
        </is>
      </c>
      <c r="FJ28" s="3" t="inlineStr">
        <is>
          <t>Don’t know or not applicable</t>
        </is>
      </c>
      <c r="FK28" s="3" t="inlineStr">
        <is>
          <t>To a moderate extent</t>
        </is>
      </c>
      <c r="FL28" s="3" t="inlineStr">
        <is>
          <t>To a moderate extent</t>
        </is>
      </c>
      <c r="FM28" s="3" t="inlineStr">
        <is>
          <t>To a moderate extent</t>
        </is>
      </c>
      <c r="FN28" s="3" t="inlineStr">
        <is>
          <t>To a moderate extent</t>
        </is>
      </c>
      <c r="FO28" s="3" t="inlineStr">
        <is>
          <t>To a moderate extent</t>
        </is>
      </c>
      <c r="FP28" s="3" t="inlineStr">
        <is>
          <t>To a moderate extent</t>
        </is>
      </c>
      <c r="FQ28" s="3" t="inlineStr">
        <is>
          <t>To a moderate extent</t>
        </is>
      </c>
      <c r="FR28" s="3" t="inlineStr">
        <is>
          <t>To a moderate extent</t>
        </is>
      </c>
      <c r="FS28" s="3" t="inlineStr">
        <is>
          <t>To a moderate extent</t>
        </is>
      </c>
      <c r="FT28" s="3" t="inlineStr">
        <is>
          <t>To a slight extent</t>
        </is>
      </c>
      <c r="FU28" s="3" t="n"/>
      <c r="FV28" s="3" t="n"/>
      <c r="FW28" s="3" t="inlineStr">
        <is>
          <t>The IMF dedicated the appropriate amount of resources</t>
        </is>
      </c>
      <c r="FX28" s="3" t="n"/>
      <c r="FY28" s="3" t="inlineStr">
        <is>
          <t>To a great extent</t>
        </is>
      </c>
      <c r="FZ28" s="3" t="inlineStr">
        <is>
          <t>To a great extent</t>
        </is>
      </c>
      <c r="GA28" s="3" t="inlineStr">
        <is>
          <t>To a moderate extent</t>
        </is>
      </c>
      <c r="GB28" s="3" t="inlineStr">
        <is>
          <t>To a slight extent</t>
        </is>
      </c>
      <c r="GC28" s="3" t="n"/>
      <c r="GD28" s="3" t="n"/>
      <c r="GE28" s="3" t="inlineStr">
        <is>
          <t>To a great extent</t>
        </is>
      </c>
      <c r="GF28" s="3" t="inlineStr">
        <is>
          <t>To a slight extent</t>
        </is>
      </c>
      <c r="GG28" s="3" t="inlineStr">
        <is>
          <t>To a moderate extent</t>
        </is>
      </c>
      <c r="GH28" s="3" t="inlineStr">
        <is>
          <t>To a slight extent</t>
        </is>
      </c>
      <c r="GI28" s="3" t="inlineStr">
        <is>
          <t>To a great extent</t>
        </is>
      </c>
      <c r="GJ28" s="3" t="inlineStr">
        <is>
          <t>To a great extent</t>
        </is>
      </c>
      <c r="GK28" s="3" t="inlineStr">
        <is>
          <t>The country has worked with excellent staff under the RSF where there is not only mutual respect but also an acknowledgment of context. In addition, staff have always presented firm and truthful information and through their bilateral meetings, are also seen as a source of guidance, understanding, help anchor expectations and build policy credibility. However, The RSF adds additional (but mostly warranted) processes to the budget/work cycle at a period where there should be greater emphasis on embedding automation and digitizing processes to improve efficiency, moreso given capacity gaps in SS. Some RMs -albeit with this not being a case unique to SYC- requires some elements of "external catching up" and global standardization in areas where there may not be uniformity in policy guidance/implementation. As an example, the emphasis of Fund work under the RSF should start internally (e.g. standardization of processes/interpretations/definitions in data manuals) beforehand. It would also be ideal to offer more flexibility in adaptation vs mitigation allocation given context.</t>
        </is>
      </c>
      <c r="GL28" s="5">
        <f>DATE(2025,5,29)+TIME(15,32,20)</f>
        <v/>
      </c>
    </row>
    <row r="29" ht="409.5" customHeight="1">
      <c r="A29" s="6" t="inlineStr">
        <is>
          <t>Hana</t>
        </is>
      </c>
      <c r="B29" s="6" t="inlineStr">
        <is>
          <t>Reyes</t>
        </is>
      </c>
      <c r="C29" s="6" t="inlineStr">
        <is>
          <t>hreyes@organization.org</t>
        </is>
      </c>
      <c r="D29" s="6" t="inlineStr">
        <is>
          <t>FOX8RC5VF</t>
        </is>
      </c>
      <c r="E29" s="6" t="n"/>
      <c r="F29" s="6" t="inlineStr">
        <is>
          <t>OEDAP</t>
        </is>
      </c>
      <c r="G29" s="6" t="n"/>
      <c r="H29" s="6" t="n"/>
      <c r="I29" s="6" t="inlineStr">
        <is>
          <t>Samoa</t>
        </is>
      </c>
      <c r="J29" s="6" t="n"/>
      <c r="K29" s="6" t="n"/>
      <c r="L29" s="6" t="n"/>
      <c r="M29" s="6" t="n"/>
      <c r="N29" s="6" t="n"/>
      <c r="O29" s="6" t="n"/>
      <c r="P29" s="6" t="n"/>
      <c r="Q29" s="6" t="n"/>
      <c r="R29" s="6" t="n"/>
      <c r="S29" s="6" t="n"/>
      <c r="T29" s="6" t="n"/>
      <c r="U29" s="6" t="n"/>
      <c r="V29" s="6" t="n"/>
      <c r="W29" s="6" t="n"/>
      <c r="X29" s="6" t="n"/>
      <c r="Y29" s="6" t="n"/>
      <c r="Z29" s="6" t="n"/>
      <c r="AA29" s="6" t="n"/>
      <c r="AB29" s="6" t="n"/>
      <c r="AC29" s="6" t="n"/>
      <c r="AD29" s="6" t="n"/>
      <c r="AE29" s="6" t="n"/>
      <c r="AF29" s="4" t="inlineStr">
        <is>
          <t>Samoa</t>
        </is>
      </c>
      <c r="AG29" s="6" t="inlineStr">
        <is>
          <t>The IMF should engage more on climate change-related issues</t>
        </is>
      </c>
      <c r="AH29" s="6" t="inlineStr">
        <is>
          <t>To a moderate extent</t>
        </is>
      </c>
      <c r="AI29" s="6" t="inlineStr">
        <is>
          <t>To a moderate extent</t>
        </is>
      </c>
      <c r="AJ29" s="6" t="inlineStr">
        <is>
          <t>Not at all</t>
        </is>
      </c>
      <c r="AK29" s="6" t="inlineStr">
        <is>
          <t>To a slight extent</t>
        </is>
      </c>
      <c r="AL29" s="6" t="inlineStr">
        <is>
          <t>Don’t know or not applicable</t>
        </is>
      </c>
      <c r="AM29" s="6" t="inlineStr">
        <is>
          <t>Don’t know or not applicable</t>
        </is>
      </c>
      <c r="AN29" s="6" t="inlineStr">
        <is>
          <t>Don’t know or not applicable</t>
        </is>
      </c>
      <c r="AO29" s="6" t="inlineStr">
        <is>
          <t>To a slight extent</t>
        </is>
      </c>
      <c r="AP29" s="6" t="inlineStr">
        <is>
          <t>To a slight extent</t>
        </is>
      </c>
      <c r="AQ29" s="6" t="inlineStr">
        <is>
          <t>Don’t know or not applicable</t>
        </is>
      </c>
      <c r="AR29" s="6" t="inlineStr">
        <is>
          <t>To a moderate extent</t>
        </is>
      </c>
      <c r="AS29" s="6" t="n"/>
      <c r="AT29" s="6" t="inlineStr">
        <is>
          <t>To a great extent</t>
        </is>
      </c>
      <c r="AU29" s="6" t="inlineStr">
        <is>
          <t>To a moderate extent</t>
        </is>
      </c>
      <c r="AV29" s="6" t="inlineStr">
        <is>
          <t>Not at all</t>
        </is>
      </c>
      <c r="AW29" s="6" t="inlineStr">
        <is>
          <t>To a moderate extent</t>
        </is>
      </c>
      <c r="AX29" s="6" t="inlineStr">
        <is>
          <t>To a moderate extent</t>
        </is>
      </c>
      <c r="AY29" s="6" t="inlineStr">
        <is>
          <t>Don’t know or not applicable</t>
        </is>
      </c>
      <c r="AZ29" s="6" t="inlineStr">
        <is>
          <t>To a slight extent</t>
        </is>
      </c>
      <c r="BA29" s="6" t="inlineStr">
        <is>
          <t>Not at all</t>
        </is>
      </c>
      <c r="BB29" s="6" t="inlineStr">
        <is>
          <t>To a moderate extent</t>
        </is>
      </c>
      <c r="BC29" s="6" t="inlineStr">
        <is>
          <t>To a moderate extent</t>
        </is>
      </c>
      <c r="BD29" s="6" t="inlineStr">
        <is>
          <t>Don’t know or not applicable</t>
        </is>
      </c>
      <c r="BE29" s="6" t="inlineStr">
        <is>
          <t>Not at all</t>
        </is>
      </c>
      <c r="BF29" s="6" t="inlineStr">
        <is>
          <t>Not at all</t>
        </is>
      </c>
      <c r="BG29" s="6" t="inlineStr">
        <is>
          <t>Don’t know or not applicable</t>
        </is>
      </c>
      <c r="BH29" s="6" t="inlineStr">
        <is>
          <t>Don’t know or not applicable</t>
        </is>
      </c>
      <c r="BI29" s="6" t="inlineStr">
        <is>
          <t>Don’t know or not applicable</t>
        </is>
      </c>
      <c r="BJ29" s="6" t="inlineStr">
        <is>
          <t>To a slight extent</t>
        </is>
      </c>
      <c r="BK29" s="6" t="inlineStr">
        <is>
          <t>Not at all</t>
        </is>
      </c>
      <c r="BL29" s="6" t="inlineStr">
        <is>
          <t>To a slight extent</t>
        </is>
      </c>
      <c r="BM29" s="6" t="inlineStr">
        <is>
          <t>To a slight extent</t>
        </is>
      </c>
      <c r="BN29" s="6" t="inlineStr">
        <is>
          <t>Don’t know or not applicable</t>
        </is>
      </c>
      <c r="BO29" s="6" t="inlineStr">
        <is>
          <t>To a great extent</t>
        </is>
      </c>
      <c r="BP29" s="6" t="inlineStr">
        <is>
          <t>Don’t know or not applicable</t>
        </is>
      </c>
      <c r="BQ29" s="6" t="inlineStr">
        <is>
          <t>Don’t know or not applicable</t>
        </is>
      </c>
      <c r="BR29" s="6" t="inlineStr">
        <is>
          <t>Don’t know or not applicable</t>
        </is>
      </c>
      <c r="BS29" s="6" t="n"/>
      <c r="BT29" s="6" t="inlineStr">
        <is>
          <t>The IMF should have dedicated more resources</t>
        </is>
      </c>
      <c r="BU29" s="6" t="inlineStr">
        <is>
          <t>To a great extent</t>
        </is>
      </c>
      <c r="BV29" s="6" t="inlineStr">
        <is>
          <t>To a great extent</t>
        </is>
      </c>
      <c r="BW29" s="6" t="inlineStr">
        <is>
          <t>To a great extent</t>
        </is>
      </c>
      <c r="BX29" s="6" t="inlineStr">
        <is>
          <t>To a great extent</t>
        </is>
      </c>
      <c r="BY29" s="6" t="inlineStr">
        <is>
          <t>To a great extent</t>
        </is>
      </c>
      <c r="BZ29" s="6" t="inlineStr">
        <is>
          <t>To a great extent</t>
        </is>
      </c>
      <c r="CA29" s="6" t="inlineStr">
        <is>
          <t>To a great extent</t>
        </is>
      </c>
      <c r="CB29" s="6" t="inlineStr">
        <is>
          <t>To a great extent</t>
        </is>
      </c>
      <c r="CC29" s="6" t="inlineStr">
        <is>
          <t>To a great extent</t>
        </is>
      </c>
      <c r="CD29" s="6" t="inlineStr">
        <is>
          <t>To a great extent</t>
        </is>
      </c>
      <c r="CE29" s="6" t="inlineStr">
        <is>
          <t>To a great extent</t>
        </is>
      </c>
      <c r="CF29" s="6" t="inlineStr">
        <is>
          <t>To a great extent</t>
        </is>
      </c>
      <c r="CG29" s="6" t="n"/>
      <c r="CH29" s="6" t="inlineStr">
        <is>
          <t>No</t>
        </is>
      </c>
      <c r="CI29" s="6" t="inlineStr">
        <is>
          <t>No</t>
        </is>
      </c>
      <c r="CJ29" s="6" t="n"/>
      <c r="CK29" s="6" t="n"/>
      <c r="CL29" s="6" t="n"/>
      <c r="CM29" s="6" t="n"/>
      <c r="CN29" s="6" t="n"/>
      <c r="CO29" s="6" t="n"/>
      <c r="CP29" s="6" t="n"/>
      <c r="CQ29" s="6" t="n"/>
      <c r="CR29" s="6" t="n"/>
      <c r="CS29" s="6" t="n"/>
      <c r="CT29" s="6" t="n"/>
      <c r="CU29" s="6" t="n"/>
      <c r="CV29" s="6" t="n"/>
      <c r="CW29" s="6" t="n"/>
      <c r="CX29" s="6" t="n"/>
      <c r="CY29" s="6" t="n"/>
      <c r="CZ29" s="6" t="n"/>
      <c r="DA29" s="6" t="n"/>
      <c r="DB29" s="6" t="n"/>
      <c r="DC29" s="6" t="n"/>
      <c r="DD29" s="6" t="n"/>
      <c r="DE29" s="6" t="n"/>
      <c r="DF29" s="6" t="n"/>
      <c r="DG29" s="6" t="n"/>
      <c r="DH29" s="6" t="n"/>
      <c r="DI29" s="6" t="n"/>
      <c r="DJ29" s="6" t="n"/>
      <c r="DK29" s="6" t="n"/>
      <c r="DL29" s="6" t="n"/>
      <c r="DM29" s="6" t="n"/>
      <c r="DN29" s="6" t="n"/>
      <c r="DO29" s="6" t="n"/>
      <c r="DP29" s="6" t="n"/>
      <c r="DQ29" s="6" t="n"/>
      <c r="DR29" s="6" t="n"/>
      <c r="DS29" s="6" t="inlineStr">
        <is>
          <t>More convenient alternative financing options</t>
        </is>
      </c>
      <c r="DT29" s="6" t="n"/>
      <c r="DU29" s="6" t="inlineStr">
        <is>
          <t>An RSF arrangement would have been useful, but my country had no balance of payments issues/did not need/was not willing to commit to the underlying UCT program</t>
        </is>
      </c>
      <c r="DV29" s="6" t="n"/>
      <c r="DW29" s="6" t="inlineStr">
        <is>
          <t>Yes</t>
        </is>
      </c>
      <c r="DX29" s="6" t="inlineStr">
        <is>
          <t>World Bank Group</t>
        </is>
      </c>
      <c r="DY29" s="6" t="n"/>
      <c r="DZ29" s="6" t="inlineStr">
        <is>
          <t>Bilateral sources</t>
        </is>
      </c>
      <c r="EA29" s="6" t="n"/>
      <c r="EB29" s="6" t="inlineStr">
        <is>
          <t>Other (please specify) : ADB, GEF</t>
        </is>
      </c>
      <c r="EC29" s="6" t="inlineStr">
        <is>
          <t>Not at all</t>
        </is>
      </c>
      <c r="ED29" s="6" t="inlineStr">
        <is>
          <t>Not at all</t>
        </is>
      </c>
      <c r="EE29" s="6" t="inlineStr">
        <is>
          <t>Don’t know or not applicable</t>
        </is>
      </c>
      <c r="EF29" s="6" t="inlineStr">
        <is>
          <t>Don’t know or not applicable</t>
        </is>
      </c>
      <c r="EG29" s="6" t="inlineStr">
        <is>
          <t>Don’t know or not applicable</t>
        </is>
      </c>
      <c r="EH29" s="6" t="inlineStr">
        <is>
          <t>Don’t know or not applicable</t>
        </is>
      </c>
      <c r="EI29" s="6" t="inlineStr">
        <is>
          <t>Don’t know or not applicable</t>
        </is>
      </c>
      <c r="EJ29" s="6" t="inlineStr">
        <is>
          <t>To a moderate extent</t>
        </is>
      </c>
      <c r="EK29" s="6" t="inlineStr">
        <is>
          <t>To a great extent</t>
        </is>
      </c>
      <c r="EL29" s="6" t="inlineStr">
        <is>
          <t>To a moderate extent</t>
        </is>
      </c>
      <c r="EM29" s="6" t="n"/>
      <c r="EN29" s="6" t="n"/>
      <c r="EO29" s="6" t="n"/>
      <c r="EP29" s="6" t="n"/>
      <c r="EQ29" s="6" t="inlineStr">
        <is>
          <t>To a slight extent</t>
        </is>
      </c>
      <c r="ER29" s="6" t="inlineStr">
        <is>
          <t>To a slight extent</t>
        </is>
      </c>
      <c r="ES29" s="6" t="n"/>
      <c r="ET29" s="6" t="inlineStr">
        <is>
          <t>To a slight extent</t>
        </is>
      </c>
      <c r="EU29" s="6" t="inlineStr">
        <is>
          <t>To a slight extent</t>
        </is>
      </c>
      <c r="EV29" s="6" t="inlineStr">
        <is>
          <t>To a slight extent</t>
        </is>
      </c>
      <c r="EW29" s="6" t="inlineStr">
        <is>
          <t>Don’t know or not applicable</t>
        </is>
      </c>
      <c r="EX29" s="6" t="n"/>
      <c r="EY29" s="6" t="inlineStr">
        <is>
          <t>To a slight extent</t>
        </is>
      </c>
      <c r="EZ29" s="6" t="inlineStr">
        <is>
          <t>Not at all</t>
        </is>
      </c>
      <c r="FA29" s="6" t="inlineStr">
        <is>
          <t>To a slight extent</t>
        </is>
      </c>
      <c r="FB29" s="6" t="inlineStr">
        <is>
          <t>To a slight extent</t>
        </is>
      </c>
      <c r="FC29" s="6" t="inlineStr">
        <is>
          <t>To a slight extent</t>
        </is>
      </c>
      <c r="FD29" s="6" t="inlineStr">
        <is>
          <t>Don’t know or not applicable</t>
        </is>
      </c>
      <c r="FE29" s="6" t="inlineStr">
        <is>
          <t>Don’t know or not applicable</t>
        </is>
      </c>
      <c r="FF29" s="6" t="inlineStr">
        <is>
          <t>Don’t know or not applicable</t>
        </is>
      </c>
      <c r="FG29" s="6" t="inlineStr">
        <is>
          <t>Don’t know or not applicable</t>
        </is>
      </c>
      <c r="FH29" s="6" t="inlineStr">
        <is>
          <t>To a slight extent</t>
        </is>
      </c>
      <c r="FI29" s="6" t="inlineStr">
        <is>
          <t>To a slight extent</t>
        </is>
      </c>
      <c r="FJ29" s="6" t="inlineStr">
        <is>
          <t>Not at all</t>
        </is>
      </c>
      <c r="FK29" s="6" t="inlineStr">
        <is>
          <t>To a slight extent</t>
        </is>
      </c>
      <c r="FL29" s="6" t="inlineStr">
        <is>
          <t>To a slight extent</t>
        </is>
      </c>
      <c r="FM29" s="6" t="inlineStr">
        <is>
          <t>To a slight extent</t>
        </is>
      </c>
      <c r="FN29" s="6" t="inlineStr">
        <is>
          <t>Don’t know or not applicable</t>
        </is>
      </c>
      <c r="FO29" s="6" t="inlineStr">
        <is>
          <t>To a slight extent</t>
        </is>
      </c>
      <c r="FP29" s="6" t="inlineStr">
        <is>
          <t>Not at all</t>
        </is>
      </c>
      <c r="FQ29" s="6" t="inlineStr">
        <is>
          <t>Not at all</t>
        </is>
      </c>
      <c r="FR29" s="6" t="inlineStr">
        <is>
          <t>To a great extent</t>
        </is>
      </c>
      <c r="FS29" s="6" t="inlineStr">
        <is>
          <t>Don’t know or not applicable</t>
        </is>
      </c>
      <c r="FT29" s="6" t="inlineStr">
        <is>
          <t>To a moderate extent</t>
        </is>
      </c>
      <c r="FU29" s="6" t="inlineStr">
        <is>
          <t>Don’t know or not applicable</t>
        </is>
      </c>
      <c r="FV29" s="6" t="n"/>
      <c r="FW29" s="6" t="inlineStr">
        <is>
          <t>The IMF should have dedicated more resources</t>
        </is>
      </c>
      <c r="FX29" s="6" t="n"/>
      <c r="FY29" s="6" t="inlineStr">
        <is>
          <t>To a great extent</t>
        </is>
      </c>
      <c r="FZ29" s="6" t="inlineStr">
        <is>
          <t>To a great extent</t>
        </is>
      </c>
      <c r="GA29" s="6" t="inlineStr">
        <is>
          <t>To a great extent</t>
        </is>
      </c>
      <c r="GB29" s="6" t="inlineStr">
        <is>
          <t>To a great extent</t>
        </is>
      </c>
      <c r="GC29" s="6" t="inlineStr">
        <is>
          <t>Don’t know or not applicable</t>
        </is>
      </c>
      <c r="GD29" s="6" t="n"/>
      <c r="GE29" s="6" t="inlineStr">
        <is>
          <t>To a moderate extent</t>
        </is>
      </c>
      <c r="GF29" s="6" t="inlineStr">
        <is>
          <t>To a great extent</t>
        </is>
      </c>
      <c r="GG29" s="6" t="inlineStr">
        <is>
          <t>To a moderate extent</t>
        </is>
      </c>
      <c r="GH29" s="6" t="inlineStr">
        <is>
          <t>To a slight extent</t>
        </is>
      </c>
      <c r="GI29" s="6" t="inlineStr">
        <is>
          <t>To a great extent</t>
        </is>
      </c>
      <c r="GJ29" s="6" t="inlineStr">
        <is>
          <t>To a moderate extent</t>
        </is>
      </c>
      <c r="GK29" s="6" t="inlineStr">
        <is>
          <t>Support or assistance by the IMF to GCF-access in any way possible, including country-specific assessments or analysis would be useful. Further, more awareness on any available climate-change data toolkits would be great. 
More specific and tailored trainings for central banks in small island developing countries, particularly in the supervision areas (such as climate-risk assessments, climate stress-testing, risk management relating to climate change issues\ etc.) and macroeconomic policy.  
For the Ministry of Finance other areas that need development and strengthening include fiscal risk quantification of climate change impacts, climate budget tagging and greening of public investment project management would be significantly valuable.</t>
        </is>
      </c>
      <c r="GL29" s="7">
        <f>DATE(2025,6,5)+TIME(17,54,52)</f>
        <v/>
      </c>
    </row>
    <row r="30" ht="47.25" customHeight="1">
      <c r="A30" s="3" t="inlineStr">
        <is>
          <t>Wei</t>
        </is>
      </c>
      <c r="B30" s="3" t="inlineStr">
        <is>
          <t>Reyes</t>
        </is>
      </c>
      <c r="C30" s="3" t="inlineStr">
        <is>
          <t>wreyes@organization.org</t>
        </is>
      </c>
      <c r="D30" s="3" t="inlineStr">
        <is>
          <t>33DVS0J1P</t>
        </is>
      </c>
      <c r="E30" s="3" t="n"/>
      <c r="F30" s="3" t="inlineStr">
        <is>
          <t>OEDSZ</t>
        </is>
      </c>
      <c r="G30" s="3" t="n"/>
      <c r="H30" s="3" t="n"/>
      <c r="I30" s="3" t="n"/>
      <c r="J30" s="3" t="n"/>
      <c r="K30" s="3" t="n"/>
      <c r="L30" s="3" t="n"/>
      <c r="M30" s="3" t="n"/>
      <c r="N30" s="3" t="n"/>
      <c r="O30" s="3" t="n"/>
      <c r="P30" s="3" t="n"/>
      <c r="Q30" s="3" t="n"/>
      <c r="R30" s="3" t="n"/>
      <c r="S30" s="3" t="n"/>
      <c r="T30" s="3" t="n"/>
      <c r="U30" s="3" t="n"/>
      <c r="V30" s="3" t="n"/>
      <c r="W30" s="3" t="n"/>
      <c r="X30" s="3" t="n"/>
      <c r="Y30" s="3" t="n"/>
      <c r="Z30" s="3" t="n"/>
      <c r="AA30" s="3" t="n"/>
      <c r="AB30" s="3" t="n"/>
      <c r="AC30" s="3" t="inlineStr">
        <is>
          <t>Kazakhstan</t>
        </is>
      </c>
      <c r="AD30" s="3" t="n"/>
      <c r="AE30" s="3" t="n"/>
      <c r="AF30" s="4" t="inlineStr">
        <is>
          <t>Kazakhstan</t>
        </is>
      </c>
      <c r="AG30" s="3" t="inlineStr">
        <is>
          <t>The IMF should engage a similar amount on climate change-related issues</t>
        </is>
      </c>
      <c r="AH30" s="3" t="inlineStr">
        <is>
          <t>To a great extent</t>
        </is>
      </c>
      <c r="AI30" s="3" t="inlineStr">
        <is>
          <t>To a moderate extent</t>
        </is>
      </c>
      <c r="AJ30" s="3" t="inlineStr">
        <is>
          <t>To a moderate extent</t>
        </is>
      </c>
      <c r="AK30" s="3" t="inlineStr">
        <is>
          <t>To a great extent</t>
        </is>
      </c>
      <c r="AL30" s="3" t="inlineStr">
        <is>
          <t>To a great extent</t>
        </is>
      </c>
      <c r="AM30" s="3" t="inlineStr">
        <is>
          <t>To a great extent</t>
        </is>
      </c>
      <c r="AN30" s="3" t="inlineStr">
        <is>
          <t>To a great extent</t>
        </is>
      </c>
      <c r="AO30" s="3" t="inlineStr">
        <is>
          <t>To a great extent</t>
        </is>
      </c>
      <c r="AP30" s="3" t="inlineStr">
        <is>
          <t>To a great extent</t>
        </is>
      </c>
      <c r="AQ30" s="3" t="inlineStr">
        <is>
          <t>To a great extent</t>
        </is>
      </c>
      <c r="AR30" s="3" t="inlineStr">
        <is>
          <t>To a great extent</t>
        </is>
      </c>
      <c r="AS30" s="3" t="n"/>
      <c r="AT30" s="3" t="inlineStr">
        <is>
          <t>To a moderate extent</t>
        </is>
      </c>
      <c r="AU30" s="3" t="inlineStr">
        <is>
          <t>To a moderate extent</t>
        </is>
      </c>
      <c r="AV30" s="3" t="inlineStr">
        <is>
          <t>To a slight extent</t>
        </is>
      </c>
      <c r="AW30" s="3" t="inlineStr">
        <is>
          <t>To a great extent</t>
        </is>
      </c>
      <c r="AX30" s="3" t="inlineStr">
        <is>
          <t>To a moderate extent</t>
        </is>
      </c>
      <c r="AY30" s="3" t="inlineStr">
        <is>
          <t>To a great extent</t>
        </is>
      </c>
      <c r="AZ30" s="3" t="inlineStr">
        <is>
          <t>To a moderate extent</t>
        </is>
      </c>
      <c r="BA30" s="3" t="inlineStr">
        <is>
          <t>To a slight extent</t>
        </is>
      </c>
      <c r="BB30" s="3" t="inlineStr">
        <is>
          <t>To a slight extent</t>
        </is>
      </c>
      <c r="BC30" s="3" t="inlineStr">
        <is>
          <t>To a slight extent</t>
        </is>
      </c>
      <c r="BD30" s="3" t="inlineStr">
        <is>
          <t>To a great extent</t>
        </is>
      </c>
      <c r="BE30" s="3" t="inlineStr">
        <is>
          <t>Not at all</t>
        </is>
      </c>
      <c r="BF30" s="3" t="inlineStr">
        <is>
          <t>Not at all</t>
        </is>
      </c>
      <c r="BG30" s="3" t="inlineStr">
        <is>
          <t>To a slight extent</t>
        </is>
      </c>
      <c r="BH30" s="3" t="inlineStr">
        <is>
          <t>To a slight extent</t>
        </is>
      </c>
      <c r="BI30" s="3" t="inlineStr">
        <is>
          <t>To a great extent</t>
        </is>
      </c>
      <c r="BJ30" s="3" t="inlineStr">
        <is>
          <t>To a moderate extent</t>
        </is>
      </c>
      <c r="BK30" s="3" t="inlineStr">
        <is>
          <t>Not at all</t>
        </is>
      </c>
      <c r="BL30" s="3" t="inlineStr">
        <is>
          <t>To a great extent</t>
        </is>
      </c>
      <c r="BM30" s="3" t="inlineStr">
        <is>
          <t>To a great extent</t>
        </is>
      </c>
      <c r="BN30" s="3" t="inlineStr">
        <is>
          <t>To a great extent</t>
        </is>
      </c>
      <c r="BO30" s="3" t="inlineStr">
        <is>
          <t>To a moderate extent</t>
        </is>
      </c>
      <c r="BP30" s="3" t="inlineStr">
        <is>
          <t>Not at all</t>
        </is>
      </c>
      <c r="BQ30" s="3" t="inlineStr">
        <is>
          <t>To a slight extent</t>
        </is>
      </c>
      <c r="BR30" s="3" t="inlineStr">
        <is>
          <t>Don’t know or not applicable</t>
        </is>
      </c>
      <c r="BS30" s="3" t="n"/>
      <c r="BT30" s="3" t="inlineStr">
        <is>
          <t>The IMF dedicated an appropriate amount of resources</t>
        </is>
      </c>
      <c r="BU30" s="3" t="inlineStr">
        <is>
          <t>To a great extent</t>
        </is>
      </c>
      <c r="BV30" s="3" t="inlineStr">
        <is>
          <t>To a great extent</t>
        </is>
      </c>
      <c r="BW30" s="3" t="inlineStr">
        <is>
          <t>To a great extent</t>
        </is>
      </c>
      <c r="BX30" s="3" t="inlineStr">
        <is>
          <t>To a great extent</t>
        </is>
      </c>
      <c r="BY30" s="3" t="inlineStr">
        <is>
          <t>To a great extent</t>
        </is>
      </c>
      <c r="BZ30" s="3" t="inlineStr">
        <is>
          <t>To a great extent</t>
        </is>
      </c>
      <c r="CA30" s="3" t="inlineStr">
        <is>
          <t>To a moderate extent</t>
        </is>
      </c>
      <c r="CB30" s="3" t="inlineStr">
        <is>
          <t>To a moderate extent</t>
        </is>
      </c>
      <c r="CC30" s="3" t="inlineStr">
        <is>
          <t>To a moderate extent</t>
        </is>
      </c>
      <c r="CD30" s="3" t="inlineStr">
        <is>
          <t>To a great extent</t>
        </is>
      </c>
      <c r="CE30" s="3" t="inlineStr">
        <is>
          <t>To a great extent</t>
        </is>
      </c>
      <c r="CF30" s="3" t="inlineStr">
        <is>
          <t>To a great extent</t>
        </is>
      </c>
      <c r="CG30" s="3" t="n"/>
      <c r="CH30" s="3" t="inlineStr">
        <is>
          <t>No</t>
        </is>
      </c>
      <c r="CI30" s="3" t="inlineStr">
        <is>
          <t>No</t>
        </is>
      </c>
      <c r="CJ30" s="3" t="n"/>
      <c r="CK30" s="3" t="n"/>
      <c r="CL30" s="3" t="n"/>
      <c r="CM30" s="3" t="n"/>
      <c r="CN30" s="3" t="n"/>
      <c r="CO30" s="3" t="n"/>
      <c r="CP30" s="3" t="n"/>
      <c r="CQ30" s="3" t="n"/>
      <c r="CR30" s="3" t="n"/>
      <c r="CS30" s="3" t="n"/>
      <c r="CT30" s="3" t="n"/>
      <c r="CU30" s="3" t="n"/>
      <c r="CV30" s="3" t="n"/>
      <c r="CW30" s="3" t="n"/>
      <c r="CX30" s="3" t="n"/>
      <c r="CY30" s="3" t="n"/>
      <c r="CZ30" s="3" t="n"/>
      <c r="DA30" s="3" t="n"/>
      <c r="DB30" s="3" t="n"/>
      <c r="DC30" s="3" t="n"/>
      <c r="DD30" s="3" t="n"/>
      <c r="DE30" s="3" t="n"/>
      <c r="DF30" s="3" t="n"/>
      <c r="DG30" s="3" t="n"/>
      <c r="DH30" s="3" t="n"/>
      <c r="DI30" s="3" t="n"/>
      <c r="DJ30" s="3" t="n"/>
      <c r="DK30" s="3" t="n"/>
      <c r="DL30" s="3" t="n"/>
      <c r="DM30" s="3" t="n"/>
      <c r="DN30" s="3" t="n"/>
      <c r="DO30" s="3" t="n"/>
      <c r="DP30" s="3" t="n"/>
      <c r="DQ30" s="3" t="inlineStr">
        <is>
          <t>Climate change does not pose a major balance of payments risk in my country</t>
        </is>
      </c>
      <c r="DR30" s="3" t="n"/>
      <c r="DS30" s="3" t="n"/>
      <c r="DT30" s="3" t="n"/>
      <c r="DU30" s="3" t="n"/>
      <c r="DV30" s="3" t="n"/>
      <c r="DW30" s="3" t="inlineStr">
        <is>
          <t>No</t>
        </is>
      </c>
      <c r="DX30" s="3" t="n"/>
      <c r="DY30" s="3" t="n"/>
      <c r="DZ30" s="3" t="n"/>
      <c r="EA30" s="3" t="n"/>
      <c r="EB30" s="3" t="n"/>
      <c r="EC30" s="3" t="n"/>
      <c r="ED30" s="3" t="n"/>
      <c r="EE30" s="3" t="n"/>
      <c r="EF30" s="3" t="inlineStr">
        <is>
          <t>To a great extent</t>
        </is>
      </c>
      <c r="EG30" s="3" t="inlineStr">
        <is>
          <t>To a moderate extent</t>
        </is>
      </c>
      <c r="EH30" s="3" t="inlineStr">
        <is>
          <t>To a moderate extent</t>
        </is>
      </c>
      <c r="EI30" s="3" t="inlineStr">
        <is>
          <t>To a moderate extent</t>
        </is>
      </c>
      <c r="EJ30" s="3" t="inlineStr">
        <is>
          <t>To a moderate extent</t>
        </is>
      </c>
      <c r="EK30" s="3" t="inlineStr">
        <is>
          <t>To a slight extent</t>
        </is>
      </c>
      <c r="EL30" s="3" t="inlineStr">
        <is>
          <t>To a moderate extent</t>
        </is>
      </c>
      <c r="EM30" s="3" t="n"/>
      <c r="EN30" s="3" t="n"/>
      <c r="EO30" s="3" t="n"/>
      <c r="EP30" s="3" t="n"/>
      <c r="EQ30" s="3" t="inlineStr">
        <is>
          <t>Not at all</t>
        </is>
      </c>
      <c r="ER30" s="3" t="inlineStr">
        <is>
          <t>To a slight extent</t>
        </is>
      </c>
      <c r="ES30" s="3" t="n"/>
      <c r="ET30" s="3" t="n"/>
      <c r="EU30" s="3" t="n"/>
      <c r="EV30" s="3" t="n"/>
      <c r="EW30" s="3" t="n"/>
      <c r="EX30" s="3" t="n"/>
      <c r="EY30" s="3" t="n"/>
      <c r="EZ30" s="3" t="n"/>
      <c r="FA30" s="3" t="n"/>
      <c r="FB30" s="3" t="n"/>
      <c r="FC30" s="3" t="n"/>
      <c r="FD30" s="3" t="n"/>
      <c r="FE30" s="3" t="n"/>
      <c r="FF30" s="3" t="n"/>
      <c r="FG30" s="3" t="n"/>
      <c r="FH30" s="3" t="inlineStr">
        <is>
          <t>To a moderate extent</t>
        </is>
      </c>
      <c r="FI30" s="3" t="inlineStr">
        <is>
          <t>To a moderate extent</t>
        </is>
      </c>
      <c r="FJ30" s="3" t="inlineStr">
        <is>
          <t>To a moderate extent</t>
        </is>
      </c>
      <c r="FK30" s="3" t="inlineStr">
        <is>
          <t>To a moderate extent</t>
        </is>
      </c>
      <c r="FL30" s="3" t="inlineStr">
        <is>
          <t>To a moderate extent</t>
        </is>
      </c>
      <c r="FM30" s="3" t="inlineStr">
        <is>
          <t>To a moderate extent</t>
        </is>
      </c>
      <c r="FN30" s="3" t="inlineStr">
        <is>
          <t>Don’t know or not applicable</t>
        </is>
      </c>
      <c r="FO30" s="3" t="inlineStr">
        <is>
          <t>To a moderate extent</t>
        </is>
      </c>
      <c r="FP30" s="3" t="inlineStr">
        <is>
          <t>To a moderate extent</t>
        </is>
      </c>
      <c r="FQ30" s="3" t="inlineStr">
        <is>
          <t>To a moderate extent</t>
        </is>
      </c>
      <c r="FR30" s="3" t="inlineStr">
        <is>
          <t>Don’t know or not applicable</t>
        </is>
      </c>
      <c r="FS30" s="3" t="inlineStr">
        <is>
          <t>Don’t know or not applicable</t>
        </is>
      </c>
      <c r="FT30" s="3" t="inlineStr">
        <is>
          <t>Don’t know or not applicable</t>
        </is>
      </c>
      <c r="FU30" s="3" t="inlineStr">
        <is>
          <t>Don’t know or not applicable</t>
        </is>
      </c>
      <c r="FV30" s="3" t="n"/>
      <c r="FW30" s="3" t="inlineStr">
        <is>
          <t>The IMF dedicated the appropriate amount of resources</t>
        </is>
      </c>
      <c r="FX30" s="3" t="n"/>
      <c r="FY30" s="3" t="inlineStr">
        <is>
          <t>To a moderate extent</t>
        </is>
      </c>
      <c r="FZ30" s="3" t="inlineStr">
        <is>
          <t>To a moderate extent</t>
        </is>
      </c>
      <c r="GA30" s="3" t="inlineStr">
        <is>
          <t>To a great extent</t>
        </is>
      </c>
      <c r="GB30" s="3" t="inlineStr">
        <is>
          <t>To a moderate extent</t>
        </is>
      </c>
      <c r="GC30" s="3" t="n"/>
      <c r="GD30" s="3" t="n"/>
      <c r="GE30" s="3" t="inlineStr">
        <is>
          <t>To a great extent</t>
        </is>
      </c>
      <c r="GF30" s="3" t="inlineStr">
        <is>
          <t>To a moderate extent</t>
        </is>
      </c>
      <c r="GG30" s="3" t="inlineStr">
        <is>
          <t>To a great extent</t>
        </is>
      </c>
      <c r="GH30" s="3" t="inlineStr">
        <is>
          <t>To a moderate extent</t>
        </is>
      </c>
      <c r="GI30" s="3" t="inlineStr">
        <is>
          <t>To a great extent</t>
        </is>
      </c>
      <c r="GJ30" s="3" t="inlineStr">
        <is>
          <t>To a great extent</t>
        </is>
      </c>
      <c r="GK30" s="3" t="n"/>
      <c r="GL30" s="5">
        <f>DATE(2025,6,9)+TIME(17,7,8)</f>
        <v/>
      </c>
    </row>
    <row r="31" ht="409.5" customHeight="1">
      <c r="A31" s="6" t="inlineStr">
        <is>
          <t>Jin</t>
        </is>
      </c>
      <c r="B31" s="6" t="inlineStr">
        <is>
          <t>Janssen</t>
        </is>
      </c>
      <c r="C31" s="6" t="inlineStr">
        <is>
          <t>jjanssen@organization.org</t>
        </is>
      </c>
      <c r="D31" s="6" t="inlineStr">
        <is>
          <t>R28PP9GKD</t>
        </is>
      </c>
      <c r="E31" s="6" t="n"/>
      <c r="F31" s="6" t="inlineStr">
        <is>
          <t>OEDCO</t>
        </is>
      </c>
      <c r="G31" s="6" t="n"/>
      <c r="H31" s="6" t="n"/>
      <c r="I31" s="6" t="n"/>
      <c r="J31" s="6" t="n"/>
      <c r="K31" s="6" t="n"/>
      <c r="L31" s="6" t="n"/>
      <c r="M31" s="6" t="n"/>
      <c r="N31" s="6" t="n"/>
      <c r="O31" s="6" t="inlineStr">
        <is>
          <t>Barbados</t>
        </is>
      </c>
      <c r="P31" s="6" t="n"/>
      <c r="Q31" s="6" t="n"/>
      <c r="R31" s="6" t="n"/>
      <c r="S31" s="6" t="n"/>
      <c r="T31" s="6" t="n"/>
      <c r="U31" s="6" t="n"/>
      <c r="V31" s="6" t="n"/>
      <c r="W31" s="6" t="n"/>
      <c r="X31" s="6" t="n"/>
      <c r="Y31" s="6" t="n"/>
      <c r="Z31" s="6" t="n"/>
      <c r="AA31" s="6" t="n"/>
      <c r="AB31" s="6" t="n"/>
      <c r="AC31" s="6" t="n"/>
      <c r="AD31" s="6" t="n"/>
      <c r="AE31" s="6" t="n"/>
      <c r="AF31" s="4" t="inlineStr">
        <is>
          <t>Barbados</t>
        </is>
      </c>
      <c r="AG31" s="6" t="inlineStr">
        <is>
          <t>The IMF should engage more on climate change-related issues</t>
        </is>
      </c>
      <c r="AH31" s="6" t="inlineStr">
        <is>
          <t>To a great extent</t>
        </is>
      </c>
      <c r="AI31" s="6" t="inlineStr">
        <is>
          <t>To a moderate extent</t>
        </is>
      </c>
      <c r="AJ31" s="6" t="inlineStr">
        <is>
          <t>To a moderate extent</t>
        </is>
      </c>
      <c r="AK31" s="6" t="inlineStr">
        <is>
          <t>To a great extent</t>
        </is>
      </c>
      <c r="AL31" s="6" t="inlineStr">
        <is>
          <t>To a moderate extent</t>
        </is>
      </c>
      <c r="AM31" s="6" t="inlineStr">
        <is>
          <t>To a great extent</t>
        </is>
      </c>
      <c r="AN31" s="6" t="inlineStr">
        <is>
          <t>To a moderate extent</t>
        </is>
      </c>
      <c r="AO31" s="6" t="inlineStr">
        <is>
          <t>To a great extent</t>
        </is>
      </c>
      <c r="AP31" s="6" t="inlineStr">
        <is>
          <t>To a great extent</t>
        </is>
      </c>
      <c r="AQ31" s="6" t="inlineStr">
        <is>
          <t>To a moderate extent</t>
        </is>
      </c>
      <c r="AR31" s="6" t="inlineStr">
        <is>
          <t>To a great extent</t>
        </is>
      </c>
      <c r="AS31" s="6" t="n"/>
      <c r="AT31" s="6" t="inlineStr">
        <is>
          <t>To a great extent</t>
        </is>
      </c>
      <c r="AU31" s="6" t="inlineStr">
        <is>
          <t>To a moderate extent</t>
        </is>
      </c>
      <c r="AV31" s="6" t="inlineStr">
        <is>
          <t>Not at all</t>
        </is>
      </c>
      <c r="AW31" s="6" t="inlineStr">
        <is>
          <t>To a great extent</t>
        </is>
      </c>
      <c r="AX31" s="6" t="inlineStr">
        <is>
          <t>To a great extent</t>
        </is>
      </c>
      <c r="AY31" s="6" t="inlineStr">
        <is>
          <t>To a great extent</t>
        </is>
      </c>
      <c r="AZ31" s="6" t="inlineStr">
        <is>
          <t>To a moderate extent</t>
        </is>
      </c>
      <c r="BA31" s="6" t="inlineStr">
        <is>
          <t>Not at all</t>
        </is>
      </c>
      <c r="BB31" s="6" t="inlineStr">
        <is>
          <t>To a moderate extent</t>
        </is>
      </c>
      <c r="BC31" s="6" t="inlineStr">
        <is>
          <t>To a moderate extent</t>
        </is>
      </c>
      <c r="BD31" s="6" t="inlineStr">
        <is>
          <t>To a moderate extent</t>
        </is>
      </c>
      <c r="BE31" s="6" t="inlineStr">
        <is>
          <t>To a great extent</t>
        </is>
      </c>
      <c r="BF31" s="6" t="inlineStr">
        <is>
          <t>Not at all</t>
        </is>
      </c>
      <c r="BG31" s="6" t="inlineStr">
        <is>
          <t>To a moderate extent</t>
        </is>
      </c>
      <c r="BH31" s="6" t="inlineStr">
        <is>
          <t>To a moderate extent</t>
        </is>
      </c>
      <c r="BI31" s="6" t="inlineStr">
        <is>
          <t>To a moderate extent</t>
        </is>
      </c>
      <c r="BJ31" s="6" t="inlineStr">
        <is>
          <t>To a moderate extent</t>
        </is>
      </c>
      <c r="BK31" s="6" t="inlineStr">
        <is>
          <t>Not at all</t>
        </is>
      </c>
      <c r="BL31" s="6" t="inlineStr">
        <is>
          <t>To a moderate extent</t>
        </is>
      </c>
      <c r="BM31" s="6" t="inlineStr">
        <is>
          <t>To a moderate extent</t>
        </is>
      </c>
      <c r="BN31" s="6" t="inlineStr">
        <is>
          <t>To a moderate extent</t>
        </is>
      </c>
      <c r="BO31" s="6" t="inlineStr">
        <is>
          <t>To a great extent</t>
        </is>
      </c>
      <c r="BP31" s="6" t="inlineStr">
        <is>
          <t>To a slight extent</t>
        </is>
      </c>
      <c r="BQ31" s="6" t="inlineStr">
        <is>
          <t>To a slight extent</t>
        </is>
      </c>
      <c r="BR31" s="6" t="n"/>
      <c r="BS31" s="6" t="n"/>
      <c r="BT31" s="6" t="inlineStr">
        <is>
          <t>The IMF should have dedicated more resources</t>
        </is>
      </c>
      <c r="BU31" s="6" t="inlineStr">
        <is>
          <t>To a great extent</t>
        </is>
      </c>
      <c r="BV31" s="6" t="inlineStr">
        <is>
          <t>To a moderate extent</t>
        </is>
      </c>
      <c r="BW31" s="6" t="inlineStr">
        <is>
          <t>To a great extent</t>
        </is>
      </c>
      <c r="BX31" s="6" t="inlineStr">
        <is>
          <t>To a great extent</t>
        </is>
      </c>
      <c r="BY31" s="6" t="inlineStr">
        <is>
          <t>To a moderate extent</t>
        </is>
      </c>
      <c r="BZ31" s="6" t="inlineStr">
        <is>
          <t>To a great extent</t>
        </is>
      </c>
      <c r="CA31" s="6" t="inlineStr">
        <is>
          <t>To a great extent</t>
        </is>
      </c>
      <c r="CB31" s="6" t="inlineStr">
        <is>
          <t>To a great extent</t>
        </is>
      </c>
      <c r="CC31" s="6" t="inlineStr">
        <is>
          <t>To a great extent</t>
        </is>
      </c>
      <c r="CD31" s="6" t="inlineStr">
        <is>
          <t>To a great extent</t>
        </is>
      </c>
      <c r="CE31" s="6" t="inlineStr">
        <is>
          <t>To a moderate extent</t>
        </is>
      </c>
      <c r="CF31" s="6" t="inlineStr">
        <is>
          <t>To a great extent</t>
        </is>
      </c>
      <c r="CG31" s="6" t="n"/>
      <c r="CH31" s="6" t="inlineStr">
        <is>
          <t>Yes</t>
        </is>
      </c>
      <c r="CI31" s="6" t="inlineStr">
        <is>
          <t>Yes</t>
        </is>
      </c>
      <c r="CJ31" s="6" t="inlineStr">
        <is>
          <t>To a great extent</t>
        </is>
      </c>
      <c r="CK31" s="6" t="inlineStr">
        <is>
          <t>To a great extent</t>
        </is>
      </c>
      <c r="CL31" s="6" t="inlineStr">
        <is>
          <t>To a great extent</t>
        </is>
      </c>
      <c r="CM31" s="6" t="inlineStr">
        <is>
          <t>To a great extent</t>
        </is>
      </c>
      <c r="CN31" s="6" t="inlineStr">
        <is>
          <t>To a great extent</t>
        </is>
      </c>
      <c r="CO31" s="6" t="inlineStr">
        <is>
          <t>To a moderate extent</t>
        </is>
      </c>
      <c r="CP31" s="6" t="inlineStr">
        <is>
          <t>To a slight extent</t>
        </is>
      </c>
      <c r="CQ31" s="6" t="inlineStr">
        <is>
          <t>To a moderate extent</t>
        </is>
      </c>
      <c r="CR31" s="6" t="inlineStr">
        <is>
          <t>To a slight extent</t>
        </is>
      </c>
      <c r="CS31" s="6" t="inlineStr">
        <is>
          <t>To a great extent</t>
        </is>
      </c>
      <c r="CT31" s="6" t="inlineStr">
        <is>
          <t>To a moderate extent</t>
        </is>
      </c>
      <c r="CU31" s="6" t="inlineStr">
        <is>
          <t>To a great extent</t>
        </is>
      </c>
      <c r="CV31" s="6" t="inlineStr">
        <is>
          <t>Not at all</t>
        </is>
      </c>
      <c r="CW31" s="6" t="inlineStr">
        <is>
          <t>To a great extent</t>
        </is>
      </c>
      <c r="CX31" s="6" t="inlineStr">
        <is>
          <t>To a moderate extent</t>
        </is>
      </c>
      <c r="CY31" s="6" t="inlineStr">
        <is>
          <t>To a great extent</t>
        </is>
      </c>
      <c r="CZ31" s="6" t="inlineStr">
        <is>
          <t>To a great extent</t>
        </is>
      </c>
      <c r="DA31" s="6" t="inlineStr">
        <is>
          <t>To a great extent</t>
        </is>
      </c>
      <c r="DB31" s="6" t="n"/>
      <c r="DC31" s="6" t="n"/>
      <c r="DD31" s="6" t="n"/>
      <c r="DE31" s="6" t="n"/>
      <c r="DF31" s="6" t="inlineStr">
        <is>
          <t>Climate change-related policies</t>
        </is>
      </c>
      <c r="DG31" s="6" t="n"/>
      <c r="DH31" s="6" t="inlineStr">
        <is>
          <t>To a great extent</t>
        </is>
      </c>
      <c r="DI31" s="6" t="inlineStr">
        <is>
          <t>To a great extent</t>
        </is>
      </c>
      <c r="DJ31" s="6" t="inlineStr">
        <is>
          <t>To a great extent</t>
        </is>
      </c>
      <c r="DK31" s="6" t="inlineStr">
        <is>
          <t>To a great extent</t>
        </is>
      </c>
      <c r="DL31" s="6" t="inlineStr">
        <is>
          <t>To a moderate extent</t>
        </is>
      </c>
      <c r="DM31" s="6" t="inlineStr">
        <is>
          <t>To a slight extent</t>
        </is>
      </c>
      <c r="DN31" s="6" t="n"/>
      <c r="DO31" s="6" t="n"/>
      <c r="DP31" s="6" t="n"/>
      <c r="DQ31" s="6" t="n"/>
      <c r="DR31" s="6" t="n"/>
      <c r="DS31" s="6" t="n"/>
      <c r="DT31" s="6" t="n"/>
      <c r="DU31" s="6" t="n"/>
      <c r="DV31" s="6" t="n"/>
      <c r="DW31" s="6" t="inlineStr">
        <is>
          <t>Yes</t>
        </is>
      </c>
      <c r="DX31" s="6" t="n"/>
      <c r="DY31" s="6" t="inlineStr">
        <is>
          <t>Regional development banks</t>
        </is>
      </c>
      <c r="DZ31" s="6" t="n"/>
      <c r="EA31" s="6" t="n"/>
      <c r="EB31" s="6" t="n"/>
      <c r="EC31" s="6" t="inlineStr">
        <is>
          <t>To a great extent</t>
        </is>
      </c>
      <c r="ED31" s="6" t="inlineStr">
        <is>
          <t>To a great extent</t>
        </is>
      </c>
      <c r="EE31" s="6" t="inlineStr">
        <is>
          <t>To a great extent</t>
        </is>
      </c>
      <c r="EF31" s="6" t="inlineStr">
        <is>
          <t>Not at all</t>
        </is>
      </c>
      <c r="EG31" s="6" t="inlineStr">
        <is>
          <t>Not at all</t>
        </is>
      </c>
      <c r="EH31" s="6" t="inlineStr">
        <is>
          <t>Don’t know or not applicable</t>
        </is>
      </c>
      <c r="EI31" s="6" t="inlineStr">
        <is>
          <t>To a great extent</t>
        </is>
      </c>
      <c r="EJ31" s="6" t="inlineStr">
        <is>
          <t>To a great extent</t>
        </is>
      </c>
      <c r="EK31" s="6" t="inlineStr">
        <is>
          <t>To a great extent</t>
        </is>
      </c>
      <c r="EL31" s="6" t="inlineStr">
        <is>
          <t>To a great extent</t>
        </is>
      </c>
      <c r="EM31" s="6" t="inlineStr">
        <is>
          <t>To a slight extent</t>
        </is>
      </c>
      <c r="EN31" s="6" t="inlineStr">
        <is>
          <t>Not at all</t>
        </is>
      </c>
      <c r="EO31" s="6" t="inlineStr">
        <is>
          <t>Not at all</t>
        </is>
      </c>
      <c r="EP31" s="6" t="n"/>
      <c r="EQ31" s="6" t="inlineStr">
        <is>
          <t>To a moderate extent</t>
        </is>
      </c>
      <c r="ER31" s="6" t="inlineStr">
        <is>
          <t>To a slight extent</t>
        </is>
      </c>
      <c r="ES31" s="6" t="n"/>
      <c r="ET31" s="6" t="inlineStr">
        <is>
          <t>To a moderate extent</t>
        </is>
      </c>
      <c r="EU31" s="6" t="inlineStr">
        <is>
          <t>To a moderate extent</t>
        </is>
      </c>
      <c r="EV31" s="6" t="inlineStr">
        <is>
          <t>To a moderate extent</t>
        </is>
      </c>
      <c r="EW31" s="6" t="n"/>
      <c r="EX31" s="6" t="n"/>
      <c r="EY31" s="6" t="inlineStr">
        <is>
          <t>To a slight extent</t>
        </is>
      </c>
      <c r="EZ31" s="6" t="inlineStr">
        <is>
          <t>Not at all</t>
        </is>
      </c>
      <c r="FA31" s="6" t="inlineStr">
        <is>
          <t>To a slight extent</t>
        </is>
      </c>
      <c r="FB31" s="6" t="inlineStr">
        <is>
          <t>To a moderate extent</t>
        </is>
      </c>
      <c r="FC31" s="6" t="inlineStr">
        <is>
          <t>To a moderate extent</t>
        </is>
      </c>
      <c r="FD31" s="6" t="inlineStr">
        <is>
          <t>To a moderate extent</t>
        </is>
      </c>
      <c r="FE31" s="6" t="inlineStr">
        <is>
          <t>To a moderate extent</t>
        </is>
      </c>
      <c r="FF31" s="6" t="inlineStr">
        <is>
          <t>To a slight extent</t>
        </is>
      </c>
      <c r="FG31" s="6" t="inlineStr">
        <is>
          <t>Not at all</t>
        </is>
      </c>
      <c r="FH31" s="6" t="inlineStr">
        <is>
          <t>To a moderate extent</t>
        </is>
      </c>
      <c r="FI31" s="6" t="inlineStr">
        <is>
          <t>To a moderate extent</t>
        </is>
      </c>
      <c r="FJ31" s="6" t="inlineStr">
        <is>
          <t>To a slight extent</t>
        </is>
      </c>
      <c r="FK31" s="6" t="inlineStr">
        <is>
          <t>To a slight extent</t>
        </is>
      </c>
      <c r="FL31" s="6" t="inlineStr">
        <is>
          <t>To a moderate extent</t>
        </is>
      </c>
      <c r="FM31" s="6" t="inlineStr">
        <is>
          <t>To a slight extent</t>
        </is>
      </c>
      <c r="FN31" s="6" t="inlineStr">
        <is>
          <t>To a slight extent</t>
        </is>
      </c>
      <c r="FO31" s="6" t="inlineStr">
        <is>
          <t>To a moderate extent</t>
        </is>
      </c>
      <c r="FP31" s="6" t="inlineStr">
        <is>
          <t>To a slight extent</t>
        </is>
      </c>
      <c r="FQ31" s="6" t="inlineStr">
        <is>
          <t>Not at all</t>
        </is>
      </c>
      <c r="FR31" s="6" t="inlineStr">
        <is>
          <t>To a great extent</t>
        </is>
      </c>
      <c r="FS31" s="6" t="inlineStr">
        <is>
          <t>To a slight extent</t>
        </is>
      </c>
      <c r="FT31" s="6" t="inlineStr">
        <is>
          <t>Not at all</t>
        </is>
      </c>
      <c r="FU31" s="6" t="n"/>
      <c r="FV31" s="6" t="n"/>
      <c r="FW31" s="6" t="inlineStr">
        <is>
          <t>The IMF should have dedicated more resources</t>
        </is>
      </c>
      <c r="FX31" s="6" t="n"/>
      <c r="FY31" s="6" t="inlineStr">
        <is>
          <t>To a great extent</t>
        </is>
      </c>
      <c r="FZ31" s="6" t="inlineStr">
        <is>
          <t>To a great extent</t>
        </is>
      </c>
      <c r="GA31" s="6" t="inlineStr">
        <is>
          <t>To a moderate extent</t>
        </is>
      </c>
      <c r="GB31" s="6" t="inlineStr">
        <is>
          <t>To a great extent</t>
        </is>
      </c>
      <c r="GC31" s="6" t="n"/>
      <c r="GD31" s="6" t="n"/>
      <c r="GE31" s="6" t="inlineStr">
        <is>
          <t>To a slight extent</t>
        </is>
      </c>
      <c r="GF31" s="6" t="inlineStr">
        <is>
          <t>To a great extent</t>
        </is>
      </c>
      <c r="GG31" s="6" t="inlineStr">
        <is>
          <t>To a great extent</t>
        </is>
      </c>
      <c r="GH31" s="6" t="inlineStr">
        <is>
          <t>To a slight extent</t>
        </is>
      </c>
      <c r="GI31" s="6" t="inlineStr">
        <is>
          <t>To a great extent</t>
        </is>
      </c>
      <c r="GJ31" s="6" t="inlineStr">
        <is>
          <t>To a great extent</t>
        </is>
      </c>
      <c r="GK31" s="6" t="inlineStr">
        <is>
          <t>Barbados's Prime Minister has consistently supported the IMF's work on climate change and was the first to formally request the Resilience and Sustainability Facility (RSF). Barbados continues to commend the IMF for conceptualizing the RSF. Barbados has been a leading advocate for the IMF to adopt a more proactive and equitable approach in addressing climate change, particularly for vulnerable small island developing states. the authorities continue to emphasize the need for the IMF to integrate climate considerations into its lending frameworks and to allow countries recovering from climate-induced disasters to pause debt payments, facilitating faster recovery and resilience building.</t>
        </is>
      </c>
      <c r="GL31" s="7">
        <f>DATE(2025,5,29)+TIME(10,41,9)</f>
        <v/>
      </c>
    </row>
    <row r="32" ht="47.25" customFormat="1" customHeight="1" s="9">
      <c r="A32" s="8" t="inlineStr">
        <is>
          <t>Ahmed</t>
        </is>
      </c>
      <c r="B32" s="8" t="inlineStr">
        <is>
          <t>Costa</t>
        </is>
      </c>
      <c r="C32" s="8" t="inlineStr">
        <is>
          <t>acosta@organization.org</t>
        </is>
      </c>
      <c r="D32" s="8" t="inlineStr">
        <is>
          <t>AIR9AF00P</t>
        </is>
      </c>
      <c r="E32" s="8" t="n"/>
      <c r="F32" s="8" t="inlineStr">
        <is>
          <t>OEDAW</t>
        </is>
      </c>
      <c r="G32" s="3" t="n"/>
      <c r="H32" s="3" t="n"/>
      <c r="I32" s="3" t="n"/>
      <c r="J32" s="3" t="n"/>
      <c r="K32" s="3" t="inlineStr">
        <is>
          <t>Nigeria</t>
        </is>
      </c>
      <c r="L32" s="3" t="n"/>
      <c r="M32" s="3" t="n"/>
      <c r="N32" s="3" t="n"/>
      <c r="O32" s="3" t="n"/>
      <c r="P32" s="3" t="n"/>
      <c r="Q32" s="3" t="n"/>
      <c r="R32" s="3" t="n"/>
      <c r="S32" s="3" t="n"/>
      <c r="T32" s="3" t="n"/>
      <c r="U32" s="3" t="n"/>
      <c r="V32" s="3" t="n"/>
      <c r="W32" s="3" t="n"/>
      <c r="X32" s="3" t="n"/>
      <c r="Y32" s="3" t="n"/>
      <c r="Z32" s="3" t="n"/>
      <c r="AA32" s="3" t="n"/>
      <c r="AB32" s="3" t="n"/>
      <c r="AC32" s="3" t="n"/>
      <c r="AD32" s="3" t="n"/>
      <c r="AE32" s="3" t="n"/>
      <c r="AF32" s="9" t="inlineStr">
        <is>
          <t>Nigeria</t>
        </is>
      </c>
      <c r="AG32" s="8" t="inlineStr">
        <is>
          <t>The IMF should engage more on climate change-related issues</t>
        </is>
      </c>
      <c r="AH32" s="8" t="inlineStr">
        <is>
          <t>To a slight extent</t>
        </is>
      </c>
      <c r="AI32" s="8" t="inlineStr">
        <is>
          <t>To a moderate extent</t>
        </is>
      </c>
      <c r="AJ32" s="8" t="inlineStr">
        <is>
          <t>To a great extent</t>
        </is>
      </c>
      <c r="AK32" s="8" t="inlineStr">
        <is>
          <t>To a great extent</t>
        </is>
      </c>
      <c r="AL32" s="8" t="inlineStr">
        <is>
          <t>To a moderate extent</t>
        </is>
      </c>
      <c r="AM32" s="8" t="inlineStr">
        <is>
          <t>Don’t know or not applicable</t>
        </is>
      </c>
      <c r="AN32" s="8" t="inlineStr">
        <is>
          <t>To a great extent</t>
        </is>
      </c>
      <c r="AO32" s="8" t="inlineStr">
        <is>
          <t>To a moderate extent</t>
        </is>
      </c>
      <c r="AP32" s="8" t="inlineStr">
        <is>
          <t>To a great extent</t>
        </is>
      </c>
      <c r="AQ32" s="8" t="inlineStr">
        <is>
          <t>To a moderate extent</t>
        </is>
      </c>
      <c r="AR32" s="8" t="inlineStr">
        <is>
          <t>To a moderate extent</t>
        </is>
      </c>
      <c r="AS32" s="8" t="n"/>
      <c r="AT32" s="8" t="inlineStr">
        <is>
          <t>To a great extent</t>
        </is>
      </c>
      <c r="AU32" s="8" t="inlineStr">
        <is>
          <t>To a great extent</t>
        </is>
      </c>
      <c r="AV32" s="8" t="inlineStr">
        <is>
          <t>Not at all</t>
        </is>
      </c>
      <c r="AW32" s="8" t="inlineStr">
        <is>
          <t>To a moderate extent</t>
        </is>
      </c>
      <c r="AX32" s="8" t="inlineStr">
        <is>
          <t>To a moderate extent</t>
        </is>
      </c>
      <c r="AY32" s="8" t="inlineStr">
        <is>
          <t>To a moderate extent</t>
        </is>
      </c>
      <c r="AZ32" s="8" t="inlineStr">
        <is>
          <t>To a moderate extent</t>
        </is>
      </c>
      <c r="BA32" s="8" t="inlineStr">
        <is>
          <t>To a slight extent</t>
        </is>
      </c>
      <c r="BB32" s="8" t="inlineStr">
        <is>
          <t>To a moderate extent</t>
        </is>
      </c>
      <c r="BC32" s="8" t="inlineStr">
        <is>
          <t>To a moderate extent</t>
        </is>
      </c>
      <c r="BD32" s="8" t="inlineStr">
        <is>
          <t>To a moderate extent</t>
        </is>
      </c>
      <c r="BE32" s="8" t="inlineStr">
        <is>
          <t>To a slight extent</t>
        </is>
      </c>
      <c r="BF32" s="8" t="inlineStr">
        <is>
          <t>Not at all</t>
        </is>
      </c>
      <c r="BG32" s="8" t="inlineStr">
        <is>
          <t>To a moderate extent</t>
        </is>
      </c>
      <c r="BH32" s="8" t="inlineStr">
        <is>
          <t>To a moderate extent</t>
        </is>
      </c>
      <c r="BI32" s="8" t="inlineStr">
        <is>
          <t>To a moderate extent</t>
        </is>
      </c>
      <c r="BJ32" s="8" t="inlineStr">
        <is>
          <t>To a great extent</t>
        </is>
      </c>
      <c r="BK32" s="8" t="inlineStr">
        <is>
          <t>Not at all</t>
        </is>
      </c>
      <c r="BL32" s="8" t="inlineStr">
        <is>
          <t>To a moderate extent</t>
        </is>
      </c>
      <c r="BM32" s="8" t="inlineStr">
        <is>
          <t>To a slight extent</t>
        </is>
      </c>
      <c r="BN32" s="8" t="inlineStr">
        <is>
          <t>Not at all</t>
        </is>
      </c>
      <c r="BO32" s="8" t="inlineStr">
        <is>
          <t>To a great extent</t>
        </is>
      </c>
      <c r="BP32" s="8" t="inlineStr">
        <is>
          <t>To a moderate extent</t>
        </is>
      </c>
      <c r="BQ32" s="8" t="inlineStr">
        <is>
          <t>To a great extent</t>
        </is>
      </c>
      <c r="BR32" s="8" t="inlineStr">
        <is>
          <t>To a moderate extent</t>
        </is>
      </c>
      <c r="BS32" s="8" t="inlineStr">
        <is>
          <t>Subject matter experts</t>
        </is>
      </c>
      <c r="BT32" s="8" t="inlineStr">
        <is>
          <t>The IMF should have dedicated more resources</t>
        </is>
      </c>
      <c r="BU32" s="8" t="inlineStr">
        <is>
          <t>To a great extent</t>
        </is>
      </c>
      <c r="BV32" s="8" t="inlineStr">
        <is>
          <t>To a great extent</t>
        </is>
      </c>
      <c r="BW32" s="8" t="inlineStr">
        <is>
          <t>To a great extent</t>
        </is>
      </c>
      <c r="BX32" s="8" t="inlineStr">
        <is>
          <t>To a great extent</t>
        </is>
      </c>
      <c r="BY32" s="8" t="inlineStr">
        <is>
          <t>To a moderate extent</t>
        </is>
      </c>
      <c r="BZ32" s="8" t="inlineStr">
        <is>
          <t>To a moderate extent</t>
        </is>
      </c>
      <c r="CA32" s="8" t="inlineStr">
        <is>
          <t>To a moderate extent</t>
        </is>
      </c>
      <c r="CB32" s="8" t="inlineStr">
        <is>
          <t>To a moderate extent</t>
        </is>
      </c>
      <c r="CC32" s="8" t="inlineStr">
        <is>
          <t>To a slight extent</t>
        </is>
      </c>
      <c r="CD32" s="8" t="inlineStr">
        <is>
          <t>Don’t know or not applicable</t>
        </is>
      </c>
      <c r="CE32" s="8" t="inlineStr">
        <is>
          <t>Don’t know or not applicable</t>
        </is>
      </c>
      <c r="CF32" s="8" t="inlineStr">
        <is>
          <t>Don’t know or not applicable</t>
        </is>
      </c>
      <c r="CG32" s="8" t="n"/>
      <c r="CH32" s="8" t="inlineStr">
        <is>
          <t>Yes</t>
        </is>
      </c>
      <c r="CI32" s="8" t="inlineStr">
        <is>
          <t>Yes</t>
        </is>
      </c>
      <c r="CJ32" s="8" t="inlineStr">
        <is>
          <t>To a great extent</t>
        </is>
      </c>
      <c r="CK32" s="8" t="inlineStr">
        <is>
          <t>To a great extent</t>
        </is>
      </c>
      <c r="CL32" s="8" t="inlineStr">
        <is>
          <t>To a moderate extent</t>
        </is>
      </c>
      <c r="CM32" s="8" t="inlineStr">
        <is>
          <t>To a great extent</t>
        </is>
      </c>
      <c r="CN32" s="8" t="inlineStr">
        <is>
          <t>To a moderate extent</t>
        </is>
      </c>
      <c r="CO32" s="8" t="inlineStr">
        <is>
          <t>To a great extent</t>
        </is>
      </c>
      <c r="CP32" s="8" t="inlineStr">
        <is>
          <t>To a moderate extent</t>
        </is>
      </c>
      <c r="CQ32" s="8" t="inlineStr">
        <is>
          <t>To a slight extent</t>
        </is>
      </c>
      <c r="CR32" s="8" t="inlineStr">
        <is>
          <t>To a slight extent</t>
        </is>
      </c>
      <c r="CS32" s="8" t="inlineStr">
        <is>
          <t>To a great extent</t>
        </is>
      </c>
      <c r="CT32" s="8" t="inlineStr">
        <is>
          <t>To a slight extent</t>
        </is>
      </c>
      <c r="CU32" s="8" t="inlineStr">
        <is>
          <t>To a great extent</t>
        </is>
      </c>
      <c r="CV32" s="8" t="inlineStr">
        <is>
          <t>To a slight extent</t>
        </is>
      </c>
      <c r="CW32" s="8" t="inlineStr">
        <is>
          <t>To a great extent</t>
        </is>
      </c>
      <c r="CX32" s="8" t="inlineStr">
        <is>
          <t>To a moderate extent</t>
        </is>
      </c>
      <c r="CY32" s="8" t="inlineStr">
        <is>
          <t>To a moderate extent</t>
        </is>
      </c>
      <c r="CZ32" s="8" t="inlineStr">
        <is>
          <t>To a moderate extent</t>
        </is>
      </c>
      <c r="DA32" s="8" t="inlineStr">
        <is>
          <t>Don’t know or not applicable</t>
        </is>
      </c>
      <c r="DB32" s="8" t="inlineStr">
        <is>
          <t>Additional new spending</t>
        </is>
      </c>
      <c r="DC32" s="8" t="n"/>
      <c r="DD32" s="8" t="n"/>
      <c r="DE32" s="8" t="n"/>
      <c r="DF32" s="8" t="n"/>
      <c r="DG32" s="8" t="n"/>
      <c r="DH32" s="8" t="inlineStr">
        <is>
          <t>To a great extent</t>
        </is>
      </c>
      <c r="DI32" s="8" t="inlineStr">
        <is>
          <t>To a moderate extent</t>
        </is>
      </c>
      <c r="DJ32" s="8" t="inlineStr">
        <is>
          <t>To a moderate extent</t>
        </is>
      </c>
      <c r="DK32" s="8" t="inlineStr">
        <is>
          <t>To a moderate extent</t>
        </is>
      </c>
      <c r="DL32" s="8" t="inlineStr">
        <is>
          <t>Don’t know or not applicable</t>
        </is>
      </c>
      <c r="DM32" s="8" t="inlineStr">
        <is>
          <t>To a slight extent</t>
        </is>
      </c>
      <c r="DN32" s="8" t="inlineStr">
        <is>
          <t>To a moderate extent</t>
        </is>
      </c>
      <c r="DO32" s="8" t="inlineStr">
        <is>
          <t>Subject matter experts</t>
        </is>
      </c>
      <c r="DP32" s="8" t="n"/>
      <c r="DQ32" s="8" t="n"/>
      <c r="DR32" s="8" t="n"/>
      <c r="DS32" s="8" t="n"/>
      <c r="DT32" s="8" t="n"/>
      <c r="DU32" s="8" t="n"/>
      <c r="DV32" s="8" t="n"/>
      <c r="DW32" s="8" t="inlineStr">
        <is>
          <t>Don't know</t>
        </is>
      </c>
      <c r="DX32" s="8" t="n"/>
      <c r="DY32" s="8" t="n"/>
      <c r="DZ32" s="8" t="n"/>
      <c r="EA32" s="8" t="n"/>
      <c r="EB32" s="8" t="n"/>
      <c r="EC32" s="8" t="n"/>
      <c r="ED32" s="8" t="n"/>
      <c r="EE32" s="8" t="n"/>
      <c r="EF32" s="8" t="inlineStr">
        <is>
          <t>To a slight extent</t>
        </is>
      </c>
      <c r="EG32" s="8" t="inlineStr">
        <is>
          <t>To a slight extent</t>
        </is>
      </c>
      <c r="EH32" s="8" t="inlineStr">
        <is>
          <t>To a slight extent</t>
        </is>
      </c>
      <c r="EI32" s="8" t="inlineStr">
        <is>
          <t>To a slight extent</t>
        </is>
      </c>
      <c r="EJ32" s="8" t="inlineStr">
        <is>
          <t>Don’t know or not applicable</t>
        </is>
      </c>
      <c r="EK32" s="8" t="inlineStr">
        <is>
          <t>To a great extent</t>
        </is>
      </c>
      <c r="EL32" s="8" t="inlineStr">
        <is>
          <t>To a great extent</t>
        </is>
      </c>
      <c r="EM32" s="8" t="inlineStr">
        <is>
          <t>To a moderate extent</t>
        </is>
      </c>
      <c r="EN32" s="8" t="inlineStr">
        <is>
          <t>Not at all</t>
        </is>
      </c>
      <c r="EO32" s="8" t="inlineStr">
        <is>
          <t>Not at all</t>
        </is>
      </c>
      <c r="EP32" s="8" t="n"/>
      <c r="EQ32" s="8" t="inlineStr">
        <is>
          <t>To a slight extent</t>
        </is>
      </c>
      <c r="ER32" s="8" t="inlineStr">
        <is>
          <t>To a slight extent</t>
        </is>
      </c>
      <c r="ES32" s="8" t="n"/>
      <c r="ET32" s="8" t="inlineStr">
        <is>
          <t>To a moderate extent</t>
        </is>
      </c>
      <c r="EU32" s="8" t="inlineStr">
        <is>
          <t>To a slight extent</t>
        </is>
      </c>
      <c r="EV32" s="8" t="inlineStr">
        <is>
          <t>To a slight extent</t>
        </is>
      </c>
      <c r="EW32" s="8" t="inlineStr">
        <is>
          <t>Don’t know or not applicable</t>
        </is>
      </c>
      <c r="EX32" s="8" t="n"/>
      <c r="EY32" s="8" t="inlineStr">
        <is>
          <t>To a slight extent</t>
        </is>
      </c>
      <c r="EZ32" s="8" t="inlineStr">
        <is>
          <t>Not at all</t>
        </is>
      </c>
      <c r="FA32" s="8" t="inlineStr">
        <is>
          <t>To a slight extent</t>
        </is>
      </c>
      <c r="FB32" s="8" t="inlineStr">
        <is>
          <t>To a slight extent</t>
        </is>
      </c>
      <c r="FC32" s="8" t="inlineStr">
        <is>
          <t>To a slight extent</t>
        </is>
      </c>
      <c r="FD32" s="8" t="inlineStr">
        <is>
          <t>To a slight extent</t>
        </is>
      </c>
      <c r="FE32" s="8" t="inlineStr">
        <is>
          <t>To a slight extent</t>
        </is>
      </c>
      <c r="FF32" s="8" t="inlineStr">
        <is>
          <t>To a slight extent</t>
        </is>
      </c>
      <c r="FG32" s="8" t="inlineStr">
        <is>
          <t>To a slight extent</t>
        </is>
      </c>
      <c r="FH32" s="8" t="inlineStr">
        <is>
          <t>To a slight extent</t>
        </is>
      </c>
      <c r="FI32" s="8" t="inlineStr">
        <is>
          <t>To a slight extent</t>
        </is>
      </c>
      <c r="FJ32" s="8" t="inlineStr">
        <is>
          <t>Not at all</t>
        </is>
      </c>
      <c r="FK32" s="8" t="inlineStr">
        <is>
          <t>To a slight extent</t>
        </is>
      </c>
      <c r="FL32" s="8" t="inlineStr">
        <is>
          <t>To a slight extent</t>
        </is>
      </c>
      <c r="FM32" s="8" t="inlineStr">
        <is>
          <t>To a slight extent</t>
        </is>
      </c>
      <c r="FN32" s="8" t="inlineStr">
        <is>
          <t>To a slight extent</t>
        </is>
      </c>
      <c r="FO32" s="8" t="inlineStr">
        <is>
          <t>To a slight extent</t>
        </is>
      </c>
      <c r="FP32" s="8" t="inlineStr">
        <is>
          <t>To a slight extent</t>
        </is>
      </c>
      <c r="FQ32" s="8" t="inlineStr">
        <is>
          <t>To a slight extent</t>
        </is>
      </c>
      <c r="FR32" s="8" t="inlineStr">
        <is>
          <t>To a slight extent</t>
        </is>
      </c>
      <c r="FS32" s="8" t="inlineStr">
        <is>
          <t>Don’t know or not applicable</t>
        </is>
      </c>
      <c r="FT32" s="8" t="inlineStr">
        <is>
          <t>To a slight extent</t>
        </is>
      </c>
      <c r="FU32" s="8" t="inlineStr">
        <is>
          <t>To a great extent</t>
        </is>
      </c>
      <c r="FV32" s="8" t="inlineStr">
        <is>
          <t>Subject matter experts</t>
        </is>
      </c>
      <c r="FW32" s="8" t="inlineStr">
        <is>
          <t>The IMF should have dedicated more resources</t>
        </is>
      </c>
      <c r="FX32" s="8" t="n"/>
      <c r="FY32" s="8" t="inlineStr">
        <is>
          <t>To a slight extent</t>
        </is>
      </c>
      <c r="FZ32" s="8" t="inlineStr">
        <is>
          <t>To a slight extent</t>
        </is>
      </c>
      <c r="GA32" s="8" t="inlineStr">
        <is>
          <t>To a moderate extent</t>
        </is>
      </c>
      <c r="GB32" s="8" t="inlineStr">
        <is>
          <t>To a slight extent</t>
        </is>
      </c>
      <c r="GC32" s="8" t="n"/>
      <c r="GD32" s="8" t="n"/>
      <c r="GE32" s="8" t="inlineStr">
        <is>
          <t>To a moderate extent</t>
        </is>
      </c>
      <c r="GF32" s="8" t="inlineStr">
        <is>
          <t>To a great extent</t>
        </is>
      </c>
      <c r="GG32" s="8" t="inlineStr">
        <is>
          <t>To a great extent</t>
        </is>
      </c>
      <c r="GH32" s="8" t="inlineStr">
        <is>
          <t>To a moderate extent</t>
        </is>
      </c>
      <c r="GI32" s="8" t="inlineStr">
        <is>
          <t>To a great extent</t>
        </is>
      </c>
      <c r="GJ32" s="8" t="inlineStr">
        <is>
          <t>To a great extent</t>
        </is>
      </c>
      <c r="GK32" s="8" t="n"/>
      <c r="GL32" s="10">
        <f>DATE(2025,7,11)+TIME(22,8,12)</f>
        <v/>
      </c>
    </row>
    <row r="33" ht="47.25" customHeight="1">
      <c r="A33" s="6" t="inlineStr">
        <is>
          <t>Malik</t>
        </is>
      </c>
      <c r="B33" s="6" t="inlineStr">
        <is>
          <t>Nakamura</t>
        </is>
      </c>
      <c r="C33" s="6" t="inlineStr">
        <is>
          <t>mnakamura@organization.org</t>
        </is>
      </c>
      <c r="D33" s="6" t="inlineStr">
        <is>
          <t>AGFADPU0J</t>
        </is>
      </c>
      <c r="E33" s="6" t="n"/>
      <c r="F33" s="6" t="inlineStr">
        <is>
          <t>OEDAW</t>
        </is>
      </c>
      <c r="G33" s="6" t="n"/>
      <c r="H33" s="6" t="n"/>
      <c r="I33" s="6" t="n"/>
      <c r="J33" s="6" t="n"/>
      <c r="K33" s="6" t="inlineStr">
        <is>
          <t>Ivory Coast</t>
        </is>
      </c>
      <c r="L33" s="6" t="n"/>
      <c r="M33" s="6" t="n"/>
      <c r="N33" s="6" t="n"/>
      <c r="O33" s="6" t="n"/>
      <c r="P33" s="6" t="n"/>
      <c r="Q33" s="6" t="n"/>
      <c r="R33" s="6" t="n"/>
      <c r="S33" s="6" t="n"/>
      <c r="T33" s="6" t="n"/>
      <c r="U33" s="6" t="n"/>
      <c r="V33" s="6" t="n"/>
      <c r="W33" s="6" t="n"/>
      <c r="X33" s="6" t="n"/>
      <c r="Y33" s="6" t="n"/>
      <c r="Z33" s="6" t="n"/>
      <c r="AA33" s="6" t="n"/>
      <c r="AB33" s="6" t="n"/>
      <c r="AC33" s="6" t="n"/>
      <c r="AD33" s="6" t="n"/>
      <c r="AE33" s="6" t="n"/>
      <c r="AF33" s="4" t="inlineStr">
        <is>
          <t>Ivory Coast</t>
        </is>
      </c>
      <c r="AG33" s="6" t="inlineStr">
        <is>
          <t>The IMF should engage more on climate change-related issues</t>
        </is>
      </c>
      <c r="AH33" s="6" t="inlineStr">
        <is>
          <t>To a slight extent</t>
        </is>
      </c>
      <c r="AI33" s="6" t="inlineStr">
        <is>
          <t>To a slight extent</t>
        </is>
      </c>
      <c r="AJ33" s="6" t="inlineStr">
        <is>
          <t>To a slight extent</t>
        </is>
      </c>
      <c r="AK33" s="6" t="inlineStr">
        <is>
          <t>To a moderate extent</t>
        </is>
      </c>
      <c r="AL33" s="6" t="inlineStr">
        <is>
          <t>To a great extent</t>
        </is>
      </c>
      <c r="AM33" s="6" t="inlineStr">
        <is>
          <t>To a great extent</t>
        </is>
      </c>
      <c r="AN33" s="6" t="inlineStr">
        <is>
          <t>To a great extent</t>
        </is>
      </c>
      <c r="AO33" s="6" t="inlineStr">
        <is>
          <t>To a great extent</t>
        </is>
      </c>
      <c r="AP33" s="6" t="inlineStr">
        <is>
          <t>To a slight extent</t>
        </is>
      </c>
      <c r="AQ33" s="6" t="inlineStr">
        <is>
          <t>To a great extent</t>
        </is>
      </c>
      <c r="AR33" s="6" t="inlineStr">
        <is>
          <t>To a great extent</t>
        </is>
      </c>
      <c r="AS33" s="6" t="n"/>
      <c r="AT33" s="6" t="inlineStr">
        <is>
          <t>Not at all</t>
        </is>
      </c>
      <c r="AU33" s="6" t="inlineStr">
        <is>
          <t>To a slight extent</t>
        </is>
      </c>
      <c r="AV33" s="6" t="inlineStr">
        <is>
          <t>Not at all</t>
        </is>
      </c>
      <c r="AW33" s="6" t="inlineStr">
        <is>
          <t>To a slight extent</t>
        </is>
      </c>
      <c r="AX33" s="6" t="inlineStr">
        <is>
          <t>To a slight extent</t>
        </is>
      </c>
      <c r="AY33" s="6" t="inlineStr">
        <is>
          <t>Don’t know or not applicable</t>
        </is>
      </c>
      <c r="AZ33" s="6" t="inlineStr">
        <is>
          <t>Don’t know or not applicable</t>
        </is>
      </c>
      <c r="BA33" s="6" t="inlineStr">
        <is>
          <t>Not at all</t>
        </is>
      </c>
      <c r="BB33" s="6" t="inlineStr">
        <is>
          <t>Don’t know or not applicable</t>
        </is>
      </c>
      <c r="BC33" s="6" t="inlineStr">
        <is>
          <t>Don’t know or not applicable</t>
        </is>
      </c>
      <c r="BD33" s="6" t="inlineStr">
        <is>
          <t>Don’t know or not applicable</t>
        </is>
      </c>
      <c r="BE33" s="6" t="inlineStr">
        <is>
          <t>Don’t know or not applicable</t>
        </is>
      </c>
      <c r="BF33" s="6" t="inlineStr">
        <is>
          <t>Not at all</t>
        </is>
      </c>
      <c r="BG33" s="6" t="inlineStr">
        <is>
          <t>To a slight extent</t>
        </is>
      </c>
      <c r="BH33" s="6" t="inlineStr">
        <is>
          <t>To a slight extent</t>
        </is>
      </c>
      <c r="BI33" s="6" t="inlineStr">
        <is>
          <t>Don’t know or not applicable</t>
        </is>
      </c>
      <c r="BJ33" s="6" t="inlineStr">
        <is>
          <t>To a slight extent</t>
        </is>
      </c>
      <c r="BK33" s="6" t="inlineStr">
        <is>
          <t>Not at all</t>
        </is>
      </c>
      <c r="BL33" s="6" t="inlineStr">
        <is>
          <t>To a slight extent</t>
        </is>
      </c>
      <c r="BM33" s="6" t="inlineStr">
        <is>
          <t>To a slight extent</t>
        </is>
      </c>
      <c r="BN33" s="6" t="inlineStr">
        <is>
          <t>Don’t know or not applicable</t>
        </is>
      </c>
      <c r="BO33" s="6" t="inlineStr">
        <is>
          <t>To a slight extent</t>
        </is>
      </c>
      <c r="BP33" s="6" t="inlineStr">
        <is>
          <t>To a slight extent</t>
        </is>
      </c>
      <c r="BQ33" s="6" t="inlineStr">
        <is>
          <t>To a slight extent</t>
        </is>
      </c>
      <c r="BR33" s="6" t="inlineStr">
        <is>
          <t>Don’t know or not applicable</t>
        </is>
      </c>
      <c r="BS33" s="6" t="n"/>
      <c r="BT33" s="6" t="inlineStr">
        <is>
          <t>The IMF should have dedicated more resources</t>
        </is>
      </c>
      <c r="BU33" s="6" t="inlineStr">
        <is>
          <t>To a great extent</t>
        </is>
      </c>
      <c r="BV33" s="6" t="inlineStr">
        <is>
          <t>To a great extent</t>
        </is>
      </c>
      <c r="BW33" s="6" t="inlineStr">
        <is>
          <t>To a great extent</t>
        </is>
      </c>
      <c r="BX33" s="6" t="inlineStr">
        <is>
          <t>To a great extent</t>
        </is>
      </c>
      <c r="BY33" s="6" t="inlineStr">
        <is>
          <t>To a great extent</t>
        </is>
      </c>
      <c r="BZ33" s="6" t="inlineStr">
        <is>
          <t>To a great extent</t>
        </is>
      </c>
      <c r="CA33" s="6" t="inlineStr">
        <is>
          <t>To a great extent</t>
        </is>
      </c>
      <c r="CB33" s="6" t="inlineStr">
        <is>
          <t>To a great extent</t>
        </is>
      </c>
      <c r="CC33" s="6" t="inlineStr">
        <is>
          <t>To a great extent</t>
        </is>
      </c>
      <c r="CD33" s="6" t="inlineStr">
        <is>
          <t>To a great extent</t>
        </is>
      </c>
      <c r="CE33" s="6" t="inlineStr">
        <is>
          <t>To a great extent</t>
        </is>
      </c>
      <c r="CF33" s="6" t="inlineStr">
        <is>
          <t>To a great extent</t>
        </is>
      </c>
      <c r="CG33" s="6" t="n"/>
      <c r="CH33" s="6" t="inlineStr">
        <is>
          <t>Yes</t>
        </is>
      </c>
      <c r="CI33" s="6" t="inlineStr">
        <is>
          <t>Yes</t>
        </is>
      </c>
      <c r="CJ33" s="6" t="inlineStr">
        <is>
          <t>To a great extent</t>
        </is>
      </c>
      <c r="CK33" s="6" t="inlineStr">
        <is>
          <t>To a great extent</t>
        </is>
      </c>
      <c r="CL33" s="6" t="inlineStr">
        <is>
          <t>To a great extent</t>
        </is>
      </c>
      <c r="CM33" s="6" t="inlineStr">
        <is>
          <t>To a great extent</t>
        </is>
      </c>
      <c r="CN33" s="6" t="inlineStr">
        <is>
          <t>To a great extent</t>
        </is>
      </c>
      <c r="CO33" s="6" t="inlineStr">
        <is>
          <t>To a great extent</t>
        </is>
      </c>
      <c r="CP33" s="6" t="inlineStr">
        <is>
          <t>To a moderate extent</t>
        </is>
      </c>
      <c r="CQ33" s="6" t="inlineStr">
        <is>
          <t>To a moderate extent</t>
        </is>
      </c>
      <c r="CR33" s="6" t="inlineStr">
        <is>
          <t>To a great extent</t>
        </is>
      </c>
      <c r="CS33" s="6" t="inlineStr">
        <is>
          <t>To a great extent</t>
        </is>
      </c>
      <c r="CT33" s="6" t="inlineStr">
        <is>
          <t>To a great extent</t>
        </is>
      </c>
      <c r="CU33" s="6" t="inlineStr">
        <is>
          <t>To a great extent</t>
        </is>
      </c>
      <c r="CV33" s="6" t="inlineStr">
        <is>
          <t>To a slight extent</t>
        </is>
      </c>
      <c r="CW33" s="6" t="inlineStr">
        <is>
          <t>To a great extent</t>
        </is>
      </c>
      <c r="CX33" s="6" t="inlineStr">
        <is>
          <t>To a great extent</t>
        </is>
      </c>
      <c r="CY33" s="6" t="inlineStr">
        <is>
          <t>To a great extent</t>
        </is>
      </c>
      <c r="CZ33" s="6" t="inlineStr">
        <is>
          <t>To a great extent</t>
        </is>
      </c>
      <c r="DA33" s="6" t="inlineStr">
        <is>
          <t>To a great extent</t>
        </is>
      </c>
      <c r="DB33" s="6" t="n"/>
      <c r="DC33" s="6" t="n"/>
      <c r="DD33" s="6" t="n"/>
      <c r="DE33" s="6" t="n"/>
      <c r="DF33" s="6" t="inlineStr">
        <is>
          <t>Climate change-related policies</t>
        </is>
      </c>
      <c r="DG33" s="6" t="n"/>
      <c r="DH33" s="6" t="inlineStr">
        <is>
          <t>To a great extent</t>
        </is>
      </c>
      <c r="DI33" s="6" t="inlineStr">
        <is>
          <t>To a great extent</t>
        </is>
      </c>
      <c r="DJ33" s="6" t="inlineStr">
        <is>
          <t>To a great extent</t>
        </is>
      </c>
      <c r="DK33" s="6" t="inlineStr">
        <is>
          <t>To a great extent</t>
        </is>
      </c>
      <c r="DL33" s="6" t="inlineStr">
        <is>
          <t>To a great extent</t>
        </is>
      </c>
      <c r="DM33" s="6" t="inlineStr">
        <is>
          <t>To a great extent</t>
        </is>
      </c>
      <c r="DN33" s="6" t="inlineStr">
        <is>
          <t>Don’t know or not applicable</t>
        </is>
      </c>
      <c r="DO33" s="6" t="n"/>
      <c r="DP33" s="6" t="n"/>
      <c r="DQ33" s="6" t="n"/>
      <c r="DR33" s="6" t="n"/>
      <c r="DS33" s="6" t="n"/>
      <c r="DT33" s="6" t="n"/>
      <c r="DU33" s="6" t="n"/>
      <c r="DV33" s="6" t="n"/>
      <c r="DW33" s="6" t="inlineStr">
        <is>
          <t>Yes</t>
        </is>
      </c>
      <c r="DX33" s="6" t="inlineStr">
        <is>
          <t>World Bank Group</t>
        </is>
      </c>
      <c r="DY33" s="6" t="inlineStr">
        <is>
          <t>Regional development banks</t>
        </is>
      </c>
      <c r="DZ33" s="6" t="inlineStr">
        <is>
          <t>Bilateral sources</t>
        </is>
      </c>
      <c r="EA33" s="6" t="inlineStr">
        <is>
          <t>Private sources</t>
        </is>
      </c>
      <c r="EB33" s="6" t="n"/>
      <c r="EC33" s="6" t="inlineStr">
        <is>
          <t>To a great extent</t>
        </is>
      </c>
      <c r="ED33" s="6" t="inlineStr">
        <is>
          <t>To a moderate extent</t>
        </is>
      </c>
      <c r="EE33" s="6" t="inlineStr">
        <is>
          <t>To a great extent</t>
        </is>
      </c>
      <c r="EF33" s="6" t="inlineStr">
        <is>
          <t>To a great extent</t>
        </is>
      </c>
      <c r="EG33" s="6" t="inlineStr">
        <is>
          <t>To a great extent</t>
        </is>
      </c>
      <c r="EH33" s="6" t="inlineStr">
        <is>
          <t>To a moderate extent</t>
        </is>
      </c>
      <c r="EI33" s="6" t="inlineStr">
        <is>
          <t>To a great extent</t>
        </is>
      </c>
      <c r="EJ33" s="6" t="inlineStr">
        <is>
          <t>To a great extent</t>
        </is>
      </c>
      <c r="EK33" s="6" t="inlineStr">
        <is>
          <t>To a great extent</t>
        </is>
      </c>
      <c r="EL33" s="6" t="inlineStr">
        <is>
          <t>To a great extent</t>
        </is>
      </c>
      <c r="EM33" s="6" t="inlineStr">
        <is>
          <t>To a moderate extent</t>
        </is>
      </c>
      <c r="EN33" s="6" t="inlineStr">
        <is>
          <t>Not at all</t>
        </is>
      </c>
      <c r="EO33" s="6" t="inlineStr">
        <is>
          <t>To a slight extent</t>
        </is>
      </c>
      <c r="EP33" s="6" t="n"/>
      <c r="EQ33" s="6" t="inlineStr">
        <is>
          <t>To a great extent</t>
        </is>
      </c>
      <c r="ER33" s="6" t="inlineStr">
        <is>
          <t>Not at all</t>
        </is>
      </c>
      <c r="ES33" s="6" t="n"/>
      <c r="ET33" s="6" t="inlineStr">
        <is>
          <t>To a great extent</t>
        </is>
      </c>
      <c r="EU33" s="6" t="inlineStr">
        <is>
          <t>To a slight extent</t>
        </is>
      </c>
      <c r="EV33" s="6" t="inlineStr">
        <is>
          <t>To a slight extent</t>
        </is>
      </c>
      <c r="EW33" s="6" t="inlineStr">
        <is>
          <t>Don’t know or not applicable</t>
        </is>
      </c>
      <c r="EX33" s="6" t="n"/>
      <c r="EY33" s="6" t="inlineStr">
        <is>
          <t>To a moderate extent</t>
        </is>
      </c>
      <c r="EZ33" s="6" t="inlineStr">
        <is>
          <t>Not at all</t>
        </is>
      </c>
      <c r="FA33" s="6" t="inlineStr">
        <is>
          <t>To a moderate extent</t>
        </is>
      </c>
      <c r="FB33" s="6" t="inlineStr">
        <is>
          <t>To a great extent</t>
        </is>
      </c>
      <c r="FC33" s="6" t="inlineStr">
        <is>
          <t>To a moderate extent</t>
        </is>
      </c>
      <c r="FD33" s="6" t="inlineStr">
        <is>
          <t>To a great extent</t>
        </is>
      </c>
      <c r="FE33" s="6" t="inlineStr">
        <is>
          <t>To a slight extent</t>
        </is>
      </c>
      <c r="FF33" s="6" t="inlineStr">
        <is>
          <t>To a slight extent</t>
        </is>
      </c>
      <c r="FG33" s="6" t="inlineStr">
        <is>
          <t>To a great extent</t>
        </is>
      </c>
      <c r="FH33" s="6" t="n"/>
      <c r="FI33" s="6" t="n"/>
      <c r="FJ33" s="6" t="n"/>
      <c r="FK33" s="6" t="n"/>
      <c r="FL33" s="6" t="n"/>
      <c r="FM33" s="6" t="n"/>
      <c r="FN33" s="6" t="n"/>
      <c r="FO33" s="6" t="n"/>
      <c r="FP33" s="6" t="n"/>
      <c r="FQ33" s="6" t="n"/>
      <c r="FR33" s="6" t="inlineStr">
        <is>
          <t>To a great extent</t>
        </is>
      </c>
      <c r="FS33" s="6" t="inlineStr">
        <is>
          <t>To a great extent</t>
        </is>
      </c>
      <c r="FT33" s="6" t="inlineStr">
        <is>
          <t>To a great extent</t>
        </is>
      </c>
      <c r="FU33" s="6" t="inlineStr">
        <is>
          <t>Don’t know or not applicable</t>
        </is>
      </c>
      <c r="FV33" s="6" t="n"/>
      <c r="FW33" s="6" t="inlineStr">
        <is>
          <t>The IMF should have dedicated more resources</t>
        </is>
      </c>
      <c r="FX33" s="6" t="n"/>
      <c r="FY33" s="6" t="inlineStr">
        <is>
          <t>To a great extent</t>
        </is>
      </c>
      <c r="FZ33" s="6" t="inlineStr">
        <is>
          <t>To a great extent</t>
        </is>
      </c>
      <c r="GA33" s="6" t="inlineStr">
        <is>
          <t>To a great extent</t>
        </is>
      </c>
      <c r="GB33" s="6" t="inlineStr">
        <is>
          <t>To a great extent</t>
        </is>
      </c>
      <c r="GC33" s="6" t="inlineStr">
        <is>
          <t>Don’t know or not applicable</t>
        </is>
      </c>
      <c r="GD33" s="6" t="n"/>
      <c r="GE33" s="6" t="inlineStr">
        <is>
          <t>To a slight extent</t>
        </is>
      </c>
      <c r="GF33" s="6" t="inlineStr">
        <is>
          <t>To a great extent</t>
        </is>
      </c>
      <c r="GG33" s="6" t="inlineStr">
        <is>
          <t>To a great extent</t>
        </is>
      </c>
      <c r="GH33" s="6" t="inlineStr">
        <is>
          <t>To a great extent</t>
        </is>
      </c>
      <c r="GI33" s="6" t="inlineStr">
        <is>
          <t>To a great extent</t>
        </is>
      </c>
      <c r="GJ33" s="6" t="inlineStr">
        <is>
          <t>To a great extent</t>
        </is>
      </c>
      <c r="GK33" s="6" t="n"/>
      <c r="GL33" s="7">
        <f>DATE(2025,7,11)+TIME(12,20,48)</f>
        <v/>
      </c>
    </row>
    <row r="34" ht="47.25" customHeight="1">
      <c r="A34" s="3" t="inlineStr">
        <is>
          <t>Nadia</t>
        </is>
      </c>
      <c r="B34" s="3" t="inlineStr">
        <is>
          <t>Larsson</t>
        </is>
      </c>
      <c r="C34" s="3" t="inlineStr">
        <is>
          <t>nlarsson@organization.org</t>
        </is>
      </c>
      <c r="D34" s="3" t="inlineStr">
        <is>
          <t>YRV8MNZVS</t>
        </is>
      </c>
      <c r="E34" s="3" t="n"/>
      <c r="F34" s="3" t="inlineStr">
        <is>
          <t>OEDNE</t>
        </is>
      </c>
      <c r="G34" s="3" t="n"/>
      <c r="H34" s="3" t="n"/>
      <c r="I34" s="3" t="n"/>
      <c r="J34" s="3" t="n"/>
      <c r="K34" s="3" t="n"/>
      <c r="L34" s="3" t="n"/>
      <c r="M34" s="3" t="n"/>
      <c r="N34" s="3" t="n"/>
      <c r="O34" s="3" t="n"/>
      <c r="P34" s="3" t="n"/>
      <c r="Q34" s="3" t="n"/>
      <c r="R34" s="3" t="n"/>
      <c r="S34" s="3" t="n"/>
      <c r="T34" s="3" t="n"/>
      <c r="U34" s="3" t="n"/>
      <c r="V34" s="3" t="n"/>
      <c r="W34" s="3" t="n"/>
      <c r="X34" s="3" t="inlineStr">
        <is>
          <t>Israel</t>
        </is>
      </c>
      <c r="Y34" s="3" t="n"/>
      <c r="Z34" s="3" t="n"/>
      <c r="AA34" s="3" t="n"/>
      <c r="AB34" s="3" t="n"/>
      <c r="AC34" s="3" t="n"/>
      <c r="AD34" s="3" t="n"/>
      <c r="AE34" s="3" t="n"/>
      <c r="AF34" s="4" t="inlineStr">
        <is>
          <t>Israel</t>
        </is>
      </c>
      <c r="AG34" s="3" t="inlineStr">
        <is>
          <t>The IMF should engage a similar amount on climate change-related issues</t>
        </is>
      </c>
      <c r="AH34" s="3" t="inlineStr">
        <is>
          <t>To a great extent</t>
        </is>
      </c>
      <c r="AI34" s="3" t="inlineStr">
        <is>
          <t>To a great extent</t>
        </is>
      </c>
      <c r="AJ34" s="3" t="inlineStr">
        <is>
          <t>Don’t know or not applicable</t>
        </is>
      </c>
      <c r="AK34" s="3" t="inlineStr">
        <is>
          <t>To a moderate extent</t>
        </is>
      </c>
      <c r="AL34" s="3" t="inlineStr">
        <is>
          <t>To a great extent</t>
        </is>
      </c>
      <c r="AM34" s="3" t="inlineStr">
        <is>
          <t>Don’t know or not applicable</t>
        </is>
      </c>
      <c r="AN34" s="3" t="inlineStr">
        <is>
          <t>Don’t know or not applicable</t>
        </is>
      </c>
      <c r="AO34" s="3" t="inlineStr">
        <is>
          <t>To a moderate extent</t>
        </is>
      </c>
      <c r="AP34" s="3" t="inlineStr">
        <is>
          <t>To a moderate extent</t>
        </is>
      </c>
      <c r="AQ34" s="3" t="inlineStr">
        <is>
          <t>To a slight extent</t>
        </is>
      </c>
      <c r="AR34" s="3" t="inlineStr">
        <is>
          <t>Not at all</t>
        </is>
      </c>
      <c r="AS34" s="3" t="n"/>
      <c r="AT34" s="3" t="inlineStr">
        <is>
          <t>To a great extent</t>
        </is>
      </c>
      <c r="AU34" s="3" t="inlineStr">
        <is>
          <t>Not at all</t>
        </is>
      </c>
      <c r="AV34" s="3" t="inlineStr">
        <is>
          <t>Not at all</t>
        </is>
      </c>
      <c r="AW34" s="3" t="inlineStr">
        <is>
          <t>To a moderate extent</t>
        </is>
      </c>
      <c r="AX34" s="3" t="inlineStr">
        <is>
          <t>To a great extent</t>
        </is>
      </c>
      <c r="AY34" s="3" t="inlineStr">
        <is>
          <t>To a great extent</t>
        </is>
      </c>
      <c r="AZ34" s="3" t="inlineStr">
        <is>
          <t>Not at all</t>
        </is>
      </c>
      <c r="BA34" s="3" t="inlineStr">
        <is>
          <t>Not at all</t>
        </is>
      </c>
      <c r="BB34" s="3" t="inlineStr">
        <is>
          <t>To a great extent</t>
        </is>
      </c>
      <c r="BC34" s="3" t="inlineStr">
        <is>
          <t>To a great extent</t>
        </is>
      </c>
      <c r="BD34" s="3" t="inlineStr">
        <is>
          <t>To a great extent</t>
        </is>
      </c>
      <c r="BE34" s="3" t="inlineStr">
        <is>
          <t>Don’t know or not applicable</t>
        </is>
      </c>
      <c r="BF34" s="3" t="inlineStr">
        <is>
          <t>Don’t know or not applicable</t>
        </is>
      </c>
      <c r="BG34" s="3" t="inlineStr">
        <is>
          <t>Don’t know or not applicable</t>
        </is>
      </c>
      <c r="BH34" s="3" t="inlineStr">
        <is>
          <t>Don’t know or not applicable</t>
        </is>
      </c>
      <c r="BI34" s="3" t="inlineStr">
        <is>
          <t>Don’t know or not applicable</t>
        </is>
      </c>
      <c r="BJ34" s="3" t="inlineStr">
        <is>
          <t>Not at all</t>
        </is>
      </c>
      <c r="BK34" s="3" t="inlineStr">
        <is>
          <t>Not at all</t>
        </is>
      </c>
      <c r="BL34" s="3" t="inlineStr">
        <is>
          <t>To a great extent</t>
        </is>
      </c>
      <c r="BM34" s="3" t="inlineStr">
        <is>
          <t>To a great extent</t>
        </is>
      </c>
      <c r="BN34" s="3" t="inlineStr">
        <is>
          <t>To a great extent</t>
        </is>
      </c>
      <c r="BO34" s="3" t="inlineStr">
        <is>
          <t>To a great extent</t>
        </is>
      </c>
      <c r="BP34" s="3" t="inlineStr">
        <is>
          <t>Don’t know or not applicable</t>
        </is>
      </c>
      <c r="BQ34" s="3" t="inlineStr">
        <is>
          <t>Don’t know or not applicable</t>
        </is>
      </c>
      <c r="BR34" s="3" t="inlineStr">
        <is>
          <t>Don’t know or not applicable</t>
        </is>
      </c>
      <c r="BS34" s="3" t="n"/>
      <c r="BT34" s="3" t="inlineStr">
        <is>
          <t>The IMF dedicated an appropriate amount of resources</t>
        </is>
      </c>
      <c r="BU34" s="3" t="inlineStr">
        <is>
          <t>To a great extent</t>
        </is>
      </c>
      <c r="BV34" s="3" t="inlineStr">
        <is>
          <t>To a moderate extent</t>
        </is>
      </c>
      <c r="BW34" s="3" t="inlineStr">
        <is>
          <t>To a great extent</t>
        </is>
      </c>
      <c r="BX34" s="3" t="inlineStr">
        <is>
          <t>To a great extent</t>
        </is>
      </c>
      <c r="BY34" s="3" t="inlineStr">
        <is>
          <t>To a moderate extent</t>
        </is>
      </c>
      <c r="BZ34" s="3" t="inlineStr">
        <is>
          <t>To a great extent</t>
        </is>
      </c>
      <c r="CA34" s="3" t="inlineStr">
        <is>
          <t>Don’t know or not applicable</t>
        </is>
      </c>
      <c r="CB34" s="3" t="inlineStr">
        <is>
          <t>Don’t know or not applicable</t>
        </is>
      </c>
      <c r="CC34" s="3" t="inlineStr">
        <is>
          <t>Don’t know or not applicable</t>
        </is>
      </c>
      <c r="CD34" s="3" t="inlineStr">
        <is>
          <t>To a great extent</t>
        </is>
      </c>
      <c r="CE34" s="3" t="inlineStr">
        <is>
          <t>To a moderate extent</t>
        </is>
      </c>
      <c r="CF34" s="3" t="inlineStr">
        <is>
          <t>To a great extent</t>
        </is>
      </c>
      <c r="CG34" s="3" t="n"/>
      <c r="CH34" s="3" t="inlineStr">
        <is>
          <t>No</t>
        </is>
      </c>
      <c r="CI34" s="3" t="inlineStr">
        <is>
          <t>No</t>
        </is>
      </c>
      <c r="CJ34" s="3" t="n"/>
      <c r="CK34" s="3" t="n"/>
      <c r="CL34" s="3" t="n"/>
      <c r="CM34" s="3" t="n"/>
      <c r="CN34" s="3" t="n"/>
      <c r="CO34" s="3" t="n"/>
      <c r="CP34" s="3" t="n"/>
      <c r="CQ34" s="3" t="n"/>
      <c r="CR34" s="3" t="n"/>
      <c r="CS34" s="3" t="n"/>
      <c r="CT34" s="3" t="n"/>
      <c r="CU34" s="3" t="n"/>
      <c r="CV34" s="3" t="n"/>
      <c r="CW34" s="3" t="n"/>
      <c r="CX34" s="3" t="n"/>
      <c r="CY34" s="3" t="n"/>
      <c r="CZ34" s="3" t="n"/>
      <c r="DA34" s="3" t="n"/>
      <c r="DB34" s="3" t="n"/>
      <c r="DC34" s="3" t="n"/>
      <c r="DD34" s="3" t="n"/>
      <c r="DE34" s="3" t="n"/>
      <c r="DF34" s="3" t="n"/>
      <c r="DG34" s="3" t="n"/>
      <c r="DH34" s="3" t="n"/>
      <c r="DI34" s="3" t="n"/>
      <c r="DJ34" s="3" t="n"/>
      <c r="DK34" s="3" t="n"/>
      <c r="DL34" s="3" t="n"/>
      <c r="DM34" s="3" t="n"/>
      <c r="DN34" s="3" t="n"/>
      <c r="DO34" s="3" t="n"/>
      <c r="DP34" s="3" t="inlineStr">
        <is>
          <t>My country is not eligible for an RSF arrangement</t>
        </is>
      </c>
      <c r="DQ34" s="3" t="n"/>
      <c r="DR34" s="3" t="n"/>
      <c r="DS34" s="3" t="inlineStr">
        <is>
          <t>More convenient alternative financing options</t>
        </is>
      </c>
      <c r="DT34" s="3" t="n"/>
      <c r="DU34" s="3" t="n"/>
      <c r="DV34" s="3" t="n"/>
      <c r="DW34" s="3" t="inlineStr">
        <is>
          <t>No</t>
        </is>
      </c>
      <c r="DX34" s="3" t="n"/>
      <c r="DY34" s="3" t="n"/>
      <c r="DZ34" s="3" t="n"/>
      <c r="EA34" s="3" t="n"/>
      <c r="EB34" s="3" t="n"/>
      <c r="EC34" s="3" t="n"/>
      <c r="ED34" s="3" t="n"/>
      <c r="EE34" s="3" t="n"/>
      <c r="EF34" s="3" t="inlineStr">
        <is>
          <t>Don’t know or not applicable</t>
        </is>
      </c>
      <c r="EG34" s="3" t="inlineStr">
        <is>
          <t>Don’t know or not applicable</t>
        </is>
      </c>
      <c r="EH34" s="3" t="inlineStr">
        <is>
          <t>Don’t know or not applicable</t>
        </is>
      </c>
      <c r="EI34" s="3" t="inlineStr">
        <is>
          <t>Don’t know or not applicable</t>
        </is>
      </c>
      <c r="EJ34" s="3" t="inlineStr">
        <is>
          <t>Don’t know or not applicable</t>
        </is>
      </c>
      <c r="EK34" s="3" t="inlineStr">
        <is>
          <t>Don’t know or not applicable</t>
        </is>
      </c>
      <c r="EL34" s="3" t="inlineStr">
        <is>
          <t>Don’t know or not applicable</t>
        </is>
      </c>
      <c r="EM34" s="3" t="n"/>
      <c r="EN34" s="3" t="n"/>
      <c r="EO34" s="3" t="n"/>
      <c r="EP34" s="3" t="n"/>
      <c r="EQ34" s="3" t="inlineStr">
        <is>
          <t>Not at all</t>
        </is>
      </c>
      <c r="ER34" s="3" t="inlineStr">
        <is>
          <t>To a slight extent</t>
        </is>
      </c>
      <c r="ES34" s="3" t="n"/>
      <c r="ET34" s="3" t="n"/>
      <c r="EU34" s="3" t="n"/>
      <c r="EV34" s="3" t="n"/>
      <c r="EW34" s="3" t="n"/>
      <c r="EX34" s="3" t="n"/>
      <c r="EY34" s="3" t="n"/>
      <c r="EZ34" s="3" t="n"/>
      <c r="FA34" s="3" t="n"/>
      <c r="FB34" s="3" t="n"/>
      <c r="FC34" s="3" t="n"/>
      <c r="FD34" s="3" t="n"/>
      <c r="FE34" s="3" t="n"/>
      <c r="FF34" s="3" t="n"/>
      <c r="FG34" s="3" t="n"/>
      <c r="FH34" s="3" t="inlineStr">
        <is>
          <t>To a slight extent</t>
        </is>
      </c>
      <c r="FI34" s="3" t="inlineStr">
        <is>
          <t>Not at all</t>
        </is>
      </c>
      <c r="FJ34" s="3" t="inlineStr">
        <is>
          <t>Not at all</t>
        </is>
      </c>
      <c r="FK34" s="3" t="inlineStr">
        <is>
          <t>To a slight extent</t>
        </is>
      </c>
      <c r="FL34" s="3" t="inlineStr">
        <is>
          <t>To a slight extent</t>
        </is>
      </c>
      <c r="FM34" s="3" t="inlineStr">
        <is>
          <t>To a moderate extent</t>
        </is>
      </c>
      <c r="FN34" s="3" t="inlineStr">
        <is>
          <t>Don’t know or not applicable</t>
        </is>
      </c>
      <c r="FO34" s="3" t="inlineStr">
        <is>
          <t>To a great extent</t>
        </is>
      </c>
      <c r="FP34" s="3" t="inlineStr">
        <is>
          <t>To a slight extent</t>
        </is>
      </c>
      <c r="FQ34" s="3" t="inlineStr">
        <is>
          <t>To a moderate extent</t>
        </is>
      </c>
      <c r="FR34" s="3" t="inlineStr">
        <is>
          <t>To a great extent</t>
        </is>
      </c>
      <c r="FS34" s="3" t="inlineStr">
        <is>
          <t>Don’t know or not applicable</t>
        </is>
      </c>
      <c r="FT34" s="3" t="inlineStr">
        <is>
          <t>Don’t know or not applicable</t>
        </is>
      </c>
      <c r="FU34" s="3" t="inlineStr">
        <is>
          <t>Don’t know or not applicable</t>
        </is>
      </c>
      <c r="FV34" s="3" t="n"/>
      <c r="FW34" s="3" t="inlineStr">
        <is>
          <t>The IMF should have dedicated more resources</t>
        </is>
      </c>
      <c r="FX34" s="3" t="n"/>
      <c r="FY34" s="3" t="inlineStr">
        <is>
          <t>To a great extent</t>
        </is>
      </c>
      <c r="FZ34" s="3" t="inlineStr">
        <is>
          <t>To a great extent</t>
        </is>
      </c>
      <c r="GA34" s="3" t="inlineStr">
        <is>
          <t>To a great extent</t>
        </is>
      </c>
      <c r="GB34" s="3" t="inlineStr">
        <is>
          <t>To a great extent</t>
        </is>
      </c>
      <c r="GC34" s="3" t="inlineStr">
        <is>
          <t>Don’t know or not applicable</t>
        </is>
      </c>
      <c r="GD34" s="3" t="n"/>
      <c r="GE34" s="3" t="inlineStr">
        <is>
          <t>To a great extent</t>
        </is>
      </c>
      <c r="GF34" s="3" t="inlineStr">
        <is>
          <t>To a great extent</t>
        </is>
      </c>
      <c r="GG34" s="3" t="inlineStr">
        <is>
          <t>To a slight extent</t>
        </is>
      </c>
      <c r="GH34" s="3" t="inlineStr">
        <is>
          <t>To a slight extent</t>
        </is>
      </c>
      <c r="GI34" s="3" t="inlineStr">
        <is>
          <t>To a great extent</t>
        </is>
      </c>
      <c r="GJ34" s="3" t="inlineStr">
        <is>
          <t>To a moderate extent</t>
        </is>
      </c>
      <c r="GK34" s="3" t="n"/>
      <c r="GL34" s="5">
        <f>DATE(2025,5,29)+TIME(10,48,40)</f>
        <v/>
      </c>
    </row>
    <row r="35" ht="126" customHeight="1">
      <c r="A35" s="6" t="inlineStr">
        <is>
          <t>Henrik</t>
        </is>
      </c>
      <c r="B35" s="6" t="inlineStr">
        <is>
          <t>Osei</t>
        </is>
      </c>
      <c r="C35" s="6" t="inlineStr">
        <is>
          <t>hosei@organization.org</t>
        </is>
      </c>
      <c r="D35" s="6" t="inlineStr">
        <is>
          <t>QCBFJYUGN</t>
        </is>
      </c>
      <c r="E35" s="6" t="n"/>
      <c r="F35" s="6" t="inlineStr">
        <is>
          <t>OEDNE</t>
        </is>
      </c>
      <c r="G35" s="6" t="n"/>
      <c r="H35" s="6" t="n"/>
      <c r="I35" s="6" t="n"/>
      <c r="J35" s="6" t="n"/>
      <c r="K35" s="6" t="n"/>
      <c r="L35" s="6" t="n"/>
      <c r="M35" s="6" t="n"/>
      <c r="N35" s="6" t="n"/>
      <c r="O35" s="6" t="n"/>
      <c r="P35" s="6" t="n"/>
      <c r="Q35" s="6" t="n"/>
      <c r="R35" s="6" t="n"/>
      <c r="S35" s="6" t="n"/>
      <c r="T35" s="6" t="n"/>
      <c r="U35" s="6" t="n"/>
      <c r="V35" s="6" t="n"/>
      <c r="W35" s="6" t="n"/>
      <c r="X35" s="6" t="inlineStr">
        <is>
          <t>Ukraine</t>
        </is>
      </c>
      <c r="Y35" s="6" t="n"/>
      <c r="Z35" s="6" t="n"/>
      <c r="AA35" s="6" t="n"/>
      <c r="AB35" s="6" t="n"/>
      <c r="AC35" s="6" t="n"/>
      <c r="AD35" s="6" t="n"/>
      <c r="AE35" s="6" t="n"/>
      <c r="AF35" s="4" t="inlineStr">
        <is>
          <t>Ukraine</t>
        </is>
      </c>
      <c r="AG35" s="6" t="inlineStr">
        <is>
          <t>The IMF should engage more on climate change-related issues</t>
        </is>
      </c>
      <c r="AH35" s="6" t="inlineStr">
        <is>
          <t>Not at all</t>
        </is>
      </c>
      <c r="AI35" s="6" t="inlineStr">
        <is>
          <t>To a moderate extent</t>
        </is>
      </c>
      <c r="AJ35" s="6" t="inlineStr">
        <is>
          <t>To a slight extent</t>
        </is>
      </c>
      <c r="AK35" s="6" t="inlineStr">
        <is>
          <t>To a great extent</t>
        </is>
      </c>
      <c r="AL35" s="6" t="inlineStr">
        <is>
          <t>Don’t know or not applicable</t>
        </is>
      </c>
      <c r="AM35" s="6" t="inlineStr">
        <is>
          <t>To a great extent</t>
        </is>
      </c>
      <c r="AN35" s="6" t="inlineStr">
        <is>
          <t>To a moderate extent</t>
        </is>
      </c>
      <c r="AO35" s="6" t="inlineStr">
        <is>
          <t>To a moderate extent</t>
        </is>
      </c>
      <c r="AP35" s="6" t="inlineStr">
        <is>
          <t>To a moderate extent</t>
        </is>
      </c>
      <c r="AQ35" s="6" t="inlineStr">
        <is>
          <t>To a moderate extent</t>
        </is>
      </c>
      <c r="AR35" s="6" t="inlineStr">
        <is>
          <t>To a moderate extent</t>
        </is>
      </c>
      <c r="AS35" s="6" t="n"/>
      <c r="AT35" s="6" t="inlineStr">
        <is>
          <t>To a slight extent</t>
        </is>
      </c>
      <c r="AU35" s="6" t="inlineStr">
        <is>
          <t>Not at all</t>
        </is>
      </c>
      <c r="AV35" s="6" t="inlineStr">
        <is>
          <t>Not at all</t>
        </is>
      </c>
      <c r="AW35" s="6" t="inlineStr">
        <is>
          <t>Not at all</t>
        </is>
      </c>
      <c r="AX35" s="6" t="inlineStr">
        <is>
          <t>Not at all</t>
        </is>
      </c>
      <c r="AY35" s="6" t="inlineStr">
        <is>
          <t>Not at all</t>
        </is>
      </c>
      <c r="AZ35" s="6" t="inlineStr">
        <is>
          <t>To a slight extent</t>
        </is>
      </c>
      <c r="BA35" s="6" t="inlineStr">
        <is>
          <t>To a slight extent</t>
        </is>
      </c>
      <c r="BB35" s="6" t="inlineStr">
        <is>
          <t>To a moderate extent</t>
        </is>
      </c>
      <c r="BC35" s="6" t="inlineStr">
        <is>
          <t>To a slight extent</t>
        </is>
      </c>
      <c r="BD35" s="6" t="inlineStr">
        <is>
          <t>To a slight extent</t>
        </is>
      </c>
      <c r="BE35" s="6" t="inlineStr">
        <is>
          <t>Not at all</t>
        </is>
      </c>
      <c r="BF35" s="6" t="inlineStr">
        <is>
          <t>Not at all</t>
        </is>
      </c>
      <c r="BG35" s="6" t="inlineStr">
        <is>
          <t>Not at all</t>
        </is>
      </c>
      <c r="BH35" s="6" t="inlineStr">
        <is>
          <t>Not at all</t>
        </is>
      </c>
      <c r="BI35" s="6" t="inlineStr">
        <is>
          <t>Not at all</t>
        </is>
      </c>
      <c r="BJ35" s="6" t="inlineStr">
        <is>
          <t>To a slight extent</t>
        </is>
      </c>
      <c r="BK35" s="6" t="inlineStr">
        <is>
          <t>Not at all</t>
        </is>
      </c>
      <c r="BL35" s="6" t="inlineStr">
        <is>
          <t>To a slight extent</t>
        </is>
      </c>
      <c r="BM35" s="6" t="inlineStr">
        <is>
          <t>Not at all</t>
        </is>
      </c>
      <c r="BN35" s="6" t="inlineStr">
        <is>
          <t>Not at all</t>
        </is>
      </c>
      <c r="BO35" s="6" t="inlineStr">
        <is>
          <t>To a slight extent</t>
        </is>
      </c>
      <c r="BP35" s="6" t="inlineStr">
        <is>
          <t>To a slight extent</t>
        </is>
      </c>
      <c r="BQ35" s="6" t="inlineStr">
        <is>
          <t>To a slight extent</t>
        </is>
      </c>
      <c r="BR35" s="6" t="inlineStr">
        <is>
          <t>Not at all</t>
        </is>
      </c>
      <c r="BS35" s="6" t="n"/>
      <c r="BT35" s="6" t="inlineStr">
        <is>
          <t>The IMF should have dedicated more resources</t>
        </is>
      </c>
      <c r="BU35" s="6" t="inlineStr">
        <is>
          <t>To a great extent</t>
        </is>
      </c>
      <c r="BV35" s="6" t="inlineStr">
        <is>
          <t>To a great extent</t>
        </is>
      </c>
      <c r="BW35" s="6" t="inlineStr">
        <is>
          <t>To a great extent</t>
        </is>
      </c>
      <c r="BX35" s="6" t="inlineStr">
        <is>
          <t>Don’t know or not applicable</t>
        </is>
      </c>
      <c r="BY35" s="6" t="inlineStr">
        <is>
          <t>Don’t know or not applicable</t>
        </is>
      </c>
      <c r="BZ35" s="6" t="inlineStr">
        <is>
          <t>Don’t know or not applicable</t>
        </is>
      </c>
      <c r="CA35" s="6" t="inlineStr">
        <is>
          <t>To a moderate extent</t>
        </is>
      </c>
      <c r="CB35" s="6" t="inlineStr">
        <is>
          <t>To a moderate extent</t>
        </is>
      </c>
      <c r="CC35" s="6" t="inlineStr">
        <is>
          <t>To a moderate extent</t>
        </is>
      </c>
      <c r="CD35" s="6" t="inlineStr">
        <is>
          <t>Don’t know or not applicable</t>
        </is>
      </c>
      <c r="CE35" s="6" t="inlineStr">
        <is>
          <t>Don’t know or not applicable</t>
        </is>
      </c>
      <c r="CF35" s="6" t="inlineStr">
        <is>
          <t>Don’t know or not applicable</t>
        </is>
      </c>
      <c r="CG35" s="6" t="n"/>
      <c r="CH35" s="6" t="inlineStr">
        <is>
          <t>No</t>
        </is>
      </c>
      <c r="CI35" s="6" t="inlineStr">
        <is>
          <t>Yes</t>
        </is>
      </c>
      <c r="CJ35" s="6" t="n"/>
      <c r="CK35" s="6" t="n"/>
      <c r="CL35" s="6" t="n"/>
      <c r="CM35" s="6" t="n"/>
      <c r="CN35" s="6" t="n"/>
      <c r="CO35" s="6" t="n"/>
      <c r="CP35" s="6" t="n"/>
      <c r="CQ35" s="6" t="n"/>
      <c r="CR35" s="6" t="n"/>
      <c r="CS35" s="6" t="n"/>
      <c r="CT35" s="6" t="n"/>
      <c r="CU35" s="6" t="n"/>
      <c r="CV35" s="6" t="n"/>
      <c r="CW35" s="6" t="n"/>
      <c r="CX35" s="6" t="n"/>
      <c r="CY35" s="6" t="n"/>
      <c r="CZ35" s="6" t="n"/>
      <c r="DA35" s="6" t="n"/>
      <c r="DB35" s="6" t="n"/>
      <c r="DC35" s="6" t="n"/>
      <c r="DD35" s="6" t="n"/>
      <c r="DE35" s="6" t="n"/>
      <c r="DF35" s="6" t="n"/>
      <c r="DG35" s="6" t="n"/>
      <c r="DH35" s="6" t="n"/>
      <c r="DI35" s="6" t="n"/>
      <c r="DJ35" s="6" t="n"/>
      <c r="DK35" s="6" t="n"/>
      <c r="DL35" s="6" t="n"/>
      <c r="DM35" s="6" t="n"/>
      <c r="DN35" s="6" t="n"/>
      <c r="DO35" s="6" t="n"/>
      <c r="DP35" s="6" t="n"/>
      <c r="DQ35" s="6" t="n"/>
      <c r="DR35" s="6" t="n"/>
      <c r="DS35" s="6" t="n"/>
      <c r="DT35" s="6" t="n"/>
      <c r="DU35" s="6" t="n"/>
      <c r="DV35" s="6" t="inlineStr">
        <is>
          <t>Other (please specify) : my authorities were thinking about the RSF but were discouraged by the IMF staff to apply due to the complexity of the process in parallel with the existing another IMF arrangement</t>
        </is>
      </c>
      <c r="DW35" s="6" t="inlineStr">
        <is>
          <t>No</t>
        </is>
      </c>
      <c r="DX35" s="6" t="n"/>
      <c r="DY35" s="6" t="n"/>
      <c r="DZ35" s="6" t="n"/>
      <c r="EA35" s="6" t="n"/>
      <c r="EB35" s="6" t="n"/>
      <c r="EC35" s="6" t="n"/>
      <c r="ED35" s="6" t="n"/>
      <c r="EE35" s="6" t="n"/>
      <c r="EF35" s="6" t="inlineStr">
        <is>
          <t>To a moderate extent</t>
        </is>
      </c>
      <c r="EG35" s="6" t="inlineStr">
        <is>
          <t>To a moderate extent</t>
        </is>
      </c>
      <c r="EH35" s="6" t="inlineStr">
        <is>
          <t>To a moderate extent</t>
        </is>
      </c>
      <c r="EI35" s="6" t="inlineStr">
        <is>
          <t>To a slight extent</t>
        </is>
      </c>
      <c r="EJ35" s="6" t="inlineStr">
        <is>
          <t>To a great extent</t>
        </is>
      </c>
      <c r="EK35" s="6" t="inlineStr">
        <is>
          <t>To a great extent</t>
        </is>
      </c>
      <c r="EL35" s="6" t="inlineStr">
        <is>
          <t>To a great extent</t>
        </is>
      </c>
      <c r="EM35" s="6" t="inlineStr">
        <is>
          <t>Not at all</t>
        </is>
      </c>
      <c r="EN35" s="6" t="inlineStr">
        <is>
          <t>Not at all</t>
        </is>
      </c>
      <c r="EO35" s="6" t="inlineStr">
        <is>
          <t>To a moderate extent</t>
        </is>
      </c>
      <c r="EP35" s="6" t="n"/>
      <c r="EQ35" s="6" t="inlineStr">
        <is>
          <t>Not at all</t>
        </is>
      </c>
      <c r="ER35" s="6" t="inlineStr">
        <is>
          <t>Not at all</t>
        </is>
      </c>
      <c r="ES35" s="6" t="n"/>
      <c r="ET35" s="6" t="n"/>
      <c r="EU35" s="6" t="n"/>
      <c r="EV35" s="6" t="n"/>
      <c r="EW35" s="6" t="n"/>
      <c r="EX35" s="6" t="n"/>
      <c r="EY35" s="6" t="n"/>
      <c r="EZ35" s="6" t="n"/>
      <c r="FA35" s="6" t="n"/>
      <c r="FB35" s="6" t="n"/>
      <c r="FC35" s="6" t="n"/>
      <c r="FD35" s="6" t="n"/>
      <c r="FE35" s="6" t="n"/>
      <c r="FF35" s="6" t="n"/>
      <c r="FG35" s="6" t="n"/>
      <c r="FH35" s="6" t="n"/>
      <c r="FI35" s="6" t="n"/>
      <c r="FJ35" s="6" t="n"/>
      <c r="FK35" s="6" t="n"/>
      <c r="FL35" s="6" t="n"/>
      <c r="FM35" s="6" t="n"/>
      <c r="FN35" s="6" t="n"/>
      <c r="FO35" s="6" t="n"/>
      <c r="FP35" s="6" t="n"/>
      <c r="FQ35" s="6" t="n"/>
      <c r="FR35" s="6" t="n"/>
      <c r="FS35" s="6" t="n"/>
      <c r="FT35" s="6" t="n"/>
      <c r="FU35" s="6" t="n"/>
      <c r="FV35" s="6" t="n"/>
      <c r="FW35" s="6" t="n"/>
      <c r="FX35" s="6" t="n"/>
      <c r="FY35" s="6" t="inlineStr">
        <is>
          <t>To a moderate extent</t>
        </is>
      </c>
      <c r="FZ35" s="6" t="inlineStr">
        <is>
          <t>To a great extent</t>
        </is>
      </c>
      <c r="GA35" s="6" t="inlineStr">
        <is>
          <t>To a great extent</t>
        </is>
      </c>
      <c r="GB35" s="6" t="inlineStr">
        <is>
          <t>To a moderate extent</t>
        </is>
      </c>
      <c r="GC35" s="6" t="inlineStr">
        <is>
          <t>Don’t know or not applicable</t>
        </is>
      </c>
      <c r="GD35" s="6" t="n"/>
      <c r="GE35" s="6" t="inlineStr">
        <is>
          <t>To a great extent</t>
        </is>
      </c>
      <c r="GF35" s="6" t="inlineStr">
        <is>
          <t>To a moderate extent</t>
        </is>
      </c>
      <c r="GG35" s="6" t="inlineStr">
        <is>
          <t>To a great extent</t>
        </is>
      </c>
      <c r="GH35" s="6" t="inlineStr">
        <is>
          <t>To a slight extent</t>
        </is>
      </c>
      <c r="GI35" s="6" t="inlineStr">
        <is>
          <t>To a great extent</t>
        </is>
      </c>
      <c r="GJ35" s="6" t="inlineStr">
        <is>
          <t>To a moderate extent</t>
        </is>
      </c>
      <c r="GK35" s="6" t="n"/>
      <c r="GL35" s="7">
        <f>DATE(2025,6,6)+TIME(11,59,32)</f>
        <v/>
      </c>
    </row>
    <row r="36" ht="47.25" customHeight="1">
      <c r="A36" s="3" t="inlineStr">
        <is>
          <t>Gabriel</t>
        </is>
      </c>
      <c r="B36" s="3" t="inlineStr">
        <is>
          <t>Zhang</t>
        </is>
      </c>
      <c r="C36" s="3" t="inlineStr">
        <is>
          <t>gzhang@organization.org</t>
        </is>
      </c>
      <c r="D36" s="3" t="inlineStr">
        <is>
          <t>TKQO58BTT</t>
        </is>
      </c>
      <c r="E36" s="3" t="n"/>
      <c r="F36" s="3" t="inlineStr">
        <is>
          <t>OEDAP</t>
        </is>
      </c>
      <c r="G36" s="3" t="n"/>
      <c r="H36" s="3" t="n"/>
      <c r="I36" s="3" t="inlineStr">
        <is>
          <t>South Korea</t>
        </is>
      </c>
      <c r="J36" s="3" t="n"/>
      <c r="K36" s="3" t="n"/>
      <c r="L36" s="3" t="n"/>
      <c r="M36" s="3" t="n"/>
      <c r="N36" s="3" t="n"/>
      <c r="O36" s="3" t="n"/>
      <c r="P36" s="3" t="n"/>
      <c r="Q36" s="3" t="n"/>
      <c r="R36" s="3" t="n"/>
      <c r="S36" s="3" t="n"/>
      <c r="T36" s="3" t="n"/>
      <c r="U36" s="3" t="n"/>
      <c r="V36" s="3" t="n"/>
      <c r="W36" s="3" t="n"/>
      <c r="X36" s="3" t="n"/>
      <c r="Y36" s="3" t="n"/>
      <c r="Z36" s="3" t="n"/>
      <c r="AA36" s="3" t="n"/>
      <c r="AB36" s="3" t="n"/>
      <c r="AC36" s="3" t="n"/>
      <c r="AD36" s="3" t="n"/>
      <c r="AE36" s="3" t="n"/>
      <c r="AF36" s="4" t="inlineStr">
        <is>
          <t>South Korea</t>
        </is>
      </c>
      <c r="AG36" s="3" t="inlineStr">
        <is>
          <t>The IMF should engage a similar amount on climate change-related issues</t>
        </is>
      </c>
      <c r="AH36" s="3" t="inlineStr">
        <is>
          <t>To a great extent</t>
        </is>
      </c>
      <c r="AI36" s="3" t="inlineStr">
        <is>
          <t>To a slight extent</t>
        </is>
      </c>
      <c r="AJ36" s="3" t="inlineStr">
        <is>
          <t>To a slight extent</t>
        </is>
      </c>
      <c r="AK36" s="3" t="inlineStr">
        <is>
          <t>To a great extent</t>
        </is>
      </c>
      <c r="AL36" s="3" t="inlineStr">
        <is>
          <t>To a great extent</t>
        </is>
      </c>
      <c r="AM36" s="3" t="inlineStr">
        <is>
          <t>To a great extent</t>
        </is>
      </c>
      <c r="AN36" s="3" t="inlineStr">
        <is>
          <t>To a moderate extent</t>
        </is>
      </c>
      <c r="AO36" s="3" t="inlineStr">
        <is>
          <t>To a great extent</t>
        </is>
      </c>
      <c r="AP36" s="3" t="inlineStr">
        <is>
          <t>To a moderate extent</t>
        </is>
      </c>
      <c r="AQ36" s="3" t="inlineStr">
        <is>
          <t>Don’t know or not applicable</t>
        </is>
      </c>
      <c r="AR36" s="3" t="inlineStr">
        <is>
          <t>To a moderate extent</t>
        </is>
      </c>
      <c r="AS36" s="3" t="n"/>
      <c r="AT36" s="3" t="inlineStr">
        <is>
          <t>Don’t know or not applicable</t>
        </is>
      </c>
      <c r="AU36" s="3" t="inlineStr">
        <is>
          <t>To a moderate extent</t>
        </is>
      </c>
      <c r="AV36" s="3" t="inlineStr">
        <is>
          <t>Not at all</t>
        </is>
      </c>
      <c r="AW36" s="3" t="inlineStr">
        <is>
          <t>To a great extent</t>
        </is>
      </c>
      <c r="AX36" s="3" t="inlineStr">
        <is>
          <t>To a slight extent</t>
        </is>
      </c>
      <c r="AY36" s="3" t="inlineStr">
        <is>
          <t>To a moderate extent</t>
        </is>
      </c>
      <c r="AZ36" s="3" t="inlineStr">
        <is>
          <t>To a moderate extent</t>
        </is>
      </c>
      <c r="BA36" s="3" t="inlineStr">
        <is>
          <t>Not at all</t>
        </is>
      </c>
      <c r="BB36" s="3" t="inlineStr">
        <is>
          <t>To a great extent</t>
        </is>
      </c>
      <c r="BC36" s="3" t="inlineStr">
        <is>
          <t>To a slight extent</t>
        </is>
      </c>
      <c r="BD36" s="3" t="inlineStr">
        <is>
          <t>Don’t know or not applicable</t>
        </is>
      </c>
      <c r="BE36" s="3" t="inlineStr">
        <is>
          <t>Not at all</t>
        </is>
      </c>
      <c r="BF36" s="3" t="inlineStr">
        <is>
          <t>Not at all</t>
        </is>
      </c>
      <c r="BG36" s="3" t="inlineStr">
        <is>
          <t>To a slight extent</t>
        </is>
      </c>
      <c r="BH36" s="3" t="inlineStr">
        <is>
          <t>To a slight extent</t>
        </is>
      </c>
      <c r="BI36" s="3" t="inlineStr">
        <is>
          <t>Don’t know or not applicable</t>
        </is>
      </c>
      <c r="BJ36" s="3" t="inlineStr">
        <is>
          <t>To a slight extent</t>
        </is>
      </c>
      <c r="BK36" s="3" t="inlineStr">
        <is>
          <t>Not at all</t>
        </is>
      </c>
      <c r="BL36" s="3" t="inlineStr">
        <is>
          <t>To a slight extent</t>
        </is>
      </c>
      <c r="BM36" s="3" t="inlineStr">
        <is>
          <t>To a slight extent</t>
        </is>
      </c>
      <c r="BN36" s="3" t="inlineStr">
        <is>
          <t>Don’t know or not applicable</t>
        </is>
      </c>
      <c r="BO36" s="3" t="inlineStr">
        <is>
          <t>Don’t know or not applicable</t>
        </is>
      </c>
      <c r="BP36" s="3" t="inlineStr">
        <is>
          <t>Don’t know or not applicable</t>
        </is>
      </c>
      <c r="BQ36" s="3" t="inlineStr">
        <is>
          <t>Don’t know or not applicable</t>
        </is>
      </c>
      <c r="BR36" s="3" t="inlineStr">
        <is>
          <t>Don’t know or not applicable</t>
        </is>
      </c>
      <c r="BS36" s="3" t="n"/>
      <c r="BT36" s="3" t="inlineStr">
        <is>
          <t>The IMF dedicated an appropriate amount of resources</t>
        </is>
      </c>
      <c r="BU36" s="3" t="inlineStr">
        <is>
          <t>To a great extent</t>
        </is>
      </c>
      <c r="BV36" s="3" t="inlineStr">
        <is>
          <t>To a great extent</t>
        </is>
      </c>
      <c r="BW36" s="3" t="inlineStr">
        <is>
          <t>To a great extent</t>
        </is>
      </c>
      <c r="BX36" s="3" t="inlineStr">
        <is>
          <t>To a moderate extent</t>
        </is>
      </c>
      <c r="BY36" s="3" t="inlineStr">
        <is>
          <t>To a moderate extent</t>
        </is>
      </c>
      <c r="BZ36" s="3" t="inlineStr">
        <is>
          <t>To a moderate extent</t>
        </is>
      </c>
      <c r="CA36" s="3" t="inlineStr">
        <is>
          <t>To a moderate extent</t>
        </is>
      </c>
      <c r="CB36" s="3" t="inlineStr">
        <is>
          <t>To a moderate extent</t>
        </is>
      </c>
      <c r="CC36" s="3" t="inlineStr">
        <is>
          <t>To a moderate extent</t>
        </is>
      </c>
      <c r="CD36" s="3" t="inlineStr">
        <is>
          <t>To a great extent</t>
        </is>
      </c>
      <c r="CE36" s="3" t="inlineStr">
        <is>
          <t>To a great extent</t>
        </is>
      </c>
      <c r="CF36" s="3" t="inlineStr">
        <is>
          <t>To a great extent</t>
        </is>
      </c>
      <c r="CG36" s="3" t="n"/>
      <c r="CH36" s="3" t="inlineStr">
        <is>
          <t>No</t>
        </is>
      </c>
      <c r="CI36" s="3" t="inlineStr">
        <is>
          <t>No</t>
        </is>
      </c>
      <c r="CJ36" s="3" t="n"/>
      <c r="CK36" s="3" t="n"/>
      <c r="CL36" s="3" t="n"/>
      <c r="CM36" s="3" t="n"/>
      <c r="CN36" s="3" t="n"/>
      <c r="CO36" s="3" t="n"/>
      <c r="CP36" s="3" t="n"/>
      <c r="CQ36" s="3" t="n"/>
      <c r="CR36" s="3" t="n"/>
      <c r="CS36" s="3" t="n"/>
      <c r="CT36" s="3" t="n"/>
      <c r="CU36" s="3" t="n"/>
      <c r="CV36" s="3" t="n"/>
      <c r="CW36" s="3" t="n"/>
      <c r="CX36" s="3" t="n"/>
      <c r="CY36" s="3" t="n"/>
      <c r="CZ36" s="3" t="n"/>
      <c r="DA36" s="3" t="n"/>
      <c r="DB36" s="3" t="n"/>
      <c r="DC36" s="3" t="n"/>
      <c r="DD36" s="3" t="n"/>
      <c r="DE36" s="3" t="n"/>
      <c r="DF36" s="3" t="n"/>
      <c r="DG36" s="3" t="n"/>
      <c r="DH36" s="3" t="n"/>
      <c r="DI36" s="3" t="n"/>
      <c r="DJ36" s="3" t="n"/>
      <c r="DK36" s="3" t="n"/>
      <c r="DL36" s="3" t="n"/>
      <c r="DM36" s="3" t="n"/>
      <c r="DN36" s="3" t="n"/>
      <c r="DO36" s="3" t="n"/>
      <c r="DP36" s="3" t="n"/>
      <c r="DQ36" s="3" t="inlineStr">
        <is>
          <t>Climate change does not pose a major balance of payments risk in my country</t>
        </is>
      </c>
      <c r="DR36" s="3" t="n"/>
      <c r="DS36" s="3" t="n"/>
      <c r="DT36" s="3" t="n"/>
      <c r="DU36" s="3" t="n"/>
      <c r="DV36" s="3" t="n"/>
      <c r="DW36" s="3" t="inlineStr">
        <is>
          <t>No</t>
        </is>
      </c>
      <c r="DX36" s="3" t="n"/>
      <c r="DY36" s="3" t="n"/>
      <c r="DZ36" s="3" t="n"/>
      <c r="EA36" s="3" t="n"/>
      <c r="EB36" s="3" t="n"/>
      <c r="EC36" s="3" t="n"/>
      <c r="ED36" s="3" t="n"/>
      <c r="EE36" s="3" t="n"/>
      <c r="EF36" s="3" t="inlineStr">
        <is>
          <t>Not at all</t>
        </is>
      </c>
      <c r="EG36" s="3" t="inlineStr">
        <is>
          <t>To a moderate extent</t>
        </is>
      </c>
      <c r="EH36" s="3" t="inlineStr">
        <is>
          <t>To a moderate extent</t>
        </is>
      </c>
      <c r="EI36" s="3" t="inlineStr">
        <is>
          <t>To a great extent</t>
        </is>
      </c>
      <c r="EJ36" s="3" t="inlineStr">
        <is>
          <t>To a slight extent</t>
        </is>
      </c>
      <c r="EK36" s="3" t="inlineStr">
        <is>
          <t>To a slight extent</t>
        </is>
      </c>
      <c r="EL36" s="3" t="inlineStr">
        <is>
          <t>To a slight extent</t>
        </is>
      </c>
      <c r="EM36" s="3" t="n"/>
      <c r="EN36" s="3" t="n"/>
      <c r="EO36" s="3" t="n"/>
      <c r="EP36" s="3" t="n"/>
      <c r="EQ36" s="3" t="inlineStr">
        <is>
          <t>To a moderate extent</t>
        </is>
      </c>
      <c r="ER36" s="3" t="inlineStr">
        <is>
          <t>To a slight extent</t>
        </is>
      </c>
      <c r="ES36" s="3" t="n"/>
      <c r="ET36" s="3" t="inlineStr">
        <is>
          <t>To a slight extent</t>
        </is>
      </c>
      <c r="EU36" s="3" t="inlineStr">
        <is>
          <t>Don’t know or not applicable</t>
        </is>
      </c>
      <c r="EV36" s="3" t="inlineStr">
        <is>
          <t>Don’t know or not applicable</t>
        </is>
      </c>
      <c r="EW36" s="3" t="n"/>
      <c r="EX36" s="3" t="n"/>
      <c r="EY36" s="3" t="inlineStr">
        <is>
          <t>To a moderate extent</t>
        </is>
      </c>
      <c r="EZ36" s="3" t="inlineStr">
        <is>
          <t>Not at all</t>
        </is>
      </c>
      <c r="FA36" s="3" t="inlineStr">
        <is>
          <t>To a slight extent</t>
        </is>
      </c>
      <c r="FB36" s="3" t="inlineStr">
        <is>
          <t>To a slight extent</t>
        </is>
      </c>
      <c r="FC36" s="3" t="inlineStr">
        <is>
          <t>To a slight extent</t>
        </is>
      </c>
      <c r="FD36" s="3" t="inlineStr">
        <is>
          <t>To a slight extent</t>
        </is>
      </c>
      <c r="FE36" s="3" t="inlineStr">
        <is>
          <t>Don’t know or not applicable</t>
        </is>
      </c>
      <c r="FF36" s="3" t="inlineStr">
        <is>
          <t>Don’t know or not applicable</t>
        </is>
      </c>
      <c r="FG36" s="3" t="inlineStr">
        <is>
          <t>Don’t know or not applicable</t>
        </is>
      </c>
      <c r="FH36" s="3" t="inlineStr">
        <is>
          <t>Not at all</t>
        </is>
      </c>
      <c r="FI36" s="3" t="inlineStr">
        <is>
          <t>To a slight extent</t>
        </is>
      </c>
      <c r="FJ36" s="3" t="inlineStr">
        <is>
          <t>Not at all</t>
        </is>
      </c>
      <c r="FK36" s="3" t="inlineStr">
        <is>
          <t>To a moderate extent</t>
        </is>
      </c>
      <c r="FL36" s="3" t="inlineStr">
        <is>
          <t>To a slight extent</t>
        </is>
      </c>
      <c r="FM36" s="3" t="inlineStr">
        <is>
          <t>To a slight extent</t>
        </is>
      </c>
      <c r="FN36" s="3" t="inlineStr">
        <is>
          <t>To a slight extent</t>
        </is>
      </c>
      <c r="FO36" s="3" t="inlineStr">
        <is>
          <t>To a slight extent</t>
        </is>
      </c>
      <c r="FP36" s="3" t="inlineStr">
        <is>
          <t>To a slight extent</t>
        </is>
      </c>
      <c r="FQ36" s="3" t="inlineStr">
        <is>
          <t>To a slight extent</t>
        </is>
      </c>
      <c r="FR36" s="3" t="inlineStr">
        <is>
          <t>To a great extent</t>
        </is>
      </c>
      <c r="FS36" s="3" t="inlineStr">
        <is>
          <t>To a slight extent</t>
        </is>
      </c>
      <c r="FT36" s="3" t="inlineStr">
        <is>
          <t>Don’t know or not applicable</t>
        </is>
      </c>
      <c r="FU36" s="3" t="inlineStr">
        <is>
          <t>Don’t know or not applicable</t>
        </is>
      </c>
      <c r="FV36" s="3" t="n"/>
      <c r="FW36" s="3" t="inlineStr">
        <is>
          <t>The IMF dedicated the appropriate amount of resources</t>
        </is>
      </c>
      <c r="FX36" s="3" t="n"/>
      <c r="FY36" s="3" t="inlineStr">
        <is>
          <t>To a great extent</t>
        </is>
      </c>
      <c r="FZ36" s="3" t="inlineStr">
        <is>
          <t>To a moderate extent</t>
        </is>
      </c>
      <c r="GA36" s="3" t="inlineStr">
        <is>
          <t>To a slight extent</t>
        </is>
      </c>
      <c r="GB36" s="3" t="inlineStr">
        <is>
          <t>Not at all</t>
        </is>
      </c>
      <c r="GC36" s="3" t="n"/>
      <c r="GD36" s="3" t="n"/>
      <c r="GE36" s="3" t="inlineStr">
        <is>
          <t>To a great extent</t>
        </is>
      </c>
      <c r="GF36" s="3" t="inlineStr">
        <is>
          <t>To a great extent</t>
        </is>
      </c>
      <c r="GG36" s="3" t="inlineStr">
        <is>
          <t>To a great extent</t>
        </is>
      </c>
      <c r="GH36" s="3" t="inlineStr">
        <is>
          <t>Not at all</t>
        </is>
      </c>
      <c r="GI36" s="3" t="inlineStr">
        <is>
          <t>To a moderate extent</t>
        </is>
      </c>
      <c r="GJ36" s="3" t="inlineStr">
        <is>
          <t>To a great extent</t>
        </is>
      </c>
      <c r="GK36" s="3" t="n"/>
      <c r="GL36" s="5">
        <f>DATE(2025,5,19)+TIME(2,33,38)</f>
        <v/>
      </c>
    </row>
    <row r="37" ht="110.25" customHeight="1">
      <c r="A37" s="6" t="inlineStr">
        <is>
          <t>Victor</t>
        </is>
      </c>
      <c r="B37" s="6" t="inlineStr">
        <is>
          <t>Toure</t>
        </is>
      </c>
      <c r="C37" s="6" t="inlineStr">
        <is>
          <t>vtoure@organization.org</t>
        </is>
      </c>
      <c r="D37" s="6" t="inlineStr">
        <is>
          <t>KYZ51JIFB</t>
        </is>
      </c>
      <c r="E37" s="6" t="n"/>
      <c r="F37" s="6" t="inlineStr">
        <is>
          <t>OEDCE</t>
        </is>
      </c>
      <c r="G37" s="6" t="n"/>
      <c r="H37" s="6" t="n"/>
      <c r="I37" s="6" t="n"/>
      <c r="J37" s="6" t="n"/>
      <c r="K37" s="6" t="n"/>
      <c r="L37" s="6" t="n"/>
      <c r="M37" s="6" t="n"/>
      <c r="N37" s="6" t="inlineStr">
        <is>
          <t>Colombia</t>
        </is>
      </c>
      <c r="O37" s="6" t="n"/>
      <c r="P37" s="6" t="n"/>
      <c r="Q37" s="6" t="n"/>
      <c r="R37" s="6" t="n"/>
      <c r="S37" s="6" t="n"/>
      <c r="T37" s="6" t="n"/>
      <c r="U37" s="6" t="n"/>
      <c r="V37" s="6" t="n"/>
      <c r="W37" s="6" t="n"/>
      <c r="X37" s="6" t="n"/>
      <c r="Y37" s="6" t="n"/>
      <c r="Z37" s="6" t="n"/>
      <c r="AA37" s="6" t="n"/>
      <c r="AB37" s="6" t="n"/>
      <c r="AC37" s="6" t="n"/>
      <c r="AD37" s="6" t="n"/>
      <c r="AE37" s="6" t="n"/>
      <c r="AF37" s="4" t="inlineStr">
        <is>
          <t>Colombia</t>
        </is>
      </c>
      <c r="AG37" s="6" t="inlineStr">
        <is>
          <t>The IMF should engage more on climate change-related issues</t>
        </is>
      </c>
      <c r="AH37" s="6" t="inlineStr">
        <is>
          <t>To a great extent</t>
        </is>
      </c>
      <c r="AI37" s="6" t="inlineStr">
        <is>
          <t>To a slight extent</t>
        </is>
      </c>
      <c r="AJ37" s="6" t="inlineStr">
        <is>
          <t>To a slight extent</t>
        </is>
      </c>
      <c r="AK37" s="6" t="inlineStr">
        <is>
          <t>To a moderate extent</t>
        </is>
      </c>
      <c r="AL37" s="6" t="inlineStr">
        <is>
          <t>To a great extent</t>
        </is>
      </c>
      <c r="AM37" s="6" t="inlineStr">
        <is>
          <t>To a great extent</t>
        </is>
      </c>
      <c r="AN37" s="6" t="inlineStr">
        <is>
          <t>To a great extent</t>
        </is>
      </c>
      <c r="AO37" s="6" t="inlineStr">
        <is>
          <t>To a great extent</t>
        </is>
      </c>
      <c r="AP37" s="6" t="inlineStr">
        <is>
          <t>To a great extent</t>
        </is>
      </c>
      <c r="AQ37" s="6" t="inlineStr">
        <is>
          <t>To a great extent</t>
        </is>
      </c>
      <c r="AR37" s="6" t="inlineStr">
        <is>
          <t>To a moderate extent</t>
        </is>
      </c>
      <c r="AS37" s="6" t="n"/>
      <c r="AT37" s="6" t="inlineStr">
        <is>
          <t>To a great extent</t>
        </is>
      </c>
      <c r="AU37" s="6" t="inlineStr">
        <is>
          <t>To a great extent</t>
        </is>
      </c>
      <c r="AV37" s="6" t="inlineStr">
        <is>
          <t>To a moderate extent</t>
        </is>
      </c>
      <c r="AW37" s="6" t="inlineStr">
        <is>
          <t>To a great extent</t>
        </is>
      </c>
      <c r="AX37" s="6" t="inlineStr">
        <is>
          <t>To a great extent</t>
        </is>
      </c>
      <c r="AY37" s="6" t="inlineStr">
        <is>
          <t>To a moderate extent</t>
        </is>
      </c>
      <c r="AZ37" s="6" t="inlineStr">
        <is>
          <t>Don’t know or not applicable</t>
        </is>
      </c>
      <c r="BA37" s="6" t="inlineStr">
        <is>
          <t>Don’t know or not applicable</t>
        </is>
      </c>
      <c r="BB37" s="6" t="inlineStr">
        <is>
          <t>Don’t know or not applicable</t>
        </is>
      </c>
      <c r="BC37" s="6" t="inlineStr">
        <is>
          <t>Don’t know or not applicable</t>
        </is>
      </c>
      <c r="BD37" s="6" t="inlineStr">
        <is>
          <t>Don’t know or not applicable</t>
        </is>
      </c>
      <c r="BE37" s="6" t="inlineStr">
        <is>
          <t>Don’t know or not applicable</t>
        </is>
      </c>
      <c r="BF37" s="6" t="inlineStr">
        <is>
          <t>Don’t know or not applicable</t>
        </is>
      </c>
      <c r="BG37" s="6" t="inlineStr">
        <is>
          <t>Don’t know or not applicable</t>
        </is>
      </c>
      <c r="BH37" s="6" t="inlineStr">
        <is>
          <t>Don’t know or not applicable</t>
        </is>
      </c>
      <c r="BI37" s="6" t="inlineStr">
        <is>
          <t>Don’t know or not applicable</t>
        </is>
      </c>
      <c r="BJ37" s="6" t="inlineStr">
        <is>
          <t>To a moderate extent</t>
        </is>
      </c>
      <c r="BK37" s="6" t="inlineStr">
        <is>
          <t>To a slight extent</t>
        </is>
      </c>
      <c r="BL37" s="6" t="inlineStr">
        <is>
          <t>To a moderate extent</t>
        </is>
      </c>
      <c r="BM37" s="6" t="inlineStr">
        <is>
          <t>To a moderate extent</t>
        </is>
      </c>
      <c r="BN37" s="6" t="inlineStr">
        <is>
          <t>To a moderate extent</t>
        </is>
      </c>
      <c r="BO37" s="6" t="inlineStr">
        <is>
          <t>Don’t know or not applicable</t>
        </is>
      </c>
      <c r="BP37" s="6" t="inlineStr">
        <is>
          <t>Don’t know or not applicable</t>
        </is>
      </c>
      <c r="BQ37" s="6" t="inlineStr">
        <is>
          <t>Don’t know or not applicable</t>
        </is>
      </c>
      <c r="BR37" s="6" t="inlineStr">
        <is>
          <t>Don’t know or not applicable</t>
        </is>
      </c>
      <c r="BS37" s="6" t="n"/>
      <c r="BT37" s="6" t="inlineStr">
        <is>
          <t>The IMF should have dedicated more resources</t>
        </is>
      </c>
      <c r="BU37" s="6" t="inlineStr">
        <is>
          <t>To a great extent</t>
        </is>
      </c>
      <c r="BV37" s="6" t="inlineStr">
        <is>
          <t>To a slight extent</t>
        </is>
      </c>
      <c r="BW37" s="6" t="inlineStr">
        <is>
          <t>To a great extent</t>
        </is>
      </c>
      <c r="BX37" s="6" t="inlineStr">
        <is>
          <t>To a great extent</t>
        </is>
      </c>
      <c r="BY37" s="6" t="inlineStr">
        <is>
          <t>To a slight extent</t>
        </is>
      </c>
      <c r="BZ37" s="6" t="inlineStr">
        <is>
          <t>To a great extent</t>
        </is>
      </c>
      <c r="CA37" s="6" t="inlineStr">
        <is>
          <t>To a great extent</t>
        </is>
      </c>
      <c r="CB37" s="6" t="inlineStr">
        <is>
          <t>To a slight extent</t>
        </is>
      </c>
      <c r="CC37" s="6" t="inlineStr">
        <is>
          <t>To a great extent</t>
        </is>
      </c>
      <c r="CD37" s="6" t="inlineStr">
        <is>
          <t>To a great extent</t>
        </is>
      </c>
      <c r="CE37" s="6" t="inlineStr">
        <is>
          <t>To a slight extent</t>
        </is>
      </c>
      <c r="CF37" s="6" t="inlineStr">
        <is>
          <t>To a great extent</t>
        </is>
      </c>
      <c r="CG37" s="6" t="n"/>
      <c r="CH37" s="6" t="inlineStr">
        <is>
          <t>No</t>
        </is>
      </c>
      <c r="CI37" s="6" t="inlineStr">
        <is>
          <t>No</t>
        </is>
      </c>
      <c r="CJ37" s="6" t="n"/>
      <c r="CK37" s="6" t="n"/>
      <c r="CL37" s="6" t="n"/>
      <c r="CM37" s="6" t="n"/>
      <c r="CN37" s="6" t="n"/>
      <c r="CO37" s="6" t="n"/>
      <c r="CP37" s="6" t="n"/>
      <c r="CQ37" s="6" t="n"/>
      <c r="CR37" s="6" t="n"/>
      <c r="CS37" s="6" t="n"/>
      <c r="CT37" s="6" t="n"/>
      <c r="CU37" s="6" t="n"/>
      <c r="CV37" s="6" t="n"/>
      <c r="CW37" s="6" t="n"/>
      <c r="CX37" s="6" t="n"/>
      <c r="CY37" s="6" t="n"/>
      <c r="CZ37" s="6" t="n"/>
      <c r="DA37" s="6" t="n"/>
      <c r="DB37" s="6" t="n"/>
      <c r="DC37" s="6" t="n"/>
      <c r="DD37" s="6" t="n"/>
      <c r="DE37" s="6" t="n"/>
      <c r="DF37" s="6" t="n"/>
      <c r="DG37" s="6" t="n"/>
      <c r="DH37" s="6" t="n"/>
      <c r="DI37" s="6" t="n"/>
      <c r="DJ37" s="6" t="n"/>
      <c r="DK37" s="6" t="n"/>
      <c r="DL37" s="6" t="n"/>
      <c r="DM37" s="6" t="n"/>
      <c r="DN37" s="6" t="n"/>
      <c r="DO37" s="6" t="n"/>
      <c r="DP37" s="6" t="n"/>
      <c r="DQ37" s="6" t="n"/>
      <c r="DR37" s="6" t="n"/>
      <c r="DS37" s="6" t="inlineStr">
        <is>
          <t>More convenient alternative financing options</t>
        </is>
      </c>
      <c r="DT37" s="6" t="n"/>
      <c r="DU37" s="6" t="inlineStr">
        <is>
          <t>An RSF arrangement would have been useful, but my country had no balance of payments issues/did not need/was not willing to commit to the underlying UCT program</t>
        </is>
      </c>
      <c r="DV37" s="6" t="n"/>
      <c r="DW37" s="6" t="inlineStr">
        <is>
          <t>Yes</t>
        </is>
      </c>
      <c r="DX37" s="6" t="inlineStr">
        <is>
          <t>World Bank Group</t>
        </is>
      </c>
      <c r="DY37" s="6" t="inlineStr">
        <is>
          <t>Regional development banks</t>
        </is>
      </c>
      <c r="DZ37" s="6" t="inlineStr">
        <is>
          <t>Bilateral sources</t>
        </is>
      </c>
      <c r="EA37" s="6" t="inlineStr">
        <is>
          <t>Private sources</t>
        </is>
      </c>
      <c r="EB37" s="6" t="n"/>
      <c r="EC37" s="6" t="inlineStr">
        <is>
          <t>To a great extent</t>
        </is>
      </c>
      <c r="ED37" s="6" t="inlineStr">
        <is>
          <t>Not at all</t>
        </is>
      </c>
      <c r="EE37" s="6" t="inlineStr">
        <is>
          <t>To a moderate extent</t>
        </is>
      </c>
      <c r="EF37" s="6" t="inlineStr">
        <is>
          <t>Not at all</t>
        </is>
      </c>
      <c r="EG37" s="6" t="inlineStr">
        <is>
          <t>To a moderate extent</t>
        </is>
      </c>
      <c r="EH37" s="6" t="inlineStr">
        <is>
          <t>To a slight extent</t>
        </is>
      </c>
      <c r="EI37" s="6" t="inlineStr">
        <is>
          <t>To a great extent</t>
        </is>
      </c>
      <c r="EJ37" s="6" t="inlineStr">
        <is>
          <t>To a moderate extent</t>
        </is>
      </c>
      <c r="EK37" s="6" t="inlineStr">
        <is>
          <t>Not at all</t>
        </is>
      </c>
      <c r="EL37" s="6" t="inlineStr">
        <is>
          <t>To a moderate extent</t>
        </is>
      </c>
      <c r="EM37" s="6" t="n"/>
      <c r="EN37" s="6" t="n"/>
      <c r="EO37" s="6" t="n"/>
      <c r="EP37" s="6" t="n"/>
      <c r="EQ37" s="6" t="inlineStr">
        <is>
          <t>To a slight extent</t>
        </is>
      </c>
      <c r="ER37" s="6" t="inlineStr">
        <is>
          <t>To a slight extent</t>
        </is>
      </c>
      <c r="ES37" s="6" t="n"/>
      <c r="ET37" s="6" t="inlineStr">
        <is>
          <t>To a moderate extent</t>
        </is>
      </c>
      <c r="EU37" s="6" t="inlineStr">
        <is>
          <t>To a great extent</t>
        </is>
      </c>
      <c r="EV37" s="6" t="inlineStr">
        <is>
          <t>Don’t know or not applicable</t>
        </is>
      </c>
      <c r="EW37" s="6" t="inlineStr">
        <is>
          <t>Don’t know or not applicable</t>
        </is>
      </c>
      <c r="EX37" s="6" t="n"/>
      <c r="EY37" s="6" t="inlineStr">
        <is>
          <t>To a great extent</t>
        </is>
      </c>
      <c r="EZ37" s="6" t="inlineStr">
        <is>
          <t>To a slight extent</t>
        </is>
      </c>
      <c r="FA37" s="6" t="inlineStr">
        <is>
          <t>To a great extent</t>
        </is>
      </c>
      <c r="FB37" s="6" t="inlineStr">
        <is>
          <t>To a moderate extent</t>
        </is>
      </c>
      <c r="FC37" s="6" t="inlineStr">
        <is>
          <t>To a great extent</t>
        </is>
      </c>
      <c r="FD37" s="6" t="inlineStr">
        <is>
          <t>Don’t know or not applicable</t>
        </is>
      </c>
      <c r="FE37" s="6" t="inlineStr">
        <is>
          <t>To a slight extent</t>
        </is>
      </c>
      <c r="FF37" s="6" t="inlineStr">
        <is>
          <t>To a slight extent</t>
        </is>
      </c>
      <c r="FG37" s="6" t="inlineStr">
        <is>
          <t>To a slight extent</t>
        </is>
      </c>
      <c r="FH37" s="6" t="inlineStr">
        <is>
          <t>Don’t know or not applicable</t>
        </is>
      </c>
      <c r="FI37" s="6" t="inlineStr">
        <is>
          <t>Don’t know or not applicable</t>
        </is>
      </c>
      <c r="FJ37" s="6" t="inlineStr">
        <is>
          <t>Don’t know or not applicable</t>
        </is>
      </c>
      <c r="FK37" s="6" t="inlineStr">
        <is>
          <t>Don’t know or not applicable</t>
        </is>
      </c>
      <c r="FL37" s="6" t="inlineStr">
        <is>
          <t>Don’t know or not applicable</t>
        </is>
      </c>
      <c r="FM37" s="6" t="inlineStr">
        <is>
          <t>Don’t know or not applicable</t>
        </is>
      </c>
      <c r="FN37" s="6" t="inlineStr">
        <is>
          <t>Don’t know or not applicable</t>
        </is>
      </c>
      <c r="FO37" s="6" t="inlineStr">
        <is>
          <t>Don’t know or not applicable</t>
        </is>
      </c>
      <c r="FP37" s="6" t="inlineStr">
        <is>
          <t>Don’t know or not applicable</t>
        </is>
      </c>
      <c r="FQ37" s="6" t="inlineStr">
        <is>
          <t>Don’t know or not applicable</t>
        </is>
      </c>
      <c r="FR37" s="6" t="inlineStr">
        <is>
          <t>Don’t know or not applicable</t>
        </is>
      </c>
      <c r="FS37" s="6" t="inlineStr">
        <is>
          <t>Don’t know or not applicable</t>
        </is>
      </c>
      <c r="FT37" s="6" t="inlineStr">
        <is>
          <t>Don’t know or not applicable</t>
        </is>
      </c>
      <c r="FU37" s="6" t="inlineStr">
        <is>
          <t>Don’t know or not applicable</t>
        </is>
      </c>
      <c r="FV37" s="6" t="n"/>
      <c r="FW37" s="6" t="inlineStr">
        <is>
          <t>The IMF should have dedicated more resources</t>
        </is>
      </c>
      <c r="FX37" s="6" t="n"/>
      <c r="FY37" s="6" t="inlineStr">
        <is>
          <t>To a moderate extent</t>
        </is>
      </c>
      <c r="FZ37" s="6" t="inlineStr">
        <is>
          <t>To a slight extent</t>
        </is>
      </c>
      <c r="GA37" s="6" t="inlineStr">
        <is>
          <t>To a great extent</t>
        </is>
      </c>
      <c r="GB37" s="6" t="inlineStr">
        <is>
          <t>To a slight extent</t>
        </is>
      </c>
      <c r="GC37" s="6" t="n"/>
      <c r="GD37" s="6" t="n"/>
      <c r="GE37" s="6" t="inlineStr">
        <is>
          <t>Not at all</t>
        </is>
      </c>
      <c r="GF37" s="6" t="inlineStr">
        <is>
          <t>To a great extent</t>
        </is>
      </c>
      <c r="GG37" s="6" t="inlineStr">
        <is>
          <t>To a slight extent</t>
        </is>
      </c>
      <c r="GH37" s="6" t="inlineStr">
        <is>
          <t>To a moderate extent</t>
        </is>
      </c>
      <c r="GI37" s="6" t="inlineStr">
        <is>
          <t>To a moderate extent</t>
        </is>
      </c>
      <c r="GJ37" s="6" t="inlineStr">
        <is>
          <t>To a moderate extent</t>
        </is>
      </c>
      <c r="GK37" s="6" t="n"/>
      <c r="GL37" s="7">
        <f>DATE(2025,6,4)+TIME(9,31,41)</f>
        <v/>
      </c>
    </row>
    <row r="38" ht="110.25" customFormat="1" customHeight="1" s="9">
      <c r="A38" s="8" t="inlineStr">
        <is>
          <t>Chloe</t>
        </is>
      </c>
      <c r="B38" s="8" t="inlineStr">
        <is>
          <t>Alvarez</t>
        </is>
      </c>
      <c r="C38" s="8" t="inlineStr">
        <is>
          <t>calvarez@organization.org</t>
        </is>
      </c>
      <c r="D38" s="8" t="inlineStr">
        <is>
          <t>RVV55C2VN</t>
        </is>
      </c>
      <c r="E38" s="8" t="n"/>
      <c r="F38" s="8" t="inlineStr">
        <is>
          <t>OEDBR</t>
        </is>
      </c>
      <c r="G38" s="3" t="n"/>
      <c r="H38" s="3" t="n"/>
      <c r="I38" s="3" t="n"/>
      <c r="J38" s="3" t="n"/>
      <c r="K38" s="3" t="n"/>
      <c r="L38" s="3" t="inlineStr">
        <is>
          <t>Brazil</t>
        </is>
      </c>
      <c r="M38" s="3" t="n"/>
      <c r="N38" s="3" t="n"/>
      <c r="O38" s="3" t="n"/>
      <c r="P38" s="3" t="n"/>
      <c r="Q38" s="3" t="n"/>
      <c r="R38" s="3" t="n"/>
      <c r="S38" s="3" t="n"/>
      <c r="T38" s="3" t="n"/>
      <c r="U38" s="3" t="n"/>
      <c r="V38" s="3" t="n"/>
      <c r="W38" s="3" t="n"/>
      <c r="X38" s="3" t="n"/>
      <c r="Y38" s="3" t="n"/>
      <c r="Z38" s="3" t="n"/>
      <c r="AA38" s="3" t="n"/>
      <c r="AB38" s="3" t="n"/>
      <c r="AC38" s="3" t="n"/>
      <c r="AD38" s="3" t="n"/>
      <c r="AE38" s="3" t="n"/>
      <c r="AF38" s="9" t="inlineStr">
        <is>
          <t>Brazil</t>
        </is>
      </c>
      <c r="AG38" s="8" t="inlineStr">
        <is>
          <t>The IMF should engage more on climate change-related issues</t>
        </is>
      </c>
      <c r="AH38" s="8" t="inlineStr">
        <is>
          <t>To a moderate extent</t>
        </is>
      </c>
      <c r="AI38" s="8" t="inlineStr">
        <is>
          <t>To a slight extent</t>
        </is>
      </c>
      <c r="AJ38" s="8" t="inlineStr">
        <is>
          <t>Don’t know or not applicable</t>
        </is>
      </c>
      <c r="AK38" s="8" t="inlineStr">
        <is>
          <t>To a great extent</t>
        </is>
      </c>
      <c r="AL38" s="8" t="inlineStr">
        <is>
          <t>To a moderate extent</t>
        </is>
      </c>
      <c r="AM38" s="8" t="inlineStr">
        <is>
          <t>Don’t know or not applicable</t>
        </is>
      </c>
      <c r="AN38" s="8" t="inlineStr">
        <is>
          <t>To a great extent</t>
        </is>
      </c>
      <c r="AO38" s="8" t="inlineStr">
        <is>
          <t>Not at all</t>
        </is>
      </c>
      <c r="AP38" s="8" t="inlineStr">
        <is>
          <t>Don’t know or not applicable</t>
        </is>
      </c>
      <c r="AQ38" s="8" t="inlineStr">
        <is>
          <t>Don’t know or not applicable</t>
        </is>
      </c>
      <c r="AR38" s="8" t="inlineStr">
        <is>
          <t>To a slight extent</t>
        </is>
      </c>
      <c r="AS38" s="8" t="n"/>
      <c r="AT38" s="8" t="inlineStr">
        <is>
          <t>To a slight extent</t>
        </is>
      </c>
      <c r="AU38" s="8" t="inlineStr">
        <is>
          <t>To a moderate extent</t>
        </is>
      </c>
      <c r="AV38" s="8" t="inlineStr">
        <is>
          <t>Not at all</t>
        </is>
      </c>
      <c r="AW38" s="8" t="inlineStr">
        <is>
          <t>To a moderate extent</t>
        </is>
      </c>
      <c r="AX38" s="8" t="inlineStr">
        <is>
          <t>To a slight extent</t>
        </is>
      </c>
      <c r="AY38" s="8" t="inlineStr">
        <is>
          <t>To a moderate extent</t>
        </is>
      </c>
      <c r="AZ38" s="8" t="inlineStr">
        <is>
          <t>To a slight extent</t>
        </is>
      </c>
      <c r="BA38" s="8" t="inlineStr">
        <is>
          <t>Not at all</t>
        </is>
      </c>
      <c r="BB38" s="8" t="inlineStr">
        <is>
          <t>To a slight extent</t>
        </is>
      </c>
      <c r="BC38" s="8" t="inlineStr">
        <is>
          <t>Not at all</t>
        </is>
      </c>
      <c r="BD38" s="8" t="inlineStr">
        <is>
          <t>Don’t know or not applicable</t>
        </is>
      </c>
      <c r="BE38" s="8" t="inlineStr">
        <is>
          <t>Don’t know or not applicable</t>
        </is>
      </c>
      <c r="BF38" s="8" t="inlineStr">
        <is>
          <t>Don’t know or not applicable</t>
        </is>
      </c>
      <c r="BG38" s="8" t="inlineStr">
        <is>
          <t>Don’t know or not applicable</t>
        </is>
      </c>
      <c r="BH38" s="8" t="inlineStr">
        <is>
          <t>Don’t know or not applicable</t>
        </is>
      </c>
      <c r="BI38" s="8" t="inlineStr">
        <is>
          <t>Don’t know or not applicable</t>
        </is>
      </c>
      <c r="BJ38" s="8" t="inlineStr">
        <is>
          <t>To a moderate extent</t>
        </is>
      </c>
      <c r="BK38" s="8" t="inlineStr">
        <is>
          <t>Not at all</t>
        </is>
      </c>
      <c r="BL38" s="8" t="inlineStr">
        <is>
          <t>To a great extent</t>
        </is>
      </c>
      <c r="BM38" s="8" t="inlineStr">
        <is>
          <t>To a moderate extent</t>
        </is>
      </c>
      <c r="BN38" s="8" t="inlineStr">
        <is>
          <t>To a slight extent</t>
        </is>
      </c>
      <c r="BO38" s="8" t="inlineStr">
        <is>
          <t>To a moderate extent</t>
        </is>
      </c>
      <c r="BP38" s="8" t="inlineStr">
        <is>
          <t>To a moderate extent</t>
        </is>
      </c>
      <c r="BQ38" s="8" t="inlineStr">
        <is>
          <t>Don’t know or not applicable</t>
        </is>
      </c>
      <c r="BR38" s="8" t="inlineStr">
        <is>
          <t>Don’t know or not applicable</t>
        </is>
      </c>
      <c r="BS38" s="8" t="n"/>
      <c r="BT38" s="8" t="inlineStr">
        <is>
          <t>The IMF should have dedicated more resources</t>
        </is>
      </c>
      <c r="BU38" s="8" t="inlineStr">
        <is>
          <t>To a great extent</t>
        </is>
      </c>
      <c r="BV38" s="8" t="inlineStr">
        <is>
          <t>To a moderate extent</t>
        </is>
      </c>
      <c r="BW38" s="8" t="inlineStr">
        <is>
          <t>To a great extent</t>
        </is>
      </c>
      <c r="BX38" s="8" t="inlineStr">
        <is>
          <t>To a great extent</t>
        </is>
      </c>
      <c r="BY38" s="8" t="inlineStr">
        <is>
          <t>To a moderate extent</t>
        </is>
      </c>
      <c r="BZ38" s="8" t="inlineStr">
        <is>
          <t>To a great extent</t>
        </is>
      </c>
      <c r="CA38" s="8" t="inlineStr">
        <is>
          <t>To a moderate extent</t>
        </is>
      </c>
      <c r="CB38" s="8" t="inlineStr">
        <is>
          <t>To a slight extent</t>
        </is>
      </c>
      <c r="CC38" s="8" t="inlineStr">
        <is>
          <t>To a moderate extent</t>
        </is>
      </c>
      <c r="CD38" s="8" t="inlineStr">
        <is>
          <t>To a great extent</t>
        </is>
      </c>
      <c r="CE38" s="8" t="inlineStr">
        <is>
          <t>To a great extent</t>
        </is>
      </c>
      <c r="CF38" s="8" t="inlineStr">
        <is>
          <t>To a great extent</t>
        </is>
      </c>
      <c r="CG38" s="8" t="n"/>
      <c r="CH38" s="8" t="inlineStr">
        <is>
          <t>No</t>
        </is>
      </c>
      <c r="CI38" s="8" t="inlineStr">
        <is>
          <t>No</t>
        </is>
      </c>
      <c r="CJ38" s="8" t="n"/>
      <c r="CK38" s="8" t="n"/>
      <c r="CL38" s="8" t="n"/>
      <c r="CM38" s="8" t="n"/>
      <c r="CN38" s="8" t="n"/>
      <c r="CO38" s="8" t="n"/>
      <c r="CP38" s="8" t="n"/>
      <c r="CQ38" s="8" t="n"/>
      <c r="CR38" s="8" t="n"/>
      <c r="CS38" s="8" t="n"/>
      <c r="CT38" s="8" t="n"/>
      <c r="CU38" s="8" t="n"/>
      <c r="CV38" s="8" t="n"/>
      <c r="CW38" s="8" t="n"/>
      <c r="CX38" s="8" t="n"/>
      <c r="CY38" s="8" t="n"/>
      <c r="CZ38" s="8" t="n"/>
      <c r="DA38" s="8" t="n"/>
      <c r="DB38" s="8" t="n"/>
      <c r="DC38" s="8" t="n"/>
      <c r="DD38" s="8" t="n"/>
      <c r="DE38" s="8" t="n"/>
      <c r="DF38" s="8" t="n"/>
      <c r="DG38" s="8" t="n"/>
      <c r="DH38" s="8" t="n"/>
      <c r="DI38" s="8" t="n"/>
      <c r="DJ38" s="8" t="n"/>
      <c r="DK38" s="8" t="n"/>
      <c r="DL38" s="8" t="n"/>
      <c r="DM38" s="8" t="n"/>
      <c r="DN38" s="8" t="n"/>
      <c r="DO38" s="8" t="n"/>
      <c r="DP38" s="8" t="n"/>
      <c r="DQ38" s="8" t="n"/>
      <c r="DR38" s="8" t="n"/>
      <c r="DS38" s="8" t="inlineStr">
        <is>
          <t>More convenient alternative financing options</t>
        </is>
      </c>
      <c r="DT38" s="8" t="n"/>
      <c r="DU38" s="8" t="inlineStr">
        <is>
          <t>An RSF arrangement would have been useful, but my country had no balance of payments issues/did not need/was not willing to commit to the underlying UCT program</t>
        </is>
      </c>
      <c r="DV38" s="8" t="n"/>
      <c r="DW38" s="8" t="inlineStr">
        <is>
          <t>Yes</t>
        </is>
      </c>
      <c r="DX38" s="8" t="inlineStr">
        <is>
          <t>World Bank Group</t>
        </is>
      </c>
      <c r="DY38" s="8" t="n"/>
      <c r="DZ38" s="8" t="inlineStr">
        <is>
          <t>Bilateral sources</t>
        </is>
      </c>
      <c r="EA38" s="8" t="inlineStr">
        <is>
          <t>Private sources</t>
        </is>
      </c>
      <c r="EB38" s="8" t="n"/>
      <c r="EC38" s="8" t="inlineStr">
        <is>
          <t>Don’t know or not applicable</t>
        </is>
      </c>
      <c r="ED38" s="8" t="inlineStr">
        <is>
          <t>Don’t know or not applicable</t>
        </is>
      </c>
      <c r="EE38" s="8" t="inlineStr">
        <is>
          <t>Don’t know or not applicable</t>
        </is>
      </c>
      <c r="EF38" s="8" t="inlineStr">
        <is>
          <t>Not at all</t>
        </is>
      </c>
      <c r="EG38" s="8" t="inlineStr">
        <is>
          <t>To a moderate extent</t>
        </is>
      </c>
      <c r="EH38" s="8" t="inlineStr">
        <is>
          <t>Don’t know or not applicable</t>
        </is>
      </c>
      <c r="EI38" s="8" t="inlineStr">
        <is>
          <t>Don’t know or not applicable</t>
        </is>
      </c>
      <c r="EJ38" s="8" t="inlineStr">
        <is>
          <t>To a great extent</t>
        </is>
      </c>
      <c r="EK38" s="8" t="inlineStr">
        <is>
          <t>To a great extent</t>
        </is>
      </c>
      <c r="EL38" s="8" t="inlineStr">
        <is>
          <t>To a great extent</t>
        </is>
      </c>
      <c r="EM38" s="8" t="n"/>
      <c r="EN38" s="8" t="n"/>
      <c r="EO38" s="8" t="n"/>
      <c r="EP38" s="8" t="n"/>
      <c r="EQ38" s="8" t="inlineStr">
        <is>
          <t>Not at all</t>
        </is>
      </c>
      <c r="ER38" s="8" t="inlineStr">
        <is>
          <t>Not at all</t>
        </is>
      </c>
      <c r="ES38" s="8" t="n"/>
      <c r="ET38" s="8" t="n"/>
      <c r="EU38" s="8" t="n"/>
      <c r="EV38" s="8" t="n"/>
      <c r="EW38" s="8" t="n"/>
      <c r="EX38" s="8" t="n"/>
      <c r="EY38" s="8" t="n"/>
      <c r="EZ38" s="8" t="n"/>
      <c r="FA38" s="8" t="n"/>
      <c r="FB38" s="8" t="n"/>
      <c r="FC38" s="8" t="n"/>
      <c r="FD38" s="8" t="n"/>
      <c r="FE38" s="8" t="n"/>
      <c r="FF38" s="8" t="n"/>
      <c r="FG38" s="8" t="n"/>
      <c r="FH38" s="8" t="n"/>
      <c r="FI38" s="8" t="n"/>
      <c r="FJ38" s="8" t="n"/>
      <c r="FK38" s="8" t="n"/>
      <c r="FL38" s="8" t="n"/>
      <c r="FM38" s="8" t="n"/>
      <c r="FN38" s="8" t="n"/>
      <c r="FO38" s="8" t="n"/>
      <c r="FP38" s="8" t="n"/>
      <c r="FQ38" s="8" t="n"/>
      <c r="FR38" s="8" t="n"/>
      <c r="FS38" s="8" t="n"/>
      <c r="FT38" s="8" t="n"/>
      <c r="FU38" s="8" t="n"/>
      <c r="FV38" s="8" t="n"/>
      <c r="FW38" s="8" t="n"/>
      <c r="FX38" s="8" t="n"/>
      <c r="FY38" s="8" t="inlineStr">
        <is>
          <t>To a great extent</t>
        </is>
      </c>
      <c r="FZ38" s="8" t="inlineStr">
        <is>
          <t>To a great extent</t>
        </is>
      </c>
      <c r="GA38" s="8" t="inlineStr">
        <is>
          <t>To a great extent</t>
        </is>
      </c>
      <c r="GB38" s="8" t="inlineStr">
        <is>
          <t>To a great extent</t>
        </is>
      </c>
      <c r="GC38" s="8" t="n"/>
      <c r="GD38" s="8" t="n"/>
      <c r="GE38" s="8" t="inlineStr">
        <is>
          <t>To a great extent</t>
        </is>
      </c>
      <c r="GF38" s="8" t="inlineStr">
        <is>
          <t>To a great extent</t>
        </is>
      </c>
      <c r="GG38" s="8" t="inlineStr">
        <is>
          <t>To a moderate extent</t>
        </is>
      </c>
      <c r="GH38" s="8" t="inlineStr">
        <is>
          <t>To a great extent</t>
        </is>
      </c>
      <c r="GI38" s="8" t="inlineStr">
        <is>
          <t>To a moderate extent</t>
        </is>
      </c>
      <c r="GJ38" s="8" t="inlineStr">
        <is>
          <t>To a great extent</t>
        </is>
      </c>
      <c r="GK38" s="8" t="n"/>
      <c r="GL38" s="10">
        <f>DATE(2025,6,12)+TIME(15,47,18)</f>
        <v/>
      </c>
    </row>
    <row r="39" ht="47.25" customHeight="1">
      <c r="A39" s="6" t="inlineStr">
        <is>
          <t>Ingrid</t>
        </is>
      </c>
      <c r="B39" s="6" t="inlineStr">
        <is>
          <t>Mensah</t>
        </is>
      </c>
      <c r="C39" s="6" t="inlineStr">
        <is>
          <t>imensah@organization.org</t>
        </is>
      </c>
      <c r="D39" s="6" t="inlineStr">
        <is>
          <t>JZRX2Y2ZZ</t>
        </is>
      </c>
      <c r="E39" s="6" t="n"/>
      <c r="F39" s="6" t="inlineStr">
        <is>
          <t>OEDCE</t>
        </is>
      </c>
      <c r="G39" s="6" t="n"/>
      <c r="H39" s="6" t="n"/>
      <c r="I39" s="6" t="n"/>
      <c r="J39" s="6" t="n"/>
      <c r="K39" s="6" t="n"/>
      <c r="L39" s="6" t="n"/>
      <c r="M39" s="6" t="n"/>
      <c r="N39" s="6" t="inlineStr">
        <is>
          <t>El Salvador</t>
        </is>
      </c>
      <c r="O39" s="6" t="n"/>
      <c r="P39" s="6" t="n"/>
      <c r="Q39" s="6" t="n"/>
      <c r="R39" s="6" t="n"/>
      <c r="S39" s="6" t="n"/>
      <c r="T39" s="6" t="n"/>
      <c r="U39" s="6" t="n"/>
      <c r="V39" s="6" t="n"/>
      <c r="W39" s="6" t="n"/>
      <c r="X39" s="6" t="n"/>
      <c r="Y39" s="6" t="n"/>
      <c r="Z39" s="6" t="n"/>
      <c r="AA39" s="6" t="n"/>
      <c r="AB39" s="6" t="n"/>
      <c r="AC39" s="6" t="n"/>
      <c r="AD39" s="6" t="n"/>
      <c r="AE39" s="6" t="n"/>
      <c r="AF39" s="4" t="inlineStr">
        <is>
          <t>El Salvador</t>
        </is>
      </c>
      <c r="AG39" s="6" t="inlineStr">
        <is>
          <t>The IMF should engage a similar amount on climate change-related issues</t>
        </is>
      </c>
      <c r="AH39" s="6" t="inlineStr">
        <is>
          <t>To a moderate extent</t>
        </is>
      </c>
      <c r="AI39" s="6" t="inlineStr">
        <is>
          <t>To a moderate extent</t>
        </is>
      </c>
      <c r="AJ39" s="6" t="inlineStr">
        <is>
          <t>To a moderate extent</t>
        </is>
      </c>
      <c r="AK39" s="6" t="inlineStr">
        <is>
          <t>To a moderate extent</t>
        </is>
      </c>
      <c r="AL39" s="6" t="inlineStr">
        <is>
          <t>To a moderate extent</t>
        </is>
      </c>
      <c r="AM39" s="6" t="inlineStr">
        <is>
          <t>To a moderate extent</t>
        </is>
      </c>
      <c r="AN39" s="6" t="inlineStr">
        <is>
          <t>To a moderate extent</t>
        </is>
      </c>
      <c r="AO39" s="6" t="inlineStr">
        <is>
          <t>To a moderate extent</t>
        </is>
      </c>
      <c r="AP39" s="6" t="inlineStr">
        <is>
          <t>To a moderate extent</t>
        </is>
      </c>
      <c r="AQ39" s="6" t="inlineStr">
        <is>
          <t>To a moderate extent</t>
        </is>
      </c>
      <c r="AR39" s="6" t="inlineStr">
        <is>
          <t>To a moderate extent</t>
        </is>
      </c>
      <c r="AS39" s="6" t="n"/>
      <c r="AT39" s="6" t="inlineStr">
        <is>
          <t>To a moderate extent</t>
        </is>
      </c>
      <c r="AU39" s="6" t="inlineStr">
        <is>
          <t>To a moderate extent</t>
        </is>
      </c>
      <c r="AV39" s="6" t="inlineStr">
        <is>
          <t>To a moderate extent</t>
        </is>
      </c>
      <c r="AW39" s="6" t="inlineStr">
        <is>
          <t>To a moderate extent</t>
        </is>
      </c>
      <c r="AX39" s="6" t="inlineStr">
        <is>
          <t>To a moderate extent</t>
        </is>
      </c>
      <c r="AY39" s="6" t="inlineStr">
        <is>
          <t>To a moderate extent</t>
        </is>
      </c>
      <c r="AZ39" s="6" t="inlineStr">
        <is>
          <t>To a moderate extent</t>
        </is>
      </c>
      <c r="BA39" s="6" t="inlineStr">
        <is>
          <t>To a moderate extent</t>
        </is>
      </c>
      <c r="BB39" s="6" t="inlineStr">
        <is>
          <t>To a moderate extent</t>
        </is>
      </c>
      <c r="BC39" s="6" t="inlineStr">
        <is>
          <t>To a moderate extent</t>
        </is>
      </c>
      <c r="BD39" s="6" t="inlineStr">
        <is>
          <t>To a moderate extent</t>
        </is>
      </c>
      <c r="BE39" s="6" t="inlineStr">
        <is>
          <t>To a moderate extent</t>
        </is>
      </c>
      <c r="BF39" s="6" t="inlineStr">
        <is>
          <t>To a moderate extent</t>
        </is>
      </c>
      <c r="BG39" s="6" t="inlineStr">
        <is>
          <t>To a moderate extent</t>
        </is>
      </c>
      <c r="BH39" s="6" t="inlineStr">
        <is>
          <t>To a moderate extent</t>
        </is>
      </c>
      <c r="BI39" s="6" t="inlineStr">
        <is>
          <t>To a moderate extent</t>
        </is>
      </c>
      <c r="BJ39" s="6" t="inlineStr">
        <is>
          <t>To a moderate extent</t>
        </is>
      </c>
      <c r="BK39" s="6" t="inlineStr">
        <is>
          <t>To a moderate extent</t>
        </is>
      </c>
      <c r="BL39" s="6" t="inlineStr">
        <is>
          <t>To a great extent</t>
        </is>
      </c>
      <c r="BM39" s="6" t="inlineStr">
        <is>
          <t>To a moderate extent</t>
        </is>
      </c>
      <c r="BN39" s="6" t="inlineStr">
        <is>
          <t>To a moderate extent</t>
        </is>
      </c>
      <c r="BO39" s="6" t="inlineStr">
        <is>
          <t>To a slight extent</t>
        </is>
      </c>
      <c r="BP39" s="6" t="inlineStr">
        <is>
          <t>Don’t know or not applicable</t>
        </is>
      </c>
      <c r="BQ39" s="6" t="inlineStr">
        <is>
          <t>Don’t know or not applicable</t>
        </is>
      </c>
      <c r="BR39" s="6" t="inlineStr">
        <is>
          <t>Don’t know or not applicable</t>
        </is>
      </c>
      <c r="BS39" s="6" t="n"/>
      <c r="BT39" s="6" t="inlineStr">
        <is>
          <t>The IMF should have dedicated more resources</t>
        </is>
      </c>
      <c r="BU39" s="6" t="inlineStr">
        <is>
          <t>To a moderate extent</t>
        </is>
      </c>
      <c r="BV39" s="6" t="inlineStr">
        <is>
          <t>To a moderate extent</t>
        </is>
      </c>
      <c r="BW39" s="6" t="inlineStr">
        <is>
          <t>To a moderate extent</t>
        </is>
      </c>
      <c r="BX39" s="6" t="inlineStr">
        <is>
          <t>To a great extent</t>
        </is>
      </c>
      <c r="BY39" s="6" t="inlineStr">
        <is>
          <t>To a great extent</t>
        </is>
      </c>
      <c r="BZ39" s="6" t="inlineStr">
        <is>
          <t>To a great extent</t>
        </is>
      </c>
      <c r="CA39" s="6" t="inlineStr">
        <is>
          <t>To a great extent</t>
        </is>
      </c>
      <c r="CB39" s="6" t="inlineStr">
        <is>
          <t>To a great extent</t>
        </is>
      </c>
      <c r="CC39" s="6" t="inlineStr">
        <is>
          <t>To a great extent</t>
        </is>
      </c>
      <c r="CD39" s="6" t="inlineStr">
        <is>
          <t>To a great extent</t>
        </is>
      </c>
      <c r="CE39" s="6" t="inlineStr">
        <is>
          <t>To a great extent</t>
        </is>
      </c>
      <c r="CF39" s="6" t="inlineStr">
        <is>
          <t>To a great extent</t>
        </is>
      </c>
      <c r="CG39" s="6" t="n"/>
      <c r="CH39" s="6" t="inlineStr">
        <is>
          <t>No</t>
        </is>
      </c>
      <c r="CI39" s="6" t="inlineStr">
        <is>
          <t>Yes</t>
        </is>
      </c>
      <c r="CJ39" s="6" t="n"/>
      <c r="CK39" s="6" t="n"/>
      <c r="CL39" s="6" t="n"/>
      <c r="CM39" s="6" t="n"/>
      <c r="CN39" s="6" t="n"/>
      <c r="CO39" s="6" t="n"/>
      <c r="CP39" s="6" t="n"/>
      <c r="CQ39" s="6" t="n"/>
      <c r="CR39" s="6" t="n"/>
      <c r="CS39" s="6" t="n"/>
      <c r="CT39" s="6" t="n"/>
      <c r="CU39" s="6" t="n"/>
      <c r="CV39" s="6" t="n"/>
      <c r="CW39" s="6" t="n"/>
      <c r="CX39" s="6" t="n"/>
      <c r="CY39" s="6" t="n"/>
      <c r="CZ39" s="6" t="n"/>
      <c r="DA39" s="6" t="n"/>
      <c r="DB39" s="6" t="n"/>
      <c r="DC39" s="6" t="n"/>
      <c r="DD39" s="6" t="n"/>
      <c r="DE39" s="6" t="n"/>
      <c r="DF39" s="6" t="n"/>
      <c r="DG39" s="6" t="n"/>
      <c r="DH39" s="6" t="n"/>
      <c r="DI39" s="6" t="n"/>
      <c r="DJ39" s="6" t="n"/>
      <c r="DK39" s="6" t="n"/>
      <c r="DL39" s="6" t="n"/>
      <c r="DM39" s="6" t="n"/>
      <c r="DN39" s="6" t="n"/>
      <c r="DO39" s="6" t="n"/>
      <c r="DP39" s="6" t="n"/>
      <c r="DQ39" s="6" t="n"/>
      <c r="DR39" s="6" t="n"/>
      <c r="DS39" s="6" t="inlineStr">
        <is>
          <t>More convenient alternative financing options</t>
        </is>
      </c>
      <c r="DT39" s="6" t="n"/>
      <c r="DU39" s="6" t="n"/>
      <c r="DV39" s="6" t="n"/>
      <c r="DW39" s="6" t="inlineStr">
        <is>
          <t>Yes</t>
        </is>
      </c>
      <c r="DX39" s="6" t="inlineStr">
        <is>
          <t>World Bank Group</t>
        </is>
      </c>
      <c r="DY39" s="6" t="inlineStr">
        <is>
          <t>Regional development banks</t>
        </is>
      </c>
      <c r="DZ39" s="6" t="inlineStr">
        <is>
          <t>Bilateral sources</t>
        </is>
      </c>
      <c r="EA39" s="6" t="n"/>
      <c r="EB39" s="6" t="n"/>
      <c r="EC39" s="6" t="inlineStr">
        <is>
          <t>To a great extent</t>
        </is>
      </c>
      <c r="ED39" s="6" t="inlineStr">
        <is>
          <t>To a slight extent</t>
        </is>
      </c>
      <c r="EE39" s="6" t="inlineStr">
        <is>
          <t>To a great extent</t>
        </is>
      </c>
      <c r="EF39" s="6" t="inlineStr">
        <is>
          <t>To a moderate extent</t>
        </is>
      </c>
      <c r="EG39" s="6" t="inlineStr">
        <is>
          <t>To a moderate extent</t>
        </is>
      </c>
      <c r="EH39" s="6" t="inlineStr">
        <is>
          <t>To a moderate extent</t>
        </is>
      </c>
      <c r="EI39" s="6" t="inlineStr">
        <is>
          <t>To a great extent</t>
        </is>
      </c>
      <c r="EJ39" s="6" t="inlineStr">
        <is>
          <t>To a great extent</t>
        </is>
      </c>
      <c r="EK39" s="6" t="inlineStr">
        <is>
          <t>To a great extent</t>
        </is>
      </c>
      <c r="EL39" s="6" t="inlineStr">
        <is>
          <t>To a great extent</t>
        </is>
      </c>
      <c r="EM39" s="6" t="inlineStr">
        <is>
          <t>To a moderate extent</t>
        </is>
      </c>
      <c r="EN39" s="6" t="inlineStr">
        <is>
          <t>To a moderate extent</t>
        </is>
      </c>
      <c r="EO39" s="6" t="inlineStr">
        <is>
          <t>To a moderate extent</t>
        </is>
      </c>
      <c r="EP39" s="6" t="n"/>
      <c r="EQ39" s="6" t="inlineStr">
        <is>
          <t>Not at all</t>
        </is>
      </c>
      <c r="ER39" s="6" t="inlineStr">
        <is>
          <t>To a slight extent</t>
        </is>
      </c>
      <c r="ES39" s="6" t="n"/>
      <c r="ET39" s="6" t="n"/>
      <c r="EU39" s="6" t="n"/>
      <c r="EV39" s="6" t="n"/>
      <c r="EW39" s="6" t="n"/>
      <c r="EX39" s="6" t="n"/>
      <c r="EY39" s="6" t="n"/>
      <c r="EZ39" s="6" t="n"/>
      <c r="FA39" s="6" t="n"/>
      <c r="FB39" s="6" t="n"/>
      <c r="FC39" s="6" t="n"/>
      <c r="FD39" s="6" t="n"/>
      <c r="FE39" s="6" t="n"/>
      <c r="FF39" s="6" t="n"/>
      <c r="FG39" s="6" t="n"/>
      <c r="FH39" s="6" t="inlineStr">
        <is>
          <t>To a moderate extent</t>
        </is>
      </c>
      <c r="FI39" s="6" t="inlineStr">
        <is>
          <t>To a moderate extent</t>
        </is>
      </c>
      <c r="FJ39" s="6" t="inlineStr">
        <is>
          <t>To a moderate extent</t>
        </is>
      </c>
      <c r="FK39" s="6" t="inlineStr">
        <is>
          <t>Not at all</t>
        </is>
      </c>
      <c r="FL39" s="6" t="inlineStr">
        <is>
          <t>To a slight extent</t>
        </is>
      </c>
      <c r="FM39" s="6" t="inlineStr">
        <is>
          <t>To a slight extent</t>
        </is>
      </c>
      <c r="FN39" s="6" t="inlineStr">
        <is>
          <t>To a slight extent</t>
        </is>
      </c>
      <c r="FO39" s="6" t="inlineStr">
        <is>
          <t>Not at all</t>
        </is>
      </c>
      <c r="FP39" s="6" t="inlineStr">
        <is>
          <t>Not at all</t>
        </is>
      </c>
      <c r="FQ39" s="6" t="inlineStr">
        <is>
          <t>Not at all</t>
        </is>
      </c>
      <c r="FR39" s="6" t="inlineStr">
        <is>
          <t>Not at all</t>
        </is>
      </c>
      <c r="FS39" s="6" t="inlineStr">
        <is>
          <t>Not at all</t>
        </is>
      </c>
      <c r="FT39" s="6" t="inlineStr">
        <is>
          <t>Not at all</t>
        </is>
      </c>
      <c r="FU39" s="6" t="inlineStr">
        <is>
          <t>Not at all</t>
        </is>
      </c>
      <c r="FV39" s="6" t="n"/>
      <c r="FW39" s="6" t="inlineStr">
        <is>
          <t>The IMF should have dedicated more resources</t>
        </is>
      </c>
      <c r="FX39" s="6" t="n"/>
      <c r="FY39" s="6" t="inlineStr">
        <is>
          <t>To a great extent</t>
        </is>
      </c>
      <c r="FZ39" s="6" t="inlineStr">
        <is>
          <t>To a great extent</t>
        </is>
      </c>
      <c r="GA39" s="6" t="inlineStr">
        <is>
          <t>To a great extent</t>
        </is>
      </c>
      <c r="GB39" s="6" t="inlineStr">
        <is>
          <t>To a great extent</t>
        </is>
      </c>
      <c r="GC39" s="6" t="inlineStr">
        <is>
          <t>Don’t know or not applicable</t>
        </is>
      </c>
      <c r="GD39" s="6" t="n"/>
      <c r="GE39" s="6" t="inlineStr">
        <is>
          <t>To a great extent</t>
        </is>
      </c>
      <c r="GF39" s="6" t="inlineStr">
        <is>
          <t>To a great extent</t>
        </is>
      </c>
      <c r="GG39" s="6" t="inlineStr">
        <is>
          <t>To a great extent</t>
        </is>
      </c>
      <c r="GH39" s="6" t="inlineStr">
        <is>
          <t>Don’t know or not applicable</t>
        </is>
      </c>
      <c r="GI39" s="6" t="inlineStr">
        <is>
          <t>Don’t know or not applicable</t>
        </is>
      </c>
      <c r="GJ39" s="6" t="inlineStr">
        <is>
          <t>To a great extent</t>
        </is>
      </c>
      <c r="GK39" s="6" t="n"/>
      <c r="GL39" s="7">
        <f>DATE(2025,5,21)+TIME(11,5,23)</f>
        <v/>
      </c>
    </row>
    <row r="40" ht="47.25" customHeight="1">
      <c r="A40" s="3" t="inlineStr">
        <is>
          <t>Leo</t>
        </is>
      </c>
      <c r="B40" s="3" t="inlineStr">
        <is>
          <t>Asante</t>
        </is>
      </c>
      <c r="C40" s="3" t="inlineStr">
        <is>
          <t>lasante@organization.org</t>
        </is>
      </c>
      <c r="D40" s="3" t="inlineStr">
        <is>
          <t>6GZ5MZV7W</t>
        </is>
      </c>
      <c r="E40" s="3" t="n"/>
      <c r="F40" s="3" t="inlineStr">
        <is>
          <t>OEDEC</t>
        </is>
      </c>
      <c r="G40" s="3" t="n"/>
      <c r="H40" s="3" t="n"/>
      <c r="I40" s="3" t="n"/>
      <c r="J40" s="3" t="n"/>
      <c r="K40" s="3" t="n"/>
      <c r="L40" s="3" t="n"/>
      <c r="M40" s="3" t="n"/>
      <c r="N40" s="3" t="n"/>
      <c r="O40" s="3" t="n"/>
      <c r="P40" s="3" t="inlineStr">
        <is>
          <t>Belarus</t>
        </is>
      </c>
      <c r="Q40" s="3" t="n"/>
      <c r="R40" s="3" t="n"/>
      <c r="S40" s="3" t="n"/>
      <c r="T40" s="3" t="n"/>
      <c r="U40" s="3" t="n"/>
      <c r="V40" s="3" t="n"/>
      <c r="W40" s="3" t="n"/>
      <c r="X40" s="3" t="n"/>
      <c r="Y40" s="3" t="n"/>
      <c r="Z40" s="3" t="n"/>
      <c r="AA40" s="3" t="n"/>
      <c r="AB40" s="3" t="n"/>
      <c r="AC40" s="3" t="n"/>
      <c r="AD40" s="3" t="n"/>
      <c r="AE40" s="3" t="n"/>
      <c r="AF40" s="4" t="inlineStr">
        <is>
          <t>Belarus</t>
        </is>
      </c>
      <c r="AG40" s="3" t="inlineStr">
        <is>
          <t>The IMF should engage a similar amount on climate change-related issues</t>
        </is>
      </c>
      <c r="AH40" s="3" t="inlineStr">
        <is>
          <t>To a moderate extent</t>
        </is>
      </c>
      <c r="AI40" s="3" t="inlineStr">
        <is>
          <t>Don’t know or not applicable</t>
        </is>
      </c>
      <c r="AJ40" s="3" t="inlineStr">
        <is>
          <t>To a great extent</t>
        </is>
      </c>
      <c r="AK40" s="3" t="inlineStr">
        <is>
          <t>To a moderate extent</t>
        </is>
      </c>
      <c r="AL40" s="3" t="inlineStr">
        <is>
          <t>Don’t know or not applicable</t>
        </is>
      </c>
      <c r="AM40" s="3" t="inlineStr">
        <is>
          <t>Don’t know or not applicable</t>
        </is>
      </c>
      <c r="AN40" s="3" t="inlineStr">
        <is>
          <t>Don’t know or not applicable</t>
        </is>
      </c>
      <c r="AO40" s="3" t="inlineStr">
        <is>
          <t>Don’t know or not applicable</t>
        </is>
      </c>
      <c r="AP40" s="3" t="inlineStr">
        <is>
          <t>Don’t know or not applicable</t>
        </is>
      </c>
      <c r="AQ40" s="3" t="inlineStr">
        <is>
          <t>Don’t know or not applicable</t>
        </is>
      </c>
      <c r="AR40" s="3" t="inlineStr">
        <is>
          <t>Don’t know or not applicable</t>
        </is>
      </c>
      <c r="AS40" s="3" t="n"/>
      <c r="AT40" s="3" t="inlineStr">
        <is>
          <t>Don’t know or not applicable</t>
        </is>
      </c>
      <c r="AU40" s="3" t="inlineStr">
        <is>
          <t>Don’t know or not applicable</t>
        </is>
      </c>
      <c r="AV40" s="3" t="inlineStr">
        <is>
          <t>Not at all</t>
        </is>
      </c>
      <c r="AW40" s="3" t="inlineStr">
        <is>
          <t>Don’t know or not applicable</t>
        </is>
      </c>
      <c r="AX40" s="3" t="inlineStr">
        <is>
          <t>Don’t know or not applicable</t>
        </is>
      </c>
      <c r="AY40" s="3" t="inlineStr">
        <is>
          <t>Don’t know or not applicable</t>
        </is>
      </c>
      <c r="AZ40" s="3" t="inlineStr">
        <is>
          <t>Don’t know or not applicable</t>
        </is>
      </c>
      <c r="BA40" s="3" t="inlineStr">
        <is>
          <t>Not at all</t>
        </is>
      </c>
      <c r="BB40" s="3" t="inlineStr">
        <is>
          <t>Don’t know or not applicable</t>
        </is>
      </c>
      <c r="BC40" s="3" t="inlineStr">
        <is>
          <t>Don’t know or not applicable</t>
        </is>
      </c>
      <c r="BD40" s="3" t="inlineStr">
        <is>
          <t>Don’t know or not applicable</t>
        </is>
      </c>
      <c r="BE40" s="3" t="inlineStr">
        <is>
          <t>Not at all</t>
        </is>
      </c>
      <c r="BF40" s="3" t="inlineStr">
        <is>
          <t>Not at all</t>
        </is>
      </c>
      <c r="BG40" s="3" t="inlineStr">
        <is>
          <t>Don’t know or not applicable</t>
        </is>
      </c>
      <c r="BH40" s="3" t="inlineStr">
        <is>
          <t>Don’t know or not applicable</t>
        </is>
      </c>
      <c r="BI40" s="3" t="inlineStr">
        <is>
          <t>Don’t know or not applicable</t>
        </is>
      </c>
      <c r="BJ40" s="3" t="inlineStr">
        <is>
          <t>Don’t know or not applicable</t>
        </is>
      </c>
      <c r="BK40" s="3" t="inlineStr">
        <is>
          <t>Not at all</t>
        </is>
      </c>
      <c r="BL40" s="3" t="inlineStr">
        <is>
          <t>To a moderate extent</t>
        </is>
      </c>
      <c r="BM40" s="3" t="inlineStr">
        <is>
          <t>Don’t know or not applicable</t>
        </is>
      </c>
      <c r="BN40" s="3" t="inlineStr">
        <is>
          <t>Don’t know or not applicable</t>
        </is>
      </c>
      <c r="BO40" s="3" t="inlineStr">
        <is>
          <t>Don’t know or not applicable</t>
        </is>
      </c>
      <c r="BP40" s="3" t="inlineStr">
        <is>
          <t>Don’t know or not applicable</t>
        </is>
      </c>
      <c r="BQ40" s="3" t="inlineStr">
        <is>
          <t>Don’t know or not applicable</t>
        </is>
      </c>
      <c r="BR40" s="3" t="inlineStr">
        <is>
          <t>Don’t know or not applicable</t>
        </is>
      </c>
      <c r="BS40" s="3" t="n"/>
      <c r="BT40" s="3" t="inlineStr">
        <is>
          <t>The IMF dedicated an appropriate amount of resources</t>
        </is>
      </c>
      <c r="BU40" s="3" t="inlineStr">
        <is>
          <t>To a slight extent</t>
        </is>
      </c>
      <c r="BV40" s="3" t="inlineStr">
        <is>
          <t>To a slight extent</t>
        </is>
      </c>
      <c r="BW40" s="3" t="inlineStr">
        <is>
          <t>To a moderate extent</t>
        </is>
      </c>
      <c r="BX40" s="3" t="inlineStr">
        <is>
          <t>To a slight extent</t>
        </is>
      </c>
      <c r="BY40" s="3" t="inlineStr">
        <is>
          <t>To a slight extent</t>
        </is>
      </c>
      <c r="BZ40" s="3" t="inlineStr">
        <is>
          <t>To a moderate extent</t>
        </is>
      </c>
      <c r="CA40" s="3" t="inlineStr">
        <is>
          <t>To a slight extent</t>
        </is>
      </c>
      <c r="CB40" s="3" t="inlineStr">
        <is>
          <t>To a slight extent</t>
        </is>
      </c>
      <c r="CC40" s="3" t="inlineStr">
        <is>
          <t>To a moderate extent</t>
        </is>
      </c>
      <c r="CD40" s="3" t="inlineStr">
        <is>
          <t>To a moderate extent</t>
        </is>
      </c>
      <c r="CE40" s="3" t="inlineStr">
        <is>
          <t>To a slight extent</t>
        </is>
      </c>
      <c r="CF40" s="3" t="inlineStr">
        <is>
          <t>To a moderate extent</t>
        </is>
      </c>
      <c r="CG40" s="3" t="n"/>
      <c r="CH40" s="3" t="inlineStr">
        <is>
          <t>No</t>
        </is>
      </c>
      <c r="CI40" s="3" t="inlineStr">
        <is>
          <t>No</t>
        </is>
      </c>
      <c r="CJ40" s="3" t="n"/>
      <c r="CK40" s="3" t="n"/>
      <c r="CL40" s="3" t="n"/>
      <c r="CM40" s="3" t="n"/>
      <c r="CN40" s="3" t="n"/>
      <c r="CO40" s="3" t="n"/>
      <c r="CP40" s="3" t="n"/>
      <c r="CQ40" s="3" t="n"/>
      <c r="CR40" s="3" t="n"/>
      <c r="CS40" s="3" t="n"/>
      <c r="CT40" s="3" t="n"/>
      <c r="CU40" s="3" t="n"/>
      <c r="CV40" s="3" t="n"/>
      <c r="CW40" s="3" t="n"/>
      <c r="CX40" s="3" t="n"/>
      <c r="CY40" s="3" t="n"/>
      <c r="CZ40" s="3" t="n"/>
      <c r="DA40" s="3" t="n"/>
      <c r="DB40" s="3" t="n"/>
      <c r="DC40" s="3" t="n"/>
      <c r="DD40" s="3" t="n"/>
      <c r="DE40" s="3" t="n"/>
      <c r="DF40" s="3" t="n"/>
      <c r="DG40" s="3" t="n"/>
      <c r="DH40" s="3" t="n"/>
      <c r="DI40" s="3" t="n"/>
      <c r="DJ40" s="3" t="n"/>
      <c r="DK40" s="3" t="n"/>
      <c r="DL40" s="3" t="n"/>
      <c r="DM40" s="3" t="n"/>
      <c r="DN40" s="3" t="n"/>
      <c r="DO40" s="3" t="n"/>
      <c r="DP40" s="3" t="n"/>
      <c r="DQ40" s="3" t="inlineStr">
        <is>
          <t>Climate change does not pose a major balance of payments risk in my country</t>
        </is>
      </c>
      <c r="DR40" s="3" t="n"/>
      <c r="DS40" s="3" t="n"/>
      <c r="DT40" s="3" t="n"/>
      <c r="DU40" s="3" t="n"/>
      <c r="DV40" s="3" t="n"/>
      <c r="DW40" s="3" t="inlineStr">
        <is>
          <t>No</t>
        </is>
      </c>
      <c r="DX40" s="3" t="n"/>
      <c r="DY40" s="3" t="n"/>
      <c r="DZ40" s="3" t="n"/>
      <c r="EA40" s="3" t="n"/>
      <c r="EB40" s="3" t="n"/>
      <c r="EC40" s="3" t="n"/>
      <c r="ED40" s="3" t="n"/>
      <c r="EE40" s="3" t="n"/>
      <c r="EF40" s="3" t="inlineStr">
        <is>
          <t>Don’t know or not applicable</t>
        </is>
      </c>
      <c r="EG40" s="3" t="inlineStr">
        <is>
          <t>Don’t know or not applicable</t>
        </is>
      </c>
      <c r="EH40" s="3" t="inlineStr">
        <is>
          <t>Don’t know or not applicable</t>
        </is>
      </c>
      <c r="EI40" s="3" t="inlineStr">
        <is>
          <t>Don’t know or not applicable</t>
        </is>
      </c>
      <c r="EJ40" s="3" t="inlineStr">
        <is>
          <t>Don’t know or not applicable</t>
        </is>
      </c>
      <c r="EK40" s="3" t="inlineStr">
        <is>
          <t>To a great extent</t>
        </is>
      </c>
      <c r="EL40" s="3" t="inlineStr">
        <is>
          <t>To a great extent</t>
        </is>
      </c>
      <c r="EM40" s="3" t="n"/>
      <c r="EN40" s="3" t="n"/>
      <c r="EO40" s="3" t="n"/>
      <c r="EP40" s="3" t="n"/>
      <c r="EQ40" s="3" t="inlineStr">
        <is>
          <t>Not at all</t>
        </is>
      </c>
      <c r="ER40" s="3" t="inlineStr">
        <is>
          <t>Not at all</t>
        </is>
      </c>
      <c r="ES40" s="3" t="n"/>
      <c r="ET40" s="3" t="n"/>
      <c r="EU40" s="3" t="n"/>
      <c r="EV40" s="3" t="n"/>
      <c r="EW40" s="3" t="n"/>
      <c r="EX40" s="3" t="n"/>
      <c r="EY40" s="3" t="n"/>
      <c r="EZ40" s="3" t="n"/>
      <c r="FA40" s="3" t="n"/>
      <c r="FB40" s="3" t="n"/>
      <c r="FC40" s="3" t="n"/>
      <c r="FD40" s="3" t="n"/>
      <c r="FE40" s="3" t="n"/>
      <c r="FF40" s="3" t="n"/>
      <c r="FG40" s="3" t="n"/>
      <c r="FH40" s="3" t="n"/>
      <c r="FI40" s="3" t="n"/>
      <c r="FJ40" s="3" t="n"/>
      <c r="FK40" s="3" t="n"/>
      <c r="FL40" s="3" t="n"/>
      <c r="FM40" s="3" t="n"/>
      <c r="FN40" s="3" t="n"/>
      <c r="FO40" s="3" t="n"/>
      <c r="FP40" s="3" t="n"/>
      <c r="FQ40" s="3" t="n"/>
      <c r="FR40" s="3" t="n"/>
      <c r="FS40" s="3" t="n"/>
      <c r="FT40" s="3" t="n"/>
      <c r="FU40" s="3" t="n"/>
      <c r="FV40" s="3" t="n"/>
      <c r="FW40" s="3" t="n"/>
      <c r="FX40" s="3" t="n"/>
      <c r="FY40" s="3" t="inlineStr">
        <is>
          <t>Don’t know or not applicable</t>
        </is>
      </c>
      <c r="FZ40" s="3" t="inlineStr">
        <is>
          <t>Don’t know or not applicable</t>
        </is>
      </c>
      <c r="GA40" s="3" t="inlineStr">
        <is>
          <t>Don’t know or not applicable</t>
        </is>
      </c>
      <c r="GB40" s="3" t="inlineStr">
        <is>
          <t>Don’t know or not applicable</t>
        </is>
      </c>
      <c r="GC40" s="3" t="inlineStr">
        <is>
          <t>Don’t know or not applicable</t>
        </is>
      </c>
      <c r="GD40" s="3" t="n"/>
      <c r="GE40" s="3" t="inlineStr">
        <is>
          <t>To a great extent</t>
        </is>
      </c>
      <c r="GF40" s="3" t="inlineStr">
        <is>
          <t>To a moderate extent</t>
        </is>
      </c>
      <c r="GG40" s="3" t="inlineStr">
        <is>
          <t>To a great extent</t>
        </is>
      </c>
      <c r="GH40" s="3" t="inlineStr">
        <is>
          <t>To a moderate extent</t>
        </is>
      </c>
      <c r="GI40" s="3" t="inlineStr">
        <is>
          <t>To a great extent</t>
        </is>
      </c>
      <c r="GJ40" s="3" t="inlineStr">
        <is>
          <t>To a great extent</t>
        </is>
      </c>
      <c r="GK40" s="3" t="inlineStr">
        <is>
          <t>Create its own climate risk rating.</t>
        </is>
      </c>
      <c r="GL40" s="5">
        <f>DATE(2025,7,24)+TIME(5,14,2)</f>
        <v/>
      </c>
    </row>
    <row r="41" ht="47.25" customHeight="1">
      <c r="A41" s="6" t="inlineStr">
        <is>
          <t>Kofi</t>
        </is>
      </c>
      <c r="B41" s="6" t="inlineStr">
        <is>
          <t>Sato</t>
        </is>
      </c>
      <c r="C41" s="6" t="inlineStr">
        <is>
          <t>ksato@organization.org</t>
        </is>
      </c>
      <c r="D41" s="6" t="inlineStr">
        <is>
          <t>0VXANQ3IR</t>
        </is>
      </c>
      <c r="E41" s="6" t="n"/>
      <c r="F41" s="6" t="inlineStr">
        <is>
          <t>OEDIT</t>
        </is>
      </c>
      <c r="G41" s="6" t="n"/>
      <c r="H41" s="6" t="n"/>
      <c r="I41" s="6" t="n"/>
      <c r="J41" s="6" t="n"/>
      <c r="K41" s="6" t="n"/>
      <c r="L41" s="6" t="n"/>
      <c r="M41" s="6" t="n"/>
      <c r="N41" s="6" t="n"/>
      <c r="O41" s="6" t="n"/>
      <c r="P41" s="6" t="n"/>
      <c r="Q41" s="6" t="n"/>
      <c r="R41" s="6" t="n"/>
      <c r="S41" s="6" t="n"/>
      <c r="T41" s="6" t="inlineStr">
        <is>
          <t>Greece</t>
        </is>
      </c>
      <c r="U41" s="6" t="n"/>
      <c r="V41" s="6" t="n"/>
      <c r="W41" s="6" t="n"/>
      <c r="X41" s="6" t="n"/>
      <c r="Y41" s="6" t="n"/>
      <c r="Z41" s="6" t="n"/>
      <c r="AA41" s="6" t="n"/>
      <c r="AB41" s="6" t="n"/>
      <c r="AC41" s="6" t="n"/>
      <c r="AD41" s="6" t="n"/>
      <c r="AE41" s="6" t="n"/>
      <c r="AF41" s="4" t="inlineStr">
        <is>
          <t>Greece</t>
        </is>
      </c>
      <c r="AG41" s="6" t="inlineStr">
        <is>
          <t>The IMF should engage a similar amount on climate change-related issues</t>
        </is>
      </c>
      <c r="AH41" s="6" t="inlineStr">
        <is>
          <t>To a great extent</t>
        </is>
      </c>
      <c r="AI41" s="6" t="inlineStr">
        <is>
          <t>To a slight extent</t>
        </is>
      </c>
      <c r="AJ41" s="6" t="inlineStr">
        <is>
          <t>Don’t know or not applicable</t>
        </is>
      </c>
      <c r="AK41" s="6" t="inlineStr">
        <is>
          <t>To a slight extent</t>
        </is>
      </c>
      <c r="AL41" s="6" t="inlineStr">
        <is>
          <t>To a slight extent</t>
        </is>
      </c>
      <c r="AM41" s="6" t="inlineStr">
        <is>
          <t>Not at all</t>
        </is>
      </c>
      <c r="AN41" s="6" t="inlineStr">
        <is>
          <t>Not at all</t>
        </is>
      </c>
      <c r="AO41" s="6" t="inlineStr">
        <is>
          <t>Not at all</t>
        </is>
      </c>
      <c r="AP41" s="6" t="inlineStr">
        <is>
          <t>Not at all</t>
        </is>
      </c>
      <c r="AQ41" s="6" t="inlineStr">
        <is>
          <t>Not at all</t>
        </is>
      </c>
      <c r="AR41" s="6" t="inlineStr">
        <is>
          <t>Not at all</t>
        </is>
      </c>
      <c r="AS41" s="6" t="n"/>
      <c r="AT41" s="6" t="inlineStr">
        <is>
          <t>To a slight extent</t>
        </is>
      </c>
      <c r="AU41" s="6" t="inlineStr">
        <is>
          <t>To a slight extent</t>
        </is>
      </c>
      <c r="AV41" s="6" t="inlineStr">
        <is>
          <t>Not at all</t>
        </is>
      </c>
      <c r="AW41" s="6" t="inlineStr">
        <is>
          <t>To a slight extent</t>
        </is>
      </c>
      <c r="AX41" s="6" t="inlineStr">
        <is>
          <t>To a slight extent</t>
        </is>
      </c>
      <c r="AY41" s="6" t="inlineStr">
        <is>
          <t>To a slight extent</t>
        </is>
      </c>
      <c r="AZ41" s="6" t="inlineStr">
        <is>
          <t>To a slight extent</t>
        </is>
      </c>
      <c r="BA41" s="6" t="inlineStr">
        <is>
          <t>To a moderate extent</t>
        </is>
      </c>
      <c r="BB41" s="6" t="inlineStr">
        <is>
          <t>To a moderate extent</t>
        </is>
      </c>
      <c r="BC41" s="6" t="inlineStr">
        <is>
          <t>To a slight extent</t>
        </is>
      </c>
      <c r="BD41" s="6" t="inlineStr">
        <is>
          <t>To a slight extent</t>
        </is>
      </c>
      <c r="BE41" s="6" t="inlineStr">
        <is>
          <t>Don’t know or not applicable</t>
        </is>
      </c>
      <c r="BF41" s="6" t="inlineStr">
        <is>
          <t>Don’t know or not applicable</t>
        </is>
      </c>
      <c r="BG41" s="6" t="inlineStr">
        <is>
          <t>Don’t know or not applicable</t>
        </is>
      </c>
      <c r="BH41" s="6" t="inlineStr">
        <is>
          <t>Don’t know or not applicable</t>
        </is>
      </c>
      <c r="BI41" s="6" t="inlineStr">
        <is>
          <t>Don’t know or not applicable</t>
        </is>
      </c>
      <c r="BJ41" s="6" t="inlineStr">
        <is>
          <t>To a slight extent</t>
        </is>
      </c>
      <c r="BK41" s="6" t="inlineStr">
        <is>
          <t>To a slight extent</t>
        </is>
      </c>
      <c r="BL41" s="6" t="inlineStr">
        <is>
          <t>To a slight extent</t>
        </is>
      </c>
      <c r="BM41" s="6" t="inlineStr">
        <is>
          <t>To a slight extent</t>
        </is>
      </c>
      <c r="BN41" s="6" t="inlineStr">
        <is>
          <t>To a slight extent</t>
        </is>
      </c>
      <c r="BO41" s="6" t="inlineStr">
        <is>
          <t>To a great extent</t>
        </is>
      </c>
      <c r="BP41" s="6" t="inlineStr">
        <is>
          <t>Don’t know or not applicable</t>
        </is>
      </c>
      <c r="BQ41" s="6" t="inlineStr">
        <is>
          <t>Don’t know or not applicable</t>
        </is>
      </c>
      <c r="BR41" s="6" t="inlineStr">
        <is>
          <t>Don’t know or not applicable</t>
        </is>
      </c>
      <c r="BS41" s="6" t="n"/>
      <c r="BT41" s="6" t="inlineStr">
        <is>
          <t>The IMF should have dedicated less resources</t>
        </is>
      </c>
      <c r="BU41" s="6" t="inlineStr">
        <is>
          <t>To a great extent</t>
        </is>
      </c>
      <c r="BV41" s="6" t="inlineStr">
        <is>
          <t>To a great extent</t>
        </is>
      </c>
      <c r="BW41" s="6" t="inlineStr">
        <is>
          <t>To a great extent</t>
        </is>
      </c>
      <c r="BX41" s="6" t="inlineStr">
        <is>
          <t>To a great extent</t>
        </is>
      </c>
      <c r="BY41" s="6" t="inlineStr">
        <is>
          <t>To a great extent</t>
        </is>
      </c>
      <c r="BZ41" s="6" t="inlineStr">
        <is>
          <t>To a great extent</t>
        </is>
      </c>
      <c r="CA41" s="6" t="inlineStr">
        <is>
          <t>To a great extent</t>
        </is>
      </c>
      <c r="CB41" s="6" t="inlineStr">
        <is>
          <t>To a great extent</t>
        </is>
      </c>
      <c r="CC41" s="6" t="inlineStr">
        <is>
          <t>To a great extent</t>
        </is>
      </c>
      <c r="CD41" s="6" t="inlineStr">
        <is>
          <t>To a great extent</t>
        </is>
      </c>
      <c r="CE41" s="6" t="inlineStr">
        <is>
          <t>To a great extent</t>
        </is>
      </c>
      <c r="CF41" s="6" t="inlineStr">
        <is>
          <t>To a great extent</t>
        </is>
      </c>
      <c r="CG41" s="6" t="n"/>
      <c r="CH41" s="6" t="inlineStr">
        <is>
          <t>No</t>
        </is>
      </c>
      <c r="CI41" s="6" t="inlineStr">
        <is>
          <t>No</t>
        </is>
      </c>
      <c r="CJ41" s="6" t="n"/>
      <c r="CK41" s="6" t="n"/>
      <c r="CL41" s="6" t="n"/>
      <c r="CM41" s="6" t="n"/>
      <c r="CN41" s="6" t="n"/>
      <c r="CO41" s="6" t="n"/>
      <c r="CP41" s="6" t="n"/>
      <c r="CQ41" s="6" t="n"/>
      <c r="CR41" s="6" t="n"/>
      <c r="CS41" s="6" t="n"/>
      <c r="CT41" s="6" t="n"/>
      <c r="CU41" s="6" t="n"/>
      <c r="CV41" s="6" t="n"/>
      <c r="CW41" s="6" t="n"/>
      <c r="CX41" s="6" t="n"/>
      <c r="CY41" s="6" t="n"/>
      <c r="CZ41" s="6" t="n"/>
      <c r="DA41" s="6" t="n"/>
      <c r="DB41" s="6" t="n"/>
      <c r="DC41" s="6" t="n"/>
      <c r="DD41" s="6" t="n"/>
      <c r="DE41" s="6" t="n"/>
      <c r="DF41" s="6" t="n"/>
      <c r="DG41" s="6" t="n"/>
      <c r="DH41" s="6" t="n"/>
      <c r="DI41" s="6" t="n"/>
      <c r="DJ41" s="6" t="n"/>
      <c r="DK41" s="6" t="n"/>
      <c r="DL41" s="6" t="n"/>
      <c r="DM41" s="6" t="n"/>
      <c r="DN41" s="6" t="n"/>
      <c r="DO41" s="6" t="n"/>
      <c r="DP41" s="6" t="inlineStr">
        <is>
          <t>My country is not eligible for an RSF arrangement</t>
        </is>
      </c>
      <c r="DQ41" s="6" t="n"/>
      <c r="DR41" s="6" t="n"/>
      <c r="DS41" s="6" t="n"/>
      <c r="DT41" s="6" t="n"/>
      <c r="DU41" s="6" t="n"/>
      <c r="DV41" s="6" t="n"/>
      <c r="DW41" s="6" t="inlineStr">
        <is>
          <t>No</t>
        </is>
      </c>
      <c r="DX41" s="6" t="n"/>
      <c r="DY41" s="6" t="n"/>
      <c r="DZ41" s="6" t="n"/>
      <c r="EA41" s="6" t="n"/>
      <c r="EB41" s="6" t="n"/>
      <c r="EC41" s="6" t="n"/>
      <c r="ED41" s="6" t="n"/>
      <c r="EE41" s="6" t="n"/>
      <c r="EF41" s="6" t="inlineStr">
        <is>
          <t>To a slight extent</t>
        </is>
      </c>
      <c r="EG41" s="6" t="inlineStr">
        <is>
          <t>To a slight extent</t>
        </is>
      </c>
      <c r="EH41" s="6" t="inlineStr">
        <is>
          <t>To a slight extent</t>
        </is>
      </c>
      <c r="EI41" s="6" t="inlineStr">
        <is>
          <t>To a moderate extent</t>
        </is>
      </c>
      <c r="EJ41" s="6" t="inlineStr">
        <is>
          <t>Not at all</t>
        </is>
      </c>
      <c r="EK41" s="6" t="inlineStr">
        <is>
          <t>To a great extent</t>
        </is>
      </c>
      <c r="EL41" s="6" t="inlineStr">
        <is>
          <t>To a moderate extent</t>
        </is>
      </c>
      <c r="EM41" s="6" t="n"/>
      <c r="EN41" s="6" t="n"/>
      <c r="EO41" s="6" t="n"/>
      <c r="EP41" s="6" t="n"/>
      <c r="EQ41" s="6" t="inlineStr">
        <is>
          <t>Not at all</t>
        </is>
      </c>
      <c r="ER41" s="6" t="inlineStr">
        <is>
          <t>Not at all</t>
        </is>
      </c>
      <c r="ES41" s="6" t="n"/>
      <c r="ET41" s="6" t="n"/>
      <c r="EU41" s="6" t="n"/>
      <c r="EV41" s="6" t="n"/>
      <c r="EW41" s="6" t="n"/>
      <c r="EX41" s="6" t="n"/>
      <c r="EY41" s="6" t="n"/>
      <c r="EZ41" s="6" t="n"/>
      <c r="FA41" s="6" t="n"/>
      <c r="FB41" s="6" t="n"/>
      <c r="FC41" s="6" t="n"/>
      <c r="FD41" s="6" t="n"/>
      <c r="FE41" s="6" t="n"/>
      <c r="FF41" s="6" t="n"/>
      <c r="FG41" s="6" t="n"/>
      <c r="FH41" s="6" t="n"/>
      <c r="FI41" s="6" t="n"/>
      <c r="FJ41" s="6" t="n"/>
      <c r="FK41" s="6" t="n"/>
      <c r="FL41" s="6" t="n"/>
      <c r="FM41" s="6" t="n"/>
      <c r="FN41" s="6" t="n"/>
      <c r="FO41" s="6" t="n"/>
      <c r="FP41" s="6" t="n"/>
      <c r="FQ41" s="6" t="n"/>
      <c r="FR41" s="6" t="n"/>
      <c r="FS41" s="6" t="n"/>
      <c r="FT41" s="6" t="n"/>
      <c r="FU41" s="6" t="n"/>
      <c r="FV41" s="6" t="n"/>
      <c r="FW41" s="6" t="n"/>
      <c r="FX41" s="6" t="n"/>
      <c r="FY41" s="6" t="inlineStr">
        <is>
          <t>To a great extent</t>
        </is>
      </c>
      <c r="FZ41" s="6" t="inlineStr">
        <is>
          <t>To a great extent</t>
        </is>
      </c>
      <c r="GA41" s="6" t="inlineStr">
        <is>
          <t>To a great extent</t>
        </is>
      </c>
      <c r="GB41" s="6" t="inlineStr">
        <is>
          <t>To a great extent</t>
        </is>
      </c>
      <c r="GC41" s="6" t="inlineStr">
        <is>
          <t>Don’t know or not applicable</t>
        </is>
      </c>
      <c r="GD41" s="6" t="n"/>
      <c r="GE41" s="6" t="inlineStr">
        <is>
          <t>To a great extent</t>
        </is>
      </c>
      <c r="GF41" s="6" t="inlineStr">
        <is>
          <t>To a great extent</t>
        </is>
      </c>
      <c r="GG41" s="6" t="inlineStr">
        <is>
          <t>To a slight extent</t>
        </is>
      </c>
      <c r="GH41" s="6" t="inlineStr">
        <is>
          <t>To a great extent</t>
        </is>
      </c>
      <c r="GI41" s="6" t="inlineStr">
        <is>
          <t>To a great extent</t>
        </is>
      </c>
      <c r="GJ41" s="6" t="inlineStr">
        <is>
          <t>To a great extent</t>
        </is>
      </c>
      <c r="GK41" s="6" t="n"/>
      <c r="GL41" s="7">
        <f>DATE(2025,5,22)+TIME(10,25,13)</f>
        <v/>
      </c>
    </row>
    <row r="42" ht="78.75" customHeight="1">
      <c r="A42" s="3" t="inlineStr">
        <is>
          <t>Jin</t>
        </is>
      </c>
      <c r="B42" s="3" t="inlineStr">
        <is>
          <t>Osei</t>
        </is>
      </c>
      <c r="C42" s="3" t="inlineStr">
        <is>
          <t>josei@organization.org</t>
        </is>
      </c>
      <c r="D42" s="3" t="inlineStr">
        <is>
          <t>YA9WQA2O8</t>
        </is>
      </c>
      <c r="E42" s="3" t="n"/>
      <c r="F42" s="3" t="inlineStr">
        <is>
          <t>OEDAG</t>
        </is>
      </c>
      <c r="G42" s="3" t="n"/>
      <c r="H42" s="3" t="inlineStr">
        <is>
          <t>Argentina</t>
        </is>
      </c>
      <c r="I42" s="3" t="n"/>
      <c r="J42" s="3" t="n"/>
      <c r="K42" s="3" t="n"/>
      <c r="L42" s="3" t="n"/>
      <c r="M42" s="3" t="n"/>
      <c r="N42" s="3" t="n"/>
      <c r="O42" s="3" t="n"/>
      <c r="P42" s="3" t="n"/>
      <c r="Q42" s="3" t="n"/>
      <c r="R42" s="3" t="n"/>
      <c r="S42" s="3" t="n"/>
      <c r="T42" s="3" t="n"/>
      <c r="U42" s="3" t="n"/>
      <c r="V42" s="3" t="n"/>
      <c r="W42" s="3" t="n"/>
      <c r="X42" s="3" t="n"/>
      <c r="Y42" s="3" t="n"/>
      <c r="Z42" s="3" t="n"/>
      <c r="AA42" s="3" t="n"/>
      <c r="AB42" s="3" t="n"/>
      <c r="AC42" s="3" t="n"/>
      <c r="AD42" s="3" t="n"/>
      <c r="AE42" s="3" t="n"/>
      <c r="AF42" s="4" t="inlineStr">
        <is>
          <t>Argentina</t>
        </is>
      </c>
      <c r="AG42" s="3" t="inlineStr">
        <is>
          <t>The IMF should engage less on climate change-related issues</t>
        </is>
      </c>
      <c r="AH42" s="3" t="inlineStr">
        <is>
          <t>To a moderate extent</t>
        </is>
      </c>
      <c r="AI42" s="3" t="inlineStr">
        <is>
          <t>To a slight extent</t>
        </is>
      </c>
      <c r="AJ42" s="3" t="inlineStr">
        <is>
          <t>To a slight extent</t>
        </is>
      </c>
      <c r="AK42" s="3" t="inlineStr">
        <is>
          <t>To a slight extent</t>
        </is>
      </c>
      <c r="AL42" s="3" t="inlineStr">
        <is>
          <t>To a slight extent</t>
        </is>
      </c>
      <c r="AM42" s="3" t="inlineStr">
        <is>
          <t>To a moderate extent</t>
        </is>
      </c>
      <c r="AN42" s="3" t="inlineStr">
        <is>
          <t>To a slight extent</t>
        </is>
      </c>
      <c r="AO42" s="3" t="inlineStr">
        <is>
          <t>To a moderate extent</t>
        </is>
      </c>
      <c r="AP42" s="3" t="inlineStr">
        <is>
          <t>To a slight extent</t>
        </is>
      </c>
      <c r="AQ42" s="3" t="inlineStr">
        <is>
          <t>To a slight extent</t>
        </is>
      </c>
      <c r="AR42" s="3" t="inlineStr">
        <is>
          <t>To a moderate extent</t>
        </is>
      </c>
      <c r="AS42" s="3" t="n"/>
      <c r="AT42" s="3" t="inlineStr">
        <is>
          <t>To a slight extent</t>
        </is>
      </c>
      <c r="AU42" s="3" t="inlineStr">
        <is>
          <t>To a moderate extent</t>
        </is>
      </c>
      <c r="AV42" s="3" t="inlineStr">
        <is>
          <t>To a moderate extent</t>
        </is>
      </c>
      <c r="AW42" s="3" t="inlineStr">
        <is>
          <t>To a slight extent</t>
        </is>
      </c>
      <c r="AX42" s="3" t="inlineStr">
        <is>
          <t>To a slight extent</t>
        </is>
      </c>
      <c r="AY42" s="3" t="inlineStr">
        <is>
          <t>To a moderate extent</t>
        </is>
      </c>
      <c r="AZ42" s="3" t="inlineStr">
        <is>
          <t>To a slight extent</t>
        </is>
      </c>
      <c r="BA42" s="3" t="inlineStr">
        <is>
          <t>To a moderate extent</t>
        </is>
      </c>
      <c r="BB42" s="3" t="inlineStr">
        <is>
          <t>To a slight extent</t>
        </is>
      </c>
      <c r="BC42" s="3" t="inlineStr">
        <is>
          <t>To a slight extent</t>
        </is>
      </c>
      <c r="BD42" s="3" t="inlineStr">
        <is>
          <t>To a moderate extent</t>
        </is>
      </c>
      <c r="BE42" s="3" t="inlineStr">
        <is>
          <t>Don’t know or not applicable</t>
        </is>
      </c>
      <c r="BF42" s="3" t="inlineStr">
        <is>
          <t>Don’t know or not applicable</t>
        </is>
      </c>
      <c r="BG42" s="3" t="inlineStr">
        <is>
          <t>Don’t know or not applicable</t>
        </is>
      </c>
      <c r="BH42" s="3" t="inlineStr">
        <is>
          <t>Don’t know or not applicable</t>
        </is>
      </c>
      <c r="BI42" s="3" t="inlineStr">
        <is>
          <t>Don’t know or not applicable</t>
        </is>
      </c>
      <c r="BJ42" s="3" t="inlineStr">
        <is>
          <t>To a slight extent</t>
        </is>
      </c>
      <c r="BK42" s="3" t="inlineStr">
        <is>
          <t>To a moderate extent</t>
        </is>
      </c>
      <c r="BL42" s="3" t="inlineStr">
        <is>
          <t>To a slight extent</t>
        </is>
      </c>
      <c r="BM42" s="3" t="inlineStr">
        <is>
          <t>To a slight extent</t>
        </is>
      </c>
      <c r="BN42" s="3" t="inlineStr">
        <is>
          <t>To a moderate extent</t>
        </is>
      </c>
      <c r="BO42" s="3" t="inlineStr">
        <is>
          <t>To a great extent</t>
        </is>
      </c>
      <c r="BP42" s="3" t="inlineStr">
        <is>
          <t>Don’t know or not applicable</t>
        </is>
      </c>
      <c r="BQ42" s="3" t="inlineStr">
        <is>
          <t>Don’t know or not applicable</t>
        </is>
      </c>
      <c r="BR42" s="3" t="n"/>
      <c r="BS42" s="3" t="n"/>
      <c r="BT42" s="3" t="inlineStr">
        <is>
          <t>The IMF should have dedicated less resources</t>
        </is>
      </c>
      <c r="BU42" s="3" t="inlineStr">
        <is>
          <t>To a moderate extent</t>
        </is>
      </c>
      <c r="BV42" s="3" t="inlineStr">
        <is>
          <t>Not at all</t>
        </is>
      </c>
      <c r="BW42" s="3" t="inlineStr">
        <is>
          <t>To a slight extent</t>
        </is>
      </c>
      <c r="BX42" s="3" t="inlineStr">
        <is>
          <t>To a moderate extent</t>
        </is>
      </c>
      <c r="BY42" s="3" t="inlineStr">
        <is>
          <t>Not at all</t>
        </is>
      </c>
      <c r="BZ42" s="3" t="inlineStr">
        <is>
          <t>To a slight extent</t>
        </is>
      </c>
      <c r="CA42" s="3" t="inlineStr">
        <is>
          <t>To a moderate extent</t>
        </is>
      </c>
      <c r="CB42" s="3" t="inlineStr">
        <is>
          <t>Not at all</t>
        </is>
      </c>
      <c r="CC42" s="3" t="inlineStr">
        <is>
          <t>To a slight extent</t>
        </is>
      </c>
      <c r="CD42" s="3" t="inlineStr">
        <is>
          <t>To a moderate extent</t>
        </is>
      </c>
      <c r="CE42" s="3" t="inlineStr">
        <is>
          <t>Not at all</t>
        </is>
      </c>
      <c r="CF42" s="3" t="inlineStr">
        <is>
          <t>To a slight extent</t>
        </is>
      </c>
      <c r="CG42" s="3" t="n"/>
      <c r="CH42" s="3" t="inlineStr">
        <is>
          <t>No</t>
        </is>
      </c>
      <c r="CI42" s="3" t="inlineStr">
        <is>
          <t>Yes</t>
        </is>
      </c>
      <c r="CJ42" s="3" t="n"/>
      <c r="CK42" s="3" t="n"/>
      <c r="CL42" s="3" t="n"/>
      <c r="CM42" s="3" t="n"/>
      <c r="CN42" s="3" t="n"/>
      <c r="CO42" s="3" t="n"/>
      <c r="CP42" s="3" t="n"/>
      <c r="CQ42" s="3" t="n"/>
      <c r="CR42" s="3" t="n"/>
      <c r="CS42" s="3" t="n"/>
      <c r="CT42" s="3" t="n"/>
      <c r="CU42" s="3" t="n"/>
      <c r="CV42" s="3" t="n"/>
      <c r="CW42" s="3" t="n"/>
      <c r="CX42" s="3" t="n"/>
      <c r="CY42" s="3" t="n"/>
      <c r="CZ42" s="3" t="n"/>
      <c r="DA42" s="3" t="n"/>
      <c r="DB42" s="3" t="n"/>
      <c r="DC42" s="3" t="n"/>
      <c r="DD42" s="3" t="n"/>
      <c r="DE42" s="3" t="n"/>
      <c r="DF42" s="3" t="n"/>
      <c r="DG42" s="3" t="n"/>
      <c r="DH42" s="3" t="n"/>
      <c r="DI42" s="3" t="n"/>
      <c r="DJ42" s="3" t="n"/>
      <c r="DK42" s="3" t="n"/>
      <c r="DL42" s="3" t="n"/>
      <c r="DM42" s="3" t="n"/>
      <c r="DN42" s="3" t="n"/>
      <c r="DO42" s="3" t="n"/>
      <c r="DP42" s="3" t="n"/>
      <c r="DQ42" s="3" t="n"/>
      <c r="DR42" s="3" t="n"/>
      <c r="DS42" s="3" t="inlineStr">
        <is>
          <t>More convenient alternative financing options</t>
        </is>
      </c>
      <c r="DT42" s="3" t="n"/>
      <c r="DU42" s="3" t="n"/>
      <c r="DV42" s="3" t="n"/>
      <c r="DW42" s="3" t="inlineStr">
        <is>
          <t>Yes</t>
        </is>
      </c>
      <c r="DX42" s="3" t="inlineStr">
        <is>
          <t>World Bank Group</t>
        </is>
      </c>
      <c r="DY42" s="3" t="inlineStr">
        <is>
          <t>Regional development banks</t>
        </is>
      </c>
      <c r="DZ42" s="3" t="inlineStr">
        <is>
          <t>Bilateral sources</t>
        </is>
      </c>
      <c r="EA42" s="3" t="inlineStr">
        <is>
          <t>Private sources</t>
        </is>
      </c>
      <c r="EB42" s="3" t="n"/>
      <c r="EC42" s="3" t="inlineStr">
        <is>
          <t>To a slight extent</t>
        </is>
      </c>
      <c r="ED42" s="3" t="inlineStr">
        <is>
          <t>To a moderate extent</t>
        </is>
      </c>
      <c r="EE42" s="3" t="inlineStr">
        <is>
          <t>To a slight extent</t>
        </is>
      </c>
      <c r="EF42" s="3" t="inlineStr">
        <is>
          <t>To a great extent</t>
        </is>
      </c>
      <c r="EG42" s="3" t="inlineStr">
        <is>
          <t>To a moderate extent</t>
        </is>
      </c>
      <c r="EH42" s="3" t="inlineStr">
        <is>
          <t>To a slight extent</t>
        </is>
      </c>
      <c r="EI42" s="3" t="inlineStr">
        <is>
          <t>To a great extent</t>
        </is>
      </c>
      <c r="EJ42" s="3" t="inlineStr">
        <is>
          <t>To a slight extent</t>
        </is>
      </c>
      <c r="EK42" s="3" t="inlineStr">
        <is>
          <t>To a moderate extent</t>
        </is>
      </c>
      <c r="EL42" s="3" t="inlineStr">
        <is>
          <t>To a slight extent</t>
        </is>
      </c>
      <c r="EM42" s="3" t="inlineStr">
        <is>
          <t>To a slight extent</t>
        </is>
      </c>
      <c r="EN42" s="3" t="inlineStr">
        <is>
          <t>Not at all</t>
        </is>
      </c>
      <c r="EO42" s="3" t="inlineStr">
        <is>
          <t>To a great extent</t>
        </is>
      </c>
      <c r="EP42" s="3" t="n"/>
      <c r="EQ42" s="3" t="inlineStr">
        <is>
          <t>To a slight extent</t>
        </is>
      </c>
      <c r="ER42" s="3" t="inlineStr">
        <is>
          <t>To a slight extent</t>
        </is>
      </c>
      <c r="ES42" s="3" t="n"/>
      <c r="ET42" s="3" t="inlineStr">
        <is>
          <t>Not at all</t>
        </is>
      </c>
      <c r="EU42" s="3" t="inlineStr">
        <is>
          <t>To a slight extent</t>
        </is>
      </c>
      <c r="EV42" s="3" t="inlineStr">
        <is>
          <t>Don’t know or not applicable</t>
        </is>
      </c>
      <c r="EW42" s="3" t="n"/>
      <c r="EX42" s="3" t="n"/>
      <c r="EY42" s="3" t="inlineStr">
        <is>
          <t>To a slight extent</t>
        </is>
      </c>
      <c r="EZ42" s="3" t="inlineStr">
        <is>
          <t>To a moderate extent</t>
        </is>
      </c>
      <c r="FA42" s="3" t="inlineStr">
        <is>
          <t>Not at all</t>
        </is>
      </c>
      <c r="FB42" s="3" t="inlineStr">
        <is>
          <t>To a moderate extent</t>
        </is>
      </c>
      <c r="FC42" s="3" t="inlineStr">
        <is>
          <t>To a slight extent</t>
        </is>
      </c>
      <c r="FD42" s="3" t="inlineStr">
        <is>
          <t>Not at all</t>
        </is>
      </c>
      <c r="FE42" s="3" t="inlineStr">
        <is>
          <t>To a slight extent</t>
        </is>
      </c>
      <c r="FF42" s="3" t="inlineStr">
        <is>
          <t>To a slight extent</t>
        </is>
      </c>
      <c r="FG42" s="3" t="inlineStr">
        <is>
          <t>Don’t know or not applicable</t>
        </is>
      </c>
      <c r="FH42" s="3" t="inlineStr">
        <is>
          <t>To a slight extent</t>
        </is>
      </c>
      <c r="FI42" s="3" t="inlineStr">
        <is>
          <t>To a slight extent</t>
        </is>
      </c>
      <c r="FJ42" s="3" t="inlineStr">
        <is>
          <t>To a moderate extent</t>
        </is>
      </c>
      <c r="FK42" s="3" t="inlineStr">
        <is>
          <t>Not at all</t>
        </is>
      </c>
      <c r="FL42" s="3" t="inlineStr">
        <is>
          <t>To a moderate extent</t>
        </is>
      </c>
      <c r="FM42" s="3" t="inlineStr">
        <is>
          <t>To a slight extent</t>
        </is>
      </c>
      <c r="FN42" s="3" t="inlineStr">
        <is>
          <t>Not at all</t>
        </is>
      </c>
      <c r="FO42" s="3" t="inlineStr">
        <is>
          <t>Not at all</t>
        </is>
      </c>
      <c r="FP42" s="3" t="inlineStr">
        <is>
          <t>Not at all</t>
        </is>
      </c>
      <c r="FQ42" s="3" t="inlineStr">
        <is>
          <t>Not at all</t>
        </is>
      </c>
      <c r="FR42" s="3" t="inlineStr">
        <is>
          <t>To a moderate extent</t>
        </is>
      </c>
      <c r="FS42" s="3" t="inlineStr">
        <is>
          <t>Don’t know or not applicable</t>
        </is>
      </c>
      <c r="FT42" s="3" t="inlineStr">
        <is>
          <t>Don’t know or not applicable</t>
        </is>
      </c>
      <c r="FU42" s="3" t="n"/>
      <c r="FV42" s="3" t="n"/>
      <c r="FW42" s="3" t="inlineStr">
        <is>
          <t>The IMF should have dedicated less resources</t>
        </is>
      </c>
      <c r="FX42" s="3" t="n"/>
      <c r="FY42" s="3" t="inlineStr">
        <is>
          <t>Not at all</t>
        </is>
      </c>
      <c r="FZ42" s="3" t="inlineStr">
        <is>
          <t>Not at all</t>
        </is>
      </c>
      <c r="GA42" s="3" t="inlineStr">
        <is>
          <t>To a moderate extent</t>
        </is>
      </c>
      <c r="GB42" s="3" t="inlineStr">
        <is>
          <t>To a slight extent</t>
        </is>
      </c>
      <c r="GC42" s="3" t="n"/>
      <c r="GD42" s="3" t="n"/>
      <c r="GE42" s="3" t="inlineStr">
        <is>
          <t>To a great extent</t>
        </is>
      </c>
      <c r="GF42" s="3" t="inlineStr">
        <is>
          <t>To a slight extent</t>
        </is>
      </c>
      <c r="GG42" s="3" t="inlineStr">
        <is>
          <t>To a great extent</t>
        </is>
      </c>
      <c r="GH42" s="3" t="inlineStr">
        <is>
          <t>To a slight extent</t>
        </is>
      </c>
      <c r="GI42" s="3" t="inlineStr">
        <is>
          <t>To a great extent</t>
        </is>
      </c>
      <c r="GJ42" s="3" t="inlineStr">
        <is>
          <t>To a moderate extent</t>
        </is>
      </c>
      <c r="GK42" s="3" t="inlineStr">
        <is>
          <t>IMF's approach to climate change should be more selective, driven by macro-criticality and country-specific considerations.</t>
        </is>
      </c>
      <c r="GL42" s="5">
        <f>DATE(2025,6,6)+TIME(13,13,12)</f>
        <v/>
      </c>
    </row>
    <row r="43" ht="47.25" customHeight="1">
      <c r="A43" s="6" t="inlineStr">
        <is>
          <t>Raj</t>
        </is>
      </c>
      <c r="B43" s="6" t="inlineStr">
        <is>
          <t>Novak</t>
        </is>
      </c>
      <c r="C43" s="6" t="inlineStr">
        <is>
          <t>rnovak@organization.org</t>
        </is>
      </c>
      <c r="D43" s="6" t="inlineStr">
        <is>
          <t>5622EWEEQ</t>
        </is>
      </c>
      <c r="E43" s="6" t="n"/>
      <c r="F43" s="6" t="inlineStr">
        <is>
          <t>OEDSZ</t>
        </is>
      </c>
      <c r="G43" s="6" t="n"/>
      <c r="H43" s="6" t="n"/>
      <c r="I43" s="6" t="n"/>
      <c r="J43" s="6" t="n"/>
      <c r="K43" s="6" t="n"/>
      <c r="L43" s="6" t="n"/>
      <c r="M43" s="6" t="n"/>
      <c r="N43" s="6" t="n"/>
      <c r="O43" s="6" t="n"/>
      <c r="P43" s="6" t="n"/>
      <c r="Q43" s="6" t="n"/>
      <c r="R43" s="6" t="n"/>
      <c r="S43" s="6" t="n"/>
      <c r="T43" s="6" t="n"/>
      <c r="U43" s="6" t="n"/>
      <c r="V43" s="6" t="n"/>
      <c r="W43" s="6" t="n"/>
      <c r="X43" s="6" t="n"/>
      <c r="Y43" s="6" t="n"/>
      <c r="Z43" s="6" t="n"/>
      <c r="AA43" s="6" t="n"/>
      <c r="AB43" s="6" t="n"/>
      <c r="AC43" s="6" t="inlineStr">
        <is>
          <t>Poland</t>
        </is>
      </c>
      <c r="AD43" s="6" t="n"/>
      <c r="AE43" s="6" t="n"/>
      <c r="AF43" s="4" t="inlineStr">
        <is>
          <t>Poland</t>
        </is>
      </c>
      <c r="AG43" s="6" t="inlineStr">
        <is>
          <t>The IMF should engage a similar amount on climate change-related issues</t>
        </is>
      </c>
      <c r="AH43" s="6" t="inlineStr">
        <is>
          <t>To a slight extent</t>
        </is>
      </c>
      <c r="AI43" s="6" t="inlineStr">
        <is>
          <t>To a moderate extent</t>
        </is>
      </c>
      <c r="AJ43" s="6" t="inlineStr">
        <is>
          <t>Don’t know or not applicable</t>
        </is>
      </c>
      <c r="AK43" s="6" t="inlineStr">
        <is>
          <t>To a moderate extent</t>
        </is>
      </c>
      <c r="AL43" s="6" t="inlineStr">
        <is>
          <t>To a moderate extent</t>
        </is>
      </c>
      <c r="AM43" s="6" t="inlineStr">
        <is>
          <t>Don’t know or not applicable</t>
        </is>
      </c>
      <c r="AN43" s="6" t="inlineStr">
        <is>
          <t>Don’t know or not applicable</t>
        </is>
      </c>
      <c r="AO43" s="6" t="inlineStr">
        <is>
          <t>To a slight extent</t>
        </is>
      </c>
      <c r="AP43" s="6" t="inlineStr">
        <is>
          <t>To a moderate extent</t>
        </is>
      </c>
      <c r="AQ43" s="6" t="inlineStr">
        <is>
          <t>To a moderate extent</t>
        </is>
      </c>
      <c r="AR43" s="6" t="inlineStr">
        <is>
          <t>To a moderate extent</t>
        </is>
      </c>
      <c r="AS43" s="6" t="n"/>
      <c r="AT43" s="6" t="inlineStr">
        <is>
          <t>To a slight extent</t>
        </is>
      </c>
      <c r="AU43" s="6" t="inlineStr">
        <is>
          <t>To a slight extent</t>
        </is>
      </c>
      <c r="AV43" s="6" t="inlineStr">
        <is>
          <t>Not at all</t>
        </is>
      </c>
      <c r="AW43" s="6" t="inlineStr">
        <is>
          <t>To a moderate extent</t>
        </is>
      </c>
      <c r="AX43" s="6" t="inlineStr">
        <is>
          <t>Not at all</t>
        </is>
      </c>
      <c r="AY43" s="6" t="inlineStr">
        <is>
          <t>To a moderate extent</t>
        </is>
      </c>
      <c r="AZ43" s="6" t="inlineStr">
        <is>
          <t>To a great extent</t>
        </is>
      </c>
      <c r="BA43" s="6" t="inlineStr">
        <is>
          <t>To a moderate extent</t>
        </is>
      </c>
      <c r="BB43" s="6" t="inlineStr">
        <is>
          <t>To a great extent</t>
        </is>
      </c>
      <c r="BC43" s="6" t="inlineStr">
        <is>
          <t>Don’t know or not applicable</t>
        </is>
      </c>
      <c r="BD43" s="6" t="inlineStr">
        <is>
          <t>To a moderate extent</t>
        </is>
      </c>
      <c r="BE43" s="6" t="inlineStr">
        <is>
          <t>Not at all</t>
        </is>
      </c>
      <c r="BF43" s="6" t="inlineStr">
        <is>
          <t>To a moderate extent</t>
        </is>
      </c>
      <c r="BG43" s="6" t="inlineStr">
        <is>
          <t>To a slight extent</t>
        </is>
      </c>
      <c r="BH43" s="6" t="inlineStr">
        <is>
          <t>To a slight extent</t>
        </is>
      </c>
      <c r="BI43" s="6" t="inlineStr">
        <is>
          <t>Don’t know or not applicable</t>
        </is>
      </c>
      <c r="BJ43" s="6" t="inlineStr">
        <is>
          <t>To a moderate extent</t>
        </is>
      </c>
      <c r="BK43" s="6" t="inlineStr">
        <is>
          <t>To a moderate extent</t>
        </is>
      </c>
      <c r="BL43" s="6" t="inlineStr">
        <is>
          <t>To a great extent</t>
        </is>
      </c>
      <c r="BM43" s="6" t="inlineStr">
        <is>
          <t>To a slight extent</t>
        </is>
      </c>
      <c r="BN43" s="6" t="inlineStr">
        <is>
          <t>To a moderate extent</t>
        </is>
      </c>
      <c r="BO43" s="6" t="inlineStr">
        <is>
          <t>To a great extent</t>
        </is>
      </c>
      <c r="BP43" s="6" t="inlineStr">
        <is>
          <t>To a great extent</t>
        </is>
      </c>
      <c r="BQ43" s="6" t="inlineStr">
        <is>
          <t>Don’t know or not applicable</t>
        </is>
      </c>
      <c r="BR43" s="6" t="inlineStr">
        <is>
          <t>To a moderate extent</t>
        </is>
      </c>
      <c r="BS43" s="6" t="inlineStr">
        <is>
          <t>NGOs</t>
        </is>
      </c>
      <c r="BT43" s="6" t="inlineStr">
        <is>
          <t>The IMF dedicated an appropriate amount of resources</t>
        </is>
      </c>
      <c r="BU43" s="6" t="inlineStr">
        <is>
          <t>To a moderate extent</t>
        </is>
      </c>
      <c r="BV43" s="6" t="inlineStr">
        <is>
          <t>To a slight extent</t>
        </is>
      </c>
      <c r="BW43" s="6" t="inlineStr">
        <is>
          <t>To a moderate extent</t>
        </is>
      </c>
      <c r="BX43" s="6" t="inlineStr">
        <is>
          <t>To a moderate extent</t>
        </is>
      </c>
      <c r="BY43" s="6" t="inlineStr">
        <is>
          <t>To a moderate extent</t>
        </is>
      </c>
      <c r="BZ43" s="6" t="inlineStr">
        <is>
          <t>To a moderate extent</t>
        </is>
      </c>
      <c r="CA43" s="6" t="inlineStr">
        <is>
          <t>To a slight extent</t>
        </is>
      </c>
      <c r="CB43" s="6" t="inlineStr">
        <is>
          <t>To a slight extent</t>
        </is>
      </c>
      <c r="CC43" s="6" t="inlineStr">
        <is>
          <t>To a moderate extent</t>
        </is>
      </c>
      <c r="CD43" s="6" t="inlineStr">
        <is>
          <t>To a great extent</t>
        </is>
      </c>
      <c r="CE43" s="6" t="inlineStr">
        <is>
          <t>To a moderate extent</t>
        </is>
      </c>
      <c r="CF43" s="6" t="inlineStr">
        <is>
          <t>To a great extent</t>
        </is>
      </c>
      <c r="CG43" s="6" t="n"/>
      <c r="CH43" s="6" t="inlineStr">
        <is>
          <t>No</t>
        </is>
      </c>
      <c r="CI43" s="6" t="inlineStr">
        <is>
          <t>No</t>
        </is>
      </c>
      <c r="CJ43" s="6" t="n"/>
      <c r="CK43" s="6" t="n"/>
      <c r="CL43" s="6" t="n"/>
      <c r="CM43" s="6" t="n"/>
      <c r="CN43" s="6" t="n"/>
      <c r="CO43" s="6" t="n"/>
      <c r="CP43" s="6" t="n"/>
      <c r="CQ43" s="6" t="n"/>
      <c r="CR43" s="6" t="n"/>
      <c r="CS43" s="6" t="n"/>
      <c r="CT43" s="6" t="n"/>
      <c r="CU43" s="6" t="n"/>
      <c r="CV43" s="6" t="n"/>
      <c r="CW43" s="6" t="n"/>
      <c r="CX43" s="6" t="n"/>
      <c r="CY43" s="6" t="n"/>
      <c r="CZ43" s="6" t="n"/>
      <c r="DA43" s="6" t="n"/>
      <c r="DB43" s="6" t="n"/>
      <c r="DC43" s="6" t="n"/>
      <c r="DD43" s="6" t="n"/>
      <c r="DE43" s="6" t="n"/>
      <c r="DF43" s="6" t="n"/>
      <c r="DG43" s="6" t="n"/>
      <c r="DH43" s="6" t="n"/>
      <c r="DI43" s="6" t="n"/>
      <c r="DJ43" s="6" t="n"/>
      <c r="DK43" s="6" t="n"/>
      <c r="DL43" s="6" t="n"/>
      <c r="DM43" s="6" t="n"/>
      <c r="DN43" s="6" t="n"/>
      <c r="DO43" s="6" t="n"/>
      <c r="DP43" s="6" t="inlineStr">
        <is>
          <t>My country is not eligible for an RSF arrangement</t>
        </is>
      </c>
      <c r="DQ43" s="6" t="inlineStr">
        <is>
          <t>Climate change does not pose a major balance of payments risk in my country</t>
        </is>
      </c>
      <c r="DR43" s="6" t="n"/>
      <c r="DS43" s="6" t="n"/>
      <c r="DT43" s="6" t="n"/>
      <c r="DU43" s="6" t="n"/>
      <c r="DV43" s="6" t="n"/>
      <c r="DW43" s="6" t="inlineStr">
        <is>
          <t>Yes</t>
        </is>
      </c>
      <c r="DX43" s="6" t="n"/>
      <c r="DY43" s="6" t="n"/>
      <c r="DZ43" s="6" t="n"/>
      <c r="EA43" s="6" t="n"/>
      <c r="EB43" s="6" t="inlineStr">
        <is>
          <t>Other (please specify) : European Union</t>
        </is>
      </c>
      <c r="EC43" s="6" t="inlineStr">
        <is>
          <t>Don’t know or not applicable</t>
        </is>
      </c>
      <c r="ED43" s="6" t="inlineStr">
        <is>
          <t>Don’t know or not applicable</t>
        </is>
      </c>
      <c r="EE43" s="6" t="inlineStr">
        <is>
          <t>Don’t know or not applicable</t>
        </is>
      </c>
      <c r="EF43" s="6" t="inlineStr">
        <is>
          <t>To a great extent</t>
        </is>
      </c>
      <c r="EG43" s="6" t="inlineStr">
        <is>
          <t>To a slight extent</t>
        </is>
      </c>
      <c r="EH43" s="6" t="inlineStr">
        <is>
          <t>To a moderate extent</t>
        </is>
      </c>
      <c r="EI43" s="6" t="inlineStr">
        <is>
          <t>To a moderate extent</t>
        </is>
      </c>
      <c r="EJ43" s="6" t="inlineStr">
        <is>
          <t>To a moderate extent</t>
        </is>
      </c>
      <c r="EK43" s="6" t="inlineStr">
        <is>
          <t>Not at all</t>
        </is>
      </c>
      <c r="EL43" s="6" t="inlineStr">
        <is>
          <t>To a moderate extent</t>
        </is>
      </c>
      <c r="EM43" s="6" t="n"/>
      <c r="EN43" s="6" t="n"/>
      <c r="EO43" s="6" t="n"/>
      <c r="EP43" s="6" t="n"/>
      <c r="EQ43" s="6" t="inlineStr">
        <is>
          <t>Not at all</t>
        </is>
      </c>
      <c r="ER43" s="6" t="inlineStr">
        <is>
          <t>Not at all</t>
        </is>
      </c>
      <c r="ES43" s="6" t="n"/>
      <c r="ET43" s="6" t="n"/>
      <c r="EU43" s="6" t="n"/>
      <c r="EV43" s="6" t="n"/>
      <c r="EW43" s="6" t="n"/>
      <c r="EX43" s="6" t="n"/>
      <c r="EY43" s="6" t="n"/>
      <c r="EZ43" s="6" t="n"/>
      <c r="FA43" s="6" t="n"/>
      <c r="FB43" s="6" t="n"/>
      <c r="FC43" s="6" t="n"/>
      <c r="FD43" s="6" t="n"/>
      <c r="FE43" s="6" t="n"/>
      <c r="FF43" s="6" t="n"/>
      <c r="FG43" s="6" t="n"/>
      <c r="FH43" s="6" t="n"/>
      <c r="FI43" s="6" t="n"/>
      <c r="FJ43" s="6" t="n"/>
      <c r="FK43" s="6" t="n"/>
      <c r="FL43" s="6" t="n"/>
      <c r="FM43" s="6" t="n"/>
      <c r="FN43" s="6" t="n"/>
      <c r="FO43" s="6" t="n"/>
      <c r="FP43" s="6" t="n"/>
      <c r="FQ43" s="6" t="n"/>
      <c r="FR43" s="6" t="n"/>
      <c r="FS43" s="6" t="n"/>
      <c r="FT43" s="6" t="n"/>
      <c r="FU43" s="6" t="n"/>
      <c r="FV43" s="6" t="n"/>
      <c r="FW43" s="6" t="n"/>
      <c r="FX43" s="6" t="n"/>
      <c r="FY43" s="6" t="inlineStr">
        <is>
          <t>To a moderate extent</t>
        </is>
      </c>
      <c r="FZ43" s="6" t="inlineStr">
        <is>
          <t>To a moderate extent</t>
        </is>
      </c>
      <c r="GA43" s="6" t="inlineStr">
        <is>
          <t>To a great extent</t>
        </is>
      </c>
      <c r="GB43" s="6" t="inlineStr">
        <is>
          <t>To a slight extent</t>
        </is>
      </c>
      <c r="GC43" s="6" t="inlineStr">
        <is>
          <t>Don’t know or not applicable</t>
        </is>
      </c>
      <c r="GD43" s="6" t="n"/>
      <c r="GE43" s="6" t="inlineStr">
        <is>
          <t>To a moderate extent</t>
        </is>
      </c>
      <c r="GF43" s="6" t="inlineStr">
        <is>
          <t>To a moderate extent</t>
        </is>
      </c>
      <c r="GG43" s="6" t="inlineStr">
        <is>
          <t>To a moderate extent</t>
        </is>
      </c>
      <c r="GH43" s="6" t="inlineStr">
        <is>
          <t>To a slight extent</t>
        </is>
      </c>
      <c r="GI43" s="6" t="inlineStr">
        <is>
          <t>To a moderate extent</t>
        </is>
      </c>
      <c r="GJ43" s="6" t="inlineStr">
        <is>
          <t>To a moderate extent</t>
        </is>
      </c>
      <c r="GK43" s="6" t="n"/>
      <c r="GL43" s="7">
        <f>DATE(2025,5,28)+TIME(16,53,20)</f>
        <v/>
      </c>
    </row>
    <row r="44" ht="110.25" customHeight="1">
      <c r="A44" s="3" t="inlineStr">
        <is>
          <t>James</t>
        </is>
      </c>
      <c r="B44" s="3" t="inlineStr">
        <is>
          <t>Garcia</t>
        </is>
      </c>
      <c r="C44" s="3" t="inlineStr">
        <is>
          <t>jgarcia@organization.org</t>
        </is>
      </c>
      <c r="D44" s="3" t="inlineStr">
        <is>
          <t>CX6CR5K9Y</t>
        </is>
      </c>
      <c r="E44" s="3" t="n"/>
      <c r="F44" s="3" t="inlineStr">
        <is>
          <t>OEDST</t>
        </is>
      </c>
      <c r="G44" s="3" t="n"/>
      <c r="H44" s="3" t="n"/>
      <c r="I44" s="3" t="n"/>
      <c r="J44" s="3" t="n"/>
      <c r="K44" s="3" t="n"/>
      <c r="L44" s="3" t="n"/>
      <c r="M44" s="3" t="n"/>
      <c r="N44" s="3" t="n"/>
      <c r="O44" s="3" t="n"/>
      <c r="P44" s="3" t="n"/>
      <c r="Q44" s="3" t="n"/>
      <c r="R44" s="3" t="n"/>
      <c r="S44" s="3" t="n"/>
      <c r="T44" s="3" t="n"/>
      <c r="U44" s="3" t="n"/>
      <c r="V44" s="3" t="n"/>
      <c r="W44" s="3" t="n"/>
      <c r="X44" s="3" t="n"/>
      <c r="Y44" s="3" t="n"/>
      <c r="Z44" s="3" t="n"/>
      <c r="AA44" s="3" t="n"/>
      <c r="AB44" s="3" t="inlineStr">
        <is>
          <t>Vietnam</t>
        </is>
      </c>
      <c r="AC44" s="3" t="n"/>
      <c r="AD44" s="3" t="n"/>
      <c r="AE44" s="3" t="n"/>
      <c r="AF44" s="4" t="inlineStr">
        <is>
          <t>Vietnam</t>
        </is>
      </c>
      <c r="AG44" s="3" t="inlineStr">
        <is>
          <t>The IMF should engage more on climate change-related issues</t>
        </is>
      </c>
      <c r="AH44" s="3" t="inlineStr">
        <is>
          <t>To a great extent</t>
        </is>
      </c>
      <c r="AI44" s="3" t="inlineStr">
        <is>
          <t>To a great extent</t>
        </is>
      </c>
      <c r="AJ44" s="3" t="inlineStr">
        <is>
          <t>To a great extent</t>
        </is>
      </c>
      <c r="AK44" s="3" t="inlineStr">
        <is>
          <t>To a moderate extent</t>
        </is>
      </c>
      <c r="AL44" s="3" t="inlineStr">
        <is>
          <t>To a moderate extent</t>
        </is>
      </c>
      <c r="AM44" s="3" t="inlineStr">
        <is>
          <t>To a moderate extent</t>
        </is>
      </c>
      <c r="AN44" s="3" t="inlineStr">
        <is>
          <t>To a moderate extent</t>
        </is>
      </c>
      <c r="AO44" s="3" t="inlineStr">
        <is>
          <t>To a moderate extent</t>
        </is>
      </c>
      <c r="AP44" s="3" t="inlineStr">
        <is>
          <t>To a great extent</t>
        </is>
      </c>
      <c r="AQ44" s="3" t="inlineStr">
        <is>
          <t>To a great extent</t>
        </is>
      </c>
      <c r="AR44" s="3" t="inlineStr">
        <is>
          <t>To a great extent</t>
        </is>
      </c>
      <c r="AS44" s="3" t="n"/>
      <c r="AT44" s="3" t="inlineStr">
        <is>
          <t>To a slight extent</t>
        </is>
      </c>
      <c r="AU44" s="3" t="inlineStr">
        <is>
          <t>To a great extent</t>
        </is>
      </c>
      <c r="AV44" s="3" t="inlineStr">
        <is>
          <t>Not at all</t>
        </is>
      </c>
      <c r="AW44" s="3" t="inlineStr">
        <is>
          <t>To a great extent</t>
        </is>
      </c>
      <c r="AX44" s="3" t="inlineStr">
        <is>
          <t>To a moderate extent</t>
        </is>
      </c>
      <c r="AY44" s="3" t="inlineStr">
        <is>
          <t>To a slight extent</t>
        </is>
      </c>
      <c r="AZ44" s="3" t="inlineStr">
        <is>
          <t>To a slight extent</t>
        </is>
      </c>
      <c r="BA44" s="3" t="inlineStr">
        <is>
          <t>Not at all</t>
        </is>
      </c>
      <c r="BB44" s="3" t="inlineStr">
        <is>
          <t>To a moderate extent</t>
        </is>
      </c>
      <c r="BC44" s="3" t="inlineStr">
        <is>
          <t>To a slight extent</t>
        </is>
      </c>
      <c r="BD44" s="3" t="inlineStr">
        <is>
          <t>To a moderate extent</t>
        </is>
      </c>
      <c r="BE44" s="3" t="inlineStr">
        <is>
          <t>Not at all</t>
        </is>
      </c>
      <c r="BF44" s="3" t="inlineStr">
        <is>
          <t>Not at all</t>
        </is>
      </c>
      <c r="BG44" s="3" t="inlineStr">
        <is>
          <t>To a moderate extent</t>
        </is>
      </c>
      <c r="BH44" s="3" t="inlineStr">
        <is>
          <t>To a moderate extent</t>
        </is>
      </c>
      <c r="BI44" s="3" t="inlineStr">
        <is>
          <t>To a moderate extent</t>
        </is>
      </c>
      <c r="BJ44" s="3" t="inlineStr">
        <is>
          <t>To a moderate extent</t>
        </is>
      </c>
      <c r="BK44" s="3" t="inlineStr">
        <is>
          <t>Not at all</t>
        </is>
      </c>
      <c r="BL44" s="3" t="inlineStr">
        <is>
          <t>To a moderate extent</t>
        </is>
      </c>
      <c r="BM44" s="3" t="inlineStr">
        <is>
          <t>To a slight extent</t>
        </is>
      </c>
      <c r="BN44" s="3" t="inlineStr">
        <is>
          <t>To a moderate extent</t>
        </is>
      </c>
      <c r="BO44" s="3" t="inlineStr">
        <is>
          <t>To a moderate extent</t>
        </is>
      </c>
      <c r="BP44" s="3" t="inlineStr">
        <is>
          <t>To a slight extent</t>
        </is>
      </c>
      <c r="BQ44" s="3" t="inlineStr">
        <is>
          <t>To a slight extent</t>
        </is>
      </c>
      <c r="BR44" s="3" t="inlineStr">
        <is>
          <t>Don’t know or not applicable</t>
        </is>
      </c>
      <c r="BS44" s="3" t="n"/>
      <c r="BT44" s="3" t="inlineStr">
        <is>
          <t>The IMF dedicated an appropriate amount of resources</t>
        </is>
      </c>
      <c r="BU44" s="3" t="inlineStr">
        <is>
          <t>To a moderate extent</t>
        </is>
      </c>
      <c r="BV44" s="3" t="inlineStr">
        <is>
          <t>Not at all</t>
        </is>
      </c>
      <c r="BW44" s="3" t="inlineStr">
        <is>
          <t>To a moderate extent</t>
        </is>
      </c>
      <c r="BX44" s="3" t="inlineStr">
        <is>
          <t>To a moderate extent</t>
        </is>
      </c>
      <c r="BY44" s="3" t="inlineStr">
        <is>
          <t>To a moderate extent</t>
        </is>
      </c>
      <c r="BZ44" s="3" t="inlineStr">
        <is>
          <t>To a moderate extent</t>
        </is>
      </c>
      <c r="CA44" s="3" t="inlineStr">
        <is>
          <t>To a moderate extent</t>
        </is>
      </c>
      <c r="CB44" s="3" t="inlineStr">
        <is>
          <t>To a moderate extent</t>
        </is>
      </c>
      <c r="CC44" s="3" t="inlineStr">
        <is>
          <t>To a moderate extent</t>
        </is>
      </c>
      <c r="CD44" s="3" t="inlineStr">
        <is>
          <t>To a moderate extent</t>
        </is>
      </c>
      <c r="CE44" s="3" t="inlineStr">
        <is>
          <t>To a moderate extent</t>
        </is>
      </c>
      <c r="CF44" s="3" t="inlineStr">
        <is>
          <t>To a moderate extent</t>
        </is>
      </c>
      <c r="CG44" s="3" t="n"/>
      <c r="CH44" s="3" t="inlineStr">
        <is>
          <t>No</t>
        </is>
      </c>
      <c r="CI44" s="3" t="inlineStr">
        <is>
          <t>No</t>
        </is>
      </c>
      <c r="CJ44" s="3" t="n"/>
      <c r="CK44" s="3" t="n"/>
      <c r="CL44" s="3" t="n"/>
      <c r="CM44" s="3" t="n"/>
      <c r="CN44" s="3" t="n"/>
      <c r="CO44" s="3" t="n"/>
      <c r="CP44" s="3" t="n"/>
      <c r="CQ44" s="3" t="n"/>
      <c r="CR44" s="3" t="n"/>
      <c r="CS44" s="3" t="n"/>
      <c r="CT44" s="3" t="n"/>
      <c r="CU44" s="3" t="n"/>
      <c r="CV44" s="3" t="n"/>
      <c r="CW44" s="3" t="n"/>
      <c r="CX44" s="3" t="n"/>
      <c r="CY44" s="3" t="n"/>
      <c r="CZ44" s="3" t="n"/>
      <c r="DA44" s="3" t="n"/>
      <c r="DB44" s="3" t="n"/>
      <c r="DC44" s="3" t="n"/>
      <c r="DD44" s="3" t="n"/>
      <c r="DE44" s="3" t="n"/>
      <c r="DF44" s="3" t="n"/>
      <c r="DG44" s="3" t="n"/>
      <c r="DH44" s="3" t="n"/>
      <c r="DI44" s="3" t="n"/>
      <c r="DJ44" s="3" t="n"/>
      <c r="DK44" s="3" t="n"/>
      <c r="DL44" s="3" t="n"/>
      <c r="DM44" s="3" t="n"/>
      <c r="DN44" s="3" t="n"/>
      <c r="DO44" s="3" t="n"/>
      <c r="DP44" s="3" t="n"/>
      <c r="DQ44" s="3" t="n"/>
      <c r="DR44" s="3" t="n"/>
      <c r="DS44" s="3" t="n"/>
      <c r="DT44" s="3" t="n"/>
      <c r="DU44" s="3" t="inlineStr">
        <is>
          <t>An RSF arrangement would have been useful, but my country had no balance of payments issues/did not need/was not willing to commit to the underlying UCT program</t>
        </is>
      </c>
      <c r="DV44" s="3" t="n"/>
      <c r="DW44" s="3" t="inlineStr">
        <is>
          <t>Don't know</t>
        </is>
      </c>
      <c r="DX44" s="3" t="n"/>
      <c r="DY44" s="3" t="n"/>
      <c r="DZ44" s="3" t="n"/>
      <c r="EA44" s="3" t="n"/>
      <c r="EB44" s="3" t="n"/>
      <c r="EC44" s="3" t="n"/>
      <c r="ED44" s="3" t="n"/>
      <c r="EE44" s="3" t="n"/>
      <c r="EF44" s="3" t="inlineStr">
        <is>
          <t>To a moderate extent</t>
        </is>
      </c>
      <c r="EG44" s="3" t="inlineStr">
        <is>
          <t>To a moderate extent</t>
        </is>
      </c>
      <c r="EH44" s="3" t="inlineStr">
        <is>
          <t>To a moderate extent</t>
        </is>
      </c>
      <c r="EI44" s="3" t="inlineStr">
        <is>
          <t>To a moderate extent</t>
        </is>
      </c>
      <c r="EJ44" s="3" t="inlineStr">
        <is>
          <t>To a moderate extent</t>
        </is>
      </c>
      <c r="EK44" s="3" t="inlineStr">
        <is>
          <t>To a moderate extent</t>
        </is>
      </c>
      <c r="EL44" s="3" t="inlineStr">
        <is>
          <t>To a moderate extent</t>
        </is>
      </c>
      <c r="EM44" s="3" t="n"/>
      <c r="EN44" s="3" t="n"/>
      <c r="EO44" s="3" t="n"/>
      <c r="EP44" s="3" t="n"/>
      <c r="EQ44" s="3" t="inlineStr">
        <is>
          <t>To a slight extent</t>
        </is>
      </c>
      <c r="ER44" s="3" t="inlineStr">
        <is>
          <t>To a slight extent</t>
        </is>
      </c>
      <c r="ES44" s="3" t="n"/>
      <c r="ET44" s="3" t="inlineStr">
        <is>
          <t>Not at all</t>
        </is>
      </c>
      <c r="EU44" s="3" t="inlineStr">
        <is>
          <t>Not at all</t>
        </is>
      </c>
      <c r="EV44" s="3" t="inlineStr">
        <is>
          <t>Not at all</t>
        </is>
      </c>
      <c r="EW44" s="3" t="inlineStr">
        <is>
          <t>Not at all</t>
        </is>
      </c>
      <c r="EX44" s="3" t="n"/>
      <c r="EY44" s="3" t="inlineStr">
        <is>
          <t>To a moderate extent</t>
        </is>
      </c>
      <c r="EZ44" s="3" t="inlineStr">
        <is>
          <t>Not at all</t>
        </is>
      </c>
      <c r="FA44" s="3" t="inlineStr">
        <is>
          <t>To a moderate extent</t>
        </is>
      </c>
      <c r="FB44" s="3" t="inlineStr">
        <is>
          <t>To a slight extent</t>
        </is>
      </c>
      <c r="FC44" s="3" t="inlineStr">
        <is>
          <t>To a moderate extent</t>
        </is>
      </c>
      <c r="FD44" s="3" t="inlineStr">
        <is>
          <t>To a moderate extent</t>
        </is>
      </c>
      <c r="FE44" s="3" t="inlineStr">
        <is>
          <t>To a moderate extent</t>
        </is>
      </c>
      <c r="FF44" s="3" t="inlineStr">
        <is>
          <t>To a moderate extent</t>
        </is>
      </c>
      <c r="FG44" s="3" t="inlineStr">
        <is>
          <t>To a moderate extent</t>
        </is>
      </c>
      <c r="FH44" s="3" t="inlineStr">
        <is>
          <t>Not at all</t>
        </is>
      </c>
      <c r="FI44" s="3" t="inlineStr">
        <is>
          <t>To a slight extent</t>
        </is>
      </c>
      <c r="FJ44" s="3" t="inlineStr">
        <is>
          <t>Not at all</t>
        </is>
      </c>
      <c r="FK44" s="3" t="inlineStr">
        <is>
          <t>To a slight extent</t>
        </is>
      </c>
      <c r="FL44" s="3" t="inlineStr">
        <is>
          <t>To a slight extent</t>
        </is>
      </c>
      <c r="FM44" s="3" t="inlineStr">
        <is>
          <t>To a moderate extent</t>
        </is>
      </c>
      <c r="FN44" s="3" t="inlineStr">
        <is>
          <t>To a moderate extent</t>
        </is>
      </c>
      <c r="FO44" s="3" t="inlineStr">
        <is>
          <t>To a moderate extent</t>
        </is>
      </c>
      <c r="FP44" s="3" t="inlineStr">
        <is>
          <t>To a moderate extent</t>
        </is>
      </c>
      <c r="FQ44" s="3" t="inlineStr">
        <is>
          <t>To a moderate extent</t>
        </is>
      </c>
      <c r="FR44" s="3" t="inlineStr">
        <is>
          <t>To a moderate extent</t>
        </is>
      </c>
      <c r="FS44" s="3" t="inlineStr">
        <is>
          <t>To a moderate extent</t>
        </is>
      </c>
      <c r="FT44" s="3" t="inlineStr">
        <is>
          <t>To a moderate extent</t>
        </is>
      </c>
      <c r="FU44" s="3" t="inlineStr">
        <is>
          <t>Don’t know or not applicable</t>
        </is>
      </c>
      <c r="FV44" s="3" t="n"/>
      <c r="FW44" s="3" t="inlineStr">
        <is>
          <t>The IMF dedicated the appropriate amount of resources</t>
        </is>
      </c>
      <c r="FX44" s="3" t="n"/>
      <c r="FY44" s="3" t="inlineStr">
        <is>
          <t>To a great extent</t>
        </is>
      </c>
      <c r="FZ44" s="3" t="inlineStr">
        <is>
          <t>To a moderate extent</t>
        </is>
      </c>
      <c r="GA44" s="3" t="inlineStr">
        <is>
          <t>To a great extent</t>
        </is>
      </c>
      <c r="GB44" s="3" t="inlineStr">
        <is>
          <t>To a moderate extent</t>
        </is>
      </c>
      <c r="GC44" s="3" t="n"/>
      <c r="GD44" s="3" t="n"/>
      <c r="GE44" s="3" t="inlineStr">
        <is>
          <t>To a great extent</t>
        </is>
      </c>
      <c r="GF44" s="3" t="inlineStr">
        <is>
          <t>To a moderate extent</t>
        </is>
      </c>
      <c r="GG44" s="3" t="inlineStr">
        <is>
          <t>To a great extent</t>
        </is>
      </c>
      <c r="GH44" s="3" t="inlineStr">
        <is>
          <t>To a moderate extent</t>
        </is>
      </c>
      <c r="GI44" s="3" t="inlineStr">
        <is>
          <t>To a moderate extent</t>
        </is>
      </c>
      <c r="GJ44" s="3" t="inlineStr">
        <is>
          <t>To a moderate extent</t>
        </is>
      </c>
      <c r="GK44" s="3" t="n"/>
      <c r="GL44" s="5">
        <f>DATE(2025,5,23)+TIME(11,2,1)</f>
        <v/>
      </c>
    </row>
    <row r="45" ht="63" customHeight="1">
      <c r="A45" s="6" t="inlineStr">
        <is>
          <t>Gabriel</t>
        </is>
      </c>
      <c r="B45" s="6" t="inlineStr">
        <is>
          <t>Kim</t>
        </is>
      </c>
      <c r="C45" s="6" t="inlineStr">
        <is>
          <t>gkim@organization.org</t>
        </is>
      </c>
      <c r="D45" s="6" t="inlineStr">
        <is>
          <t>EVGXJVKWX</t>
        </is>
      </c>
      <c r="E45" s="6" t="n"/>
      <c r="F45" s="6" t="inlineStr">
        <is>
          <t>OEDNO</t>
        </is>
      </c>
      <c r="G45" s="6" t="n"/>
      <c r="H45" s="6" t="n"/>
      <c r="I45" s="6" t="n"/>
      <c r="J45" s="6" t="n"/>
      <c r="K45" s="6" t="n"/>
      <c r="L45" s="6" t="n"/>
      <c r="M45" s="6" t="n"/>
      <c r="N45" s="6" t="n"/>
      <c r="O45" s="6" t="n"/>
      <c r="P45" s="6" t="n"/>
      <c r="Q45" s="6" t="n"/>
      <c r="R45" s="6" t="n"/>
      <c r="S45" s="6" t="n"/>
      <c r="T45" s="6" t="n"/>
      <c r="U45" s="6" t="n"/>
      <c r="V45" s="6" t="n"/>
      <c r="W45" s="6" t="n"/>
      <c r="X45" s="6" t="n"/>
      <c r="Y45" s="6" t="inlineStr">
        <is>
          <t>Finland</t>
        </is>
      </c>
      <c r="Z45" s="6" t="n"/>
      <c r="AA45" s="6" t="n"/>
      <c r="AB45" s="6" t="n"/>
      <c r="AC45" s="6" t="n"/>
      <c r="AD45" s="6" t="n"/>
      <c r="AE45" s="6" t="n"/>
      <c r="AF45" s="4" t="inlineStr">
        <is>
          <t>Finland</t>
        </is>
      </c>
      <c r="AG45" s="6" t="inlineStr">
        <is>
          <t>The IMF should engage a similar amount on climate change-related issues</t>
        </is>
      </c>
      <c r="AH45" s="6" t="inlineStr">
        <is>
          <t>To a moderate extent</t>
        </is>
      </c>
      <c r="AI45" s="6" t="inlineStr">
        <is>
          <t>To a moderate extent</t>
        </is>
      </c>
      <c r="AJ45" s="6" t="inlineStr">
        <is>
          <t>To a moderate extent</t>
        </is>
      </c>
      <c r="AK45" s="6" t="inlineStr">
        <is>
          <t>To a slight extent</t>
        </is>
      </c>
      <c r="AL45" s="6" t="inlineStr">
        <is>
          <t>To a great extent</t>
        </is>
      </c>
      <c r="AM45" s="6" t="inlineStr">
        <is>
          <t>Don’t know or not applicable</t>
        </is>
      </c>
      <c r="AN45" s="6" t="inlineStr">
        <is>
          <t>Don’t know or not applicable</t>
        </is>
      </c>
      <c r="AO45" s="6" t="inlineStr">
        <is>
          <t>Don’t know or not applicable</t>
        </is>
      </c>
      <c r="AP45" s="6" t="inlineStr">
        <is>
          <t>To a slight extent</t>
        </is>
      </c>
      <c r="AQ45" s="6" t="inlineStr">
        <is>
          <t>To a slight extent</t>
        </is>
      </c>
      <c r="AR45" s="6" t="inlineStr">
        <is>
          <t>To a slight extent</t>
        </is>
      </c>
      <c r="AS45" s="6" t="n"/>
      <c r="AT45" s="6" t="inlineStr">
        <is>
          <t>To a slight extent</t>
        </is>
      </c>
      <c r="AU45" s="6" t="inlineStr">
        <is>
          <t>To a moderate extent</t>
        </is>
      </c>
      <c r="AV45" s="6" t="inlineStr">
        <is>
          <t>Not at all</t>
        </is>
      </c>
      <c r="AW45" s="6" t="inlineStr">
        <is>
          <t>To a slight extent</t>
        </is>
      </c>
      <c r="AX45" s="6" t="inlineStr">
        <is>
          <t>To a slight extent</t>
        </is>
      </c>
      <c r="AY45" s="6" t="inlineStr">
        <is>
          <t>To a moderate extent</t>
        </is>
      </c>
      <c r="AZ45" s="6" t="inlineStr">
        <is>
          <t>To a moderate extent</t>
        </is>
      </c>
      <c r="BA45" s="6" t="inlineStr">
        <is>
          <t>Not at all</t>
        </is>
      </c>
      <c r="BB45" s="6" t="inlineStr">
        <is>
          <t>To a moderate extent</t>
        </is>
      </c>
      <c r="BC45" s="6" t="inlineStr">
        <is>
          <t>To a slight extent</t>
        </is>
      </c>
      <c r="BD45" s="6" t="inlineStr">
        <is>
          <t>To a moderate extent</t>
        </is>
      </c>
      <c r="BE45" s="6" t="inlineStr">
        <is>
          <t>To a moderate extent</t>
        </is>
      </c>
      <c r="BF45" s="6" t="inlineStr">
        <is>
          <t>Not at all</t>
        </is>
      </c>
      <c r="BG45" s="6" t="inlineStr">
        <is>
          <t>To a moderate extent</t>
        </is>
      </c>
      <c r="BH45" s="6" t="inlineStr">
        <is>
          <t>To a slight extent</t>
        </is>
      </c>
      <c r="BI45" s="6" t="inlineStr">
        <is>
          <t>To a moderate extent</t>
        </is>
      </c>
      <c r="BJ45" s="6" t="inlineStr">
        <is>
          <t>To a slight extent</t>
        </is>
      </c>
      <c r="BK45" s="6" t="inlineStr">
        <is>
          <t>Not at all</t>
        </is>
      </c>
      <c r="BL45" s="6" t="inlineStr">
        <is>
          <t>To a moderate extent</t>
        </is>
      </c>
      <c r="BM45" s="6" t="inlineStr">
        <is>
          <t>To a slight extent</t>
        </is>
      </c>
      <c r="BN45" s="6" t="inlineStr">
        <is>
          <t>To a slight extent</t>
        </is>
      </c>
      <c r="BO45" s="6" t="inlineStr">
        <is>
          <t>Don’t know or not applicable</t>
        </is>
      </c>
      <c r="BP45" s="6" t="inlineStr">
        <is>
          <t>Don’t know or not applicable</t>
        </is>
      </c>
      <c r="BQ45" s="6" t="inlineStr">
        <is>
          <t>Don’t know or not applicable</t>
        </is>
      </c>
      <c r="BR45" s="6" t="inlineStr">
        <is>
          <t>Don’t know or not applicable</t>
        </is>
      </c>
      <c r="BS45" s="6" t="n"/>
      <c r="BT45" s="6" t="inlineStr">
        <is>
          <t>The IMF dedicated an appropriate amount of resources</t>
        </is>
      </c>
      <c r="BU45" s="6" t="inlineStr">
        <is>
          <t>To a moderate extent</t>
        </is>
      </c>
      <c r="BV45" s="6" t="inlineStr">
        <is>
          <t>To a moderate extent</t>
        </is>
      </c>
      <c r="BW45" s="6" t="inlineStr">
        <is>
          <t>To a moderate extent</t>
        </is>
      </c>
      <c r="BX45" s="6" t="inlineStr">
        <is>
          <t>To a moderate extent</t>
        </is>
      </c>
      <c r="BY45" s="6" t="inlineStr">
        <is>
          <t>To a moderate extent</t>
        </is>
      </c>
      <c r="BZ45" s="6" t="inlineStr">
        <is>
          <t>To a moderate extent</t>
        </is>
      </c>
      <c r="CA45" s="6" t="inlineStr">
        <is>
          <t>To a moderate extent</t>
        </is>
      </c>
      <c r="CB45" s="6" t="inlineStr">
        <is>
          <t>To a moderate extent</t>
        </is>
      </c>
      <c r="CC45" s="6" t="inlineStr">
        <is>
          <t>To a moderate extent</t>
        </is>
      </c>
      <c r="CD45" s="6" t="inlineStr">
        <is>
          <t>To a moderate extent</t>
        </is>
      </c>
      <c r="CE45" s="6" t="inlineStr">
        <is>
          <t>To a moderate extent</t>
        </is>
      </c>
      <c r="CF45" s="6" t="inlineStr">
        <is>
          <t>To a moderate extent</t>
        </is>
      </c>
      <c r="CG45" s="6" t="n"/>
      <c r="CH45" s="6" t="inlineStr">
        <is>
          <t>No</t>
        </is>
      </c>
      <c r="CI45" s="6" t="inlineStr">
        <is>
          <t>No</t>
        </is>
      </c>
      <c r="CJ45" s="6" t="n"/>
      <c r="CK45" s="6" t="n"/>
      <c r="CL45" s="6" t="n"/>
      <c r="CM45" s="6" t="n"/>
      <c r="CN45" s="6" t="n"/>
      <c r="CO45" s="6" t="n"/>
      <c r="CP45" s="6" t="n"/>
      <c r="CQ45" s="6" t="n"/>
      <c r="CR45" s="6" t="n"/>
      <c r="CS45" s="6" t="n"/>
      <c r="CT45" s="6" t="n"/>
      <c r="CU45" s="6" t="n"/>
      <c r="CV45" s="6" t="n"/>
      <c r="CW45" s="6" t="n"/>
      <c r="CX45" s="6" t="n"/>
      <c r="CY45" s="6" t="n"/>
      <c r="CZ45" s="6" t="n"/>
      <c r="DA45" s="6" t="n"/>
      <c r="DB45" s="6" t="n"/>
      <c r="DC45" s="6" t="n"/>
      <c r="DD45" s="6" t="n"/>
      <c r="DE45" s="6" t="n"/>
      <c r="DF45" s="6" t="n"/>
      <c r="DG45" s="6" t="n"/>
      <c r="DH45" s="6" t="n"/>
      <c r="DI45" s="6" t="n"/>
      <c r="DJ45" s="6" t="n"/>
      <c r="DK45" s="6" t="n"/>
      <c r="DL45" s="6" t="n"/>
      <c r="DM45" s="6" t="n"/>
      <c r="DN45" s="6" t="n"/>
      <c r="DO45" s="6" t="n"/>
      <c r="DP45" s="6" t="inlineStr">
        <is>
          <t>My country is not eligible for an RSF arrangement</t>
        </is>
      </c>
      <c r="DQ45" s="6" t="n"/>
      <c r="DR45" s="6" t="n"/>
      <c r="DS45" s="6" t="n"/>
      <c r="DT45" s="6" t="n"/>
      <c r="DU45" s="6" t="n"/>
      <c r="DV45" s="6" t="n"/>
      <c r="DW45" s="6" t="inlineStr">
        <is>
          <t>No</t>
        </is>
      </c>
      <c r="DX45" s="6" t="n"/>
      <c r="DY45" s="6" t="n"/>
      <c r="DZ45" s="6" t="n"/>
      <c r="EA45" s="6" t="n"/>
      <c r="EB45" s="6" t="n"/>
      <c r="EC45" s="6" t="n"/>
      <c r="ED45" s="6" t="n"/>
      <c r="EE45" s="6" t="n"/>
      <c r="EF45" s="6" t="inlineStr">
        <is>
          <t>To a great extent</t>
        </is>
      </c>
      <c r="EG45" s="6" t="inlineStr">
        <is>
          <t>To a moderate extent</t>
        </is>
      </c>
      <c r="EH45" s="6" t="inlineStr">
        <is>
          <t>To a moderate extent</t>
        </is>
      </c>
      <c r="EI45" s="6" t="inlineStr">
        <is>
          <t>To a great extent</t>
        </is>
      </c>
      <c r="EJ45" s="6" t="inlineStr">
        <is>
          <t>Not at all</t>
        </is>
      </c>
      <c r="EK45" s="6" t="inlineStr">
        <is>
          <t>Not at all</t>
        </is>
      </c>
      <c r="EL45" s="6" t="inlineStr">
        <is>
          <t>To a slight extent</t>
        </is>
      </c>
      <c r="EM45" s="6" t="n"/>
      <c r="EN45" s="6" t="n"/>
      <c r="EO45" s="6" t="n"/>
      <c r="EP45" s="6" t="n"/>
      <c r="EQ45" s="6" t="inlineStr">
        <is>
          <t>Not at all</t>
        </is>
      </c>
      <c r="ER45" s="6" t="inlineStr">
        <is>
          <t>To a slight extent</t>
        </is>
      </c>
      <c r="ES45" s="6" t="n"/>
      <c r="ET45" s="6" t="n"/>
      <c r="EU45" s="6" t="n"/>
      <c r="EV45" s="6" t="n"/>
      <c r="EW45" s="6" t="n"/>
      <c r="EX45" s="6" t="n"/>
      <c r="EY45" s="6" t="n"/>
      <c r="EZ45" s="6" t="n"/>
      <c r="FA45" s="6" t="n"/>
      <c r="FB45" s="6" t="n"/>
      <c r="FC45" s="6" t="n"/>
      <c r="FD45" s="6" t="n"/>
      <c r="FE45" s="6" t="n"/>
      <c r="FF45" s="6" t="n"/>
      <c r="FG45" s="6" t="n"/>
      <c r="FH45" s="6" t="inlineStr">
        <is>
          <t>To a slight extent</t>
        </is>
      </c>
      <c r="FI45" s="6" t="inlineStr">
        <is>
          <t>Don’t know or not applicable</t>
        </is>
      </c>
      <c r="FJ45" s="6" t="inlineStr">
        <is>
          <t>Not at all</t>
        </is>
      </c>
      <c r="FK45" s="6" t="inlineStr">
        <is>
          <t>To a slight extent</t>
        </is>
      </c>
      <c r="FL45" s="6" t="inlineStr">
        <is>
          <t>To a slight extent</t>
        </is>
      </c>
      <c r="FM45" s="6" t="inlineStr">
        <is>
          <t>Don’t know or not applicable</t>
        </is>
      </c>
      <c r="FN45" s="6" t="inlineStr">
        <is>
          <t>Don’t know or not applicable</t>
        </is>
      </c>
      <c r="FO45" s="6" t="inlineStr">
        <is>
          <t>Don’t know or not applicable</t>
        </is>
      </c>
      <c r="FP45" s="6" t="inlineStr">
        <is>
          <t>Don’t know or not applicable</t>
        </is>
      </c>
      <c r="FQ45" s="6" t="inlineStr">
        <is>
          <t>Don’t know or not applicable</t>
        </is>
      </c>
      <c r="FR45" s="6" t="inlineStr">
        <is>
          <t>Don’t know or not applicable</t>
        </is>
      </c>
      <c r="FS45" s="6" t="inlineStr">
        <is>
          <t>Don’t know or not applicable</t>
        </is>
      </c>
      <c r="FT45" s="6" t="inlineStr">
        <is>
          <t>Don’t know or not applicable</t>
        </is>
      </c>
      <c r="FU45" s="6" t="inlineStr">
        <is>
          <t>Don’t know or not applicable</t>
        </is>
      </c>
      <c r="FV45" s="6" t="n"/>
      <c r="FW45" s="6" t="inlineStr">
        <is>
          <t>The IMF dedicated the appropriate amount of resources</t>
        </is>
      </c>
      <c r="FX45" s="6" t="n"/>
      <c r="FY45" s="6" t="inlineStr">
        <is>
          <t>To a moderate extent</t>
        </is>
      </c>
      <c r="FZ45" s="6" t="inlineStr">
        <is>
          <t>To a great extent</t>
        </is>
      </c>
      <c r="GA45" s="6" t="inlineStr">
        <is>
          <t>To a great extent</t>
        </is>
      </c>
      <c r="GB45" s="6" t="inlineStr">
        <is>
          <t>To a moderate extent</t>
        </is>
      </c>
      <c r="GC45" s="6" t="inlineStr">
        <is>
          <t>Don’t know or not applicable</t>
        </is>
      </c>
      <c r="GD45" s="6" t="n"/>
      <c r="GE45" s="6" t="inlineStr">
        <is>
          <t>To a moderate extent</t>
        </is>
      </c>
      <c r="GF45" s="6" t="inlineStr">
        <is>
          <t>To a great extent</t>
        </is>
      </c>
      <c r="GG45" s="6" t="inlineStr">
        <is>
          <t>To a slight extent</t>
        </is>
      </c>
      <c r="GH45" s="6" t="inlineStr">
        <is>
          <t>To a slight extent</t>
        </is>
      </c>
      <c r="GI45" s="6" t="inlineStr">
        <is>
          <t>To a great extent</t>
        </is>
      </c>
      <c r="GJ45" s="6" t="inlineStr">
        <is>
          <t>To a moderate extent</t>
        </is>
      </c>
      <c r="GK45" s="6" t="inlineStr">
        <is>
          <t>The IMF should engage in climate change related issues when it is deemed macrocritical.</t>
        </is>
      </c>
      <c r="GL45" s="7">
        <f>DATE(2025,6,2)+TIME(0,20,35)</f>
        <v/>
      </c>
    </row>
    <row r="46" ht="47.25" customHeight="1">
      <c r="A46" s="3" t="inlineStr">
        <is>
          <t>Suki</t>
        </is>
      </c>
      <c r="B46" s="3" t="inlineStr">
        <is>
          <t>Horvath</t>
        </is>
      </c>
      <c r="C46" s="3" t="inlineStr">
        <is>
          <t>shorvath@organization.org</t>
        </is>
      </c>
      <c r="D46" s="3" t="inlineStr">
        <is>
          <t>CM1EW7FPF</t>
        </is>
      </c>
      <c r="E46" s="3" t="n"/>
      <c r="F46" s="3" t="inlineStr">
        <is>
          <t>OEDSA</t>
        </is>
      </c>
      <c r="G46" s="3" t="n"/>
      <c r="H46" s="3" t="n"/>
      <c r="I46" s="3" t="n"/>
      <c r="J46" s="3" t="n"/>
      <c r="K46" s="3" t="n"/>
      <c r="L46" s="3" t="n"/>
      <c r="M46" s="3" t="n"/>
      <c r="N46" s="3" t="n"/>
      <c r="O46" s="3" t="n"/>
      <c r="P46" s="3" t="n"/>
      <c r="Q46" s="3" t="n"/>
      <c r="R46" s="3" t="n"/>
      <c r="S46" s="3" t="n"/>
      <c r="T46" s="3" t="n"/>
      <c r="U46" s="3" t="n"/>
      <c r="V46" s="3" t="n"/>
      <c r="W46" s="3" t="n"/>
      <c r="X46" s="3" t="n"/>
      <c r="Y46" s="3" t="n"/>
      <c r="Z46" s="3" t="n"/>
      <c r="AA46" s="3" t="inlineStr">
        <is>
          <t>Saudi Arabia</t>
        </is>
      </c>
      <c r="AB46" s="3" t="n"/>
      <c r="AC46" s="3" t="n"/>
      <c r="AD46" s="3" t="n"/>
      <c r="AE46" s="3" t="n"/>
      <c r="AF46" s="4" t="inlineStr">
        <is>
          <t>Saudi Arabia</t>
        </is>
      </c>
      <c r="AG46" s="3" t="inlineStr">
        <is>
          <t>The IMF should engage less on climate change-related issues</t>
        </is>
      </c>
      <c r="AH46" s="3" t="inlineStr">
        <is>
          <t>To a slight extent</t>
        </is>
      </c>
      <c r="AI46" s="3" t="inlineStr">
        <is>
          <t>Not at all</t>
        </is>
      </c>
      <c r="AJ46" s="3" t="inlineStr">
        <is>
          <t>To a slight extent</t>
        </is>
      </c>
      <c r="AK46" s="3" t="inlineStr">
        <is>
          <t>Not at all</t>
        </is>
      </c>
      <c r="AL46" s="3" t="inlineStr">
        <is>
          <t>Not at all</t>
        </is>
      </c>
      <c r="AM46" s="3" t="inlineStr">
        <is>
          <t>To a slight extent</t>
        </is>
      </c>
      <c r="AN46" s="3" t="inlineStr">
        <is>
          <t>To a slight extent</t>
        </is>
      </c>
      <c r="AO46" s="3" t="inlineStr">
        <is>
          <t>Not at all</t>
        </is>
      </c>
      <c r="AP46" s="3" t="inlineStr">
        <is>
          <t>Not at all</t>
        </is>
      </c>
      <c r="AQ46" s="3" t="inlineStr">
        <is>
          <t>Not at all</t>
        </is>
      </c>
      <c r="AR46" s="3" t="inlineStr">
        <is>
          <t>Not at all</t>
        </is>
      </c>
      <c r="AS46" s="3" t="n"/>
      <c r="AT46" s="3" t="inlineStr">
        <is>
          <t>Not at all</t>
        </is>
      </c>
      <c r="AU46" s="3" t="inlineStr">
        <is>
          <t>To a slight extent</t>
        </is>
      </c>
      <c r="AV46" s="3" t="inlineStr">
        <is>
          <t>To a great extent</t>
        </is>
      </c>
      <c r="AW46" s="3" t="inlineStr">
        <is>
          <t>Not at all</t>
        </is>
      </c>
      <c r="AX46" s="3" t="inlineStr">
        <is>
          <t>Not at all</t>
        </is>
      </c>
      <c r="AY46" s="3" t="inlineStr">
        <is>
          <t>Don’t know or not applicable</t>
        </is>
      </c>
      <c r="AZ46" s="3" t="inlineStr">
        <is>
          <t>To a slight extent</t>
        </is>
      </c>
      <c r="BA46" s="3" t="inlineStr">
        <is>
          <t>To a great extent</t>
        </is>
      </c>
      <c r="BB46" s="3" t="inlineStr">
        <is>
          <t>Not at all</t>
        </is>
      </c>
      <c r="BC46" s="3" t="inlineStr">
        <is>
          <t>Not at all</t>
        </is>
      </c>
      <c r="BD46" s="3" t="inlineStr">
        <is>
          <t>Don’t know or not applicable</t>
        </is>
      </c>
      <c r="BE46" s="3" t="inlineStr">
        <is>
          <t>Not at all</t>
        </is>
      </c>
      <c r="BF46" s="3" t="inlineStr">
        <is>
          <t>To a great extent</t>
        </is>
      </c>
      <c r="BG46" s="3" t="inlineStr">
        <is>
          <t>Not at all</t>
        </is>
      </c>
      <c r="BH46" s="3" t="inlineStr">
        <is>
          <t>Not at all</t>
        </is>
      </c>
      <c r="BI46" s="3" t="inlineStr">
        <is>
          <t>Don’t know or not applicable</t>
        </is>
      </c>
      <c r="BJ46" s="3" t="inlineStr">
        <is>
          <t>Not at all</t>
        </is>
      </c>
      <c r="BK46" s="3" t="inlineStr">
        <is>
          <t>To a great extent</t>
        </is>
      </c>
      <c r="BL46" s="3" t="inlineStr">
        <is>
          <t>Not at all</t>
        </is>
      </c>
      <c r="BM46" s="3" t="inlineStr">
        <is>
          <t>Not at all</t>
        </is>
      </c>
      <c r="BN46" s="3" t="inlineStr">
        <is>
          <t>Don’t know or not applicable</t>
        </is>
      </c>
      <c r="BO46" s="3" t="inlineStr">
        <is>
          <t>To a slight extent</t>
        </is>
      </c>
      <c r="BP46" s="3" t="inlineStr">
        <is>
          <t>To a slight extent</t>
        </is>
      </c>
      <c r="BQ46" s="3" t="inlineStr">
        <is>
          <t>To a slight extent</t>
        </is>
      </c>
      <c r="BR46" s="3" t="inlineStr">
        <is>
          <t>Don’t know or not applicable</t>
        </is>
      </c>
      <c r="BS46" s="3" t="n"/>
      <c r="BT46" s="3" t="inlineStr">
        <is>
          <t>The IMF should have dedicated less resources</t>
        </is>
      </c>
      <c r="BU46" s="3" t="inlineStr">
        <is>
          <t>To a great extent</t>
        </is>
      </c>
      <c r="BV46" s="3" t="inlineStr">
        <is>
          <t>To a slight extent</t>
        </is>
      </c>
      <c r="BW46" s="3" t="inlineStr">
        <is>
          <t>To a moderate extent</t>
        </is>
      </c>
      <c r="BX46" s="3" t="inlineStr">
        <is>
          <t>To a slight extent</t>
        </is>
      </c>
      <c r="BY46" s="3" t="inlineStr">
        <is>
          <t>To a moderate extent</t>
        </is>
      </c>
      <c r="BZ46" s="3" t="inlineStr">
        <is>
          <t>To a moderate extent</t>
        </is>
      </c>
      <c r="CA46" s="3" t="inlineStr">
        <is>
          <t>To a slight extent</t>
        </is>
      </c>
      <c r="CB46" s="3" t="inlineStr">
        <is>
          <t>To a moderate extent</t>
        </is>
      </c>
      <c r="CC46" s="3" t="inlineStr">
        <is>
          <t>To a moderate extent</t>
        </is>
      </c>
      <c r="CD46" s="3" t="inlineStr">
        <is>
          <t>To a slight extent</t>
        </is>
      </c>
      <c r="CE46" s="3" t="inlineStr">
        <is>
          <t>To a moderate extent</t>
        </is>
      </c>
      <c r="CF46" s="3" t="inlineStr">
        <is>
          <t>To a moderate extent</t>
        </is>
      </c>
      <c r="CG46" s="3" t="n"/>
      <c r="CH46" s="3" t="inlineStr">
        <is>
          <t>No</t>
        </is>
      </c>
      <c r="CI46" s="3" t="inlineStr">
        <is>
          <t>No</t>
        </is>
      </c>
      <c r="CJ46" s="3" t="n"/>
      <c r="CK46" s="3" t="n"/>
      <c r="CL46" s="3" t="n"/>
      <c r="CM46" s="3" t="n"/>
      <c r="CN46" s="3" t="n"/>
      <c r="CO46" s="3" t="n"/>
      <c r="CP46" s="3" t="n"/>
      <c r="CQ46" s="3" t="n"/>
      <c r="CR46" s="3" t="n"/>
      <c r="CS46" s="3" t="n"/>
      <c r="CT46" s="3" t="n"/>
      <c r="CU46" s="3" t="n"/>
      <c r="CV46" s="3" t="n"/>
      <c r="CW46" s="3" t="n"/>
      <c r="CX46" s="3" t="n"/>
      <c r="CY46" s="3" t="n"/>
      <c r="CZ46" s="3" t="n"/>
      <c r="DA46" s="3" t="n"/>
      <c r="DB46" s="3" t="n"/>
      <c r="DC46" s="3" t="n"/>
      <c r="DD46" s="3" t="n"/>
      <c r="DE46" s="3" t="n"/>
      <c r="DF46" s="3" t="n"/>
      <c r="DG46" s="3" t="n"/>
      <c r="DH46" s="3" t="n"/>
      <c r="DI46" s="3" t="n"/>
      <c r="DJ46" s="3" t="n"/>
      <c r="DK46" s="3" t="n"/>
      <c r="DL46" s="3" t="n"/>
      <c r="DM46" s="3" t="n"/>
      <c r="DN46" s="3" t="n"/>
      <c r="DO46" s="3" t="n"/>
      <c r="DP46" s="3" t="inlineStr">
        <is>
          <t>My country is not eligible for an RSF arrangement</t>
        </is>
      </c>
      <c r="DQ46" s="3" t="inlineStr">
        <is>
          <t>Climate change does not pose a major balance of payments risk in my country</t>
        </is>
      </c>
      <c r="DR46" s="3" t="n"/>
      <c r="DS46" s="3" t="n"/>
      <c r="DT46" s="3" t="n"/>
      <c r="DU46" s="3" t="n"/>
      <c r="DV46" s="3" t="n"/>
      <c r="DW46" s="3" t="inlineStr">
        <is>
          <t>No</t>
        </is>
      </c>
      <c r="DX46" s="3" t="n"/>
      <c r="DY46" s="3" t="n"/>
      <c r="DZ46" s="3" t="n"/>
      <c r="EA46" s="3" t="n"/>
      <c r="EB46" s="3" t="n"/>
      <c r="EC46" s="3" t="n"/>
      <c r="ED46" s="3" t="n"/>
      <c r="EE46" s="3" t="n"/>
      <c r="EF46" s="3" t="inlineStr">
        <is>
          <t>To a great extent</t>
        </is>
      </c>
      <c r="EG46" s="3" t="inlineStr">
        <is>
          <t>To a slight extent</t>
        </is>
      </c>
      <c r="EH46" s="3" t="inlineStr">
        <is>
          <t>To a slight extent</t>
        </is>
      </c>
      <c r="EI46" s="3" t="inlineStr">
        <is>
          <t>To a great extent</t>
        </is>
      </c>
      <c r="EJ46" s="3" t="inlineStr">
        <is>
          <t>Not at all</t>
        </is>
      </c>
      <c r="EK46" s="3" t="inlineStr">
        <is>
          <t>To a great extent</t>
        </is>
      </c>
      <c r="EL46" s="3" t="inlineStr">
        <is>
          <t>Not at all</t>
        </is>
      </c>
      <c r="EM46" s="3" t="n"/>
      <c r="EN46" s="3" t="n"/>
      <c r="EO46" s="3" t="n"/>
      <c r="EP46" s="3" t="n"/>
      <c r="EQ46" s="3" t="inlineStr">
        <is>
          <t>Not at all</t>
        </is>
      </c>
      <c r="ER46" s="3" t="inlineStr">
        <is>
          <t>Not at all</t>
        </is>
      </c>
      <c r="ES46" s="3" t="n"/>
      <c r="ET46" s="3" t="n"/>
      <c r="EU46" s="3" t="n"/>
      <c r="EV46" s="3" t="n"/>
      <c r="EW46" s="3" t="n"/>
      <c r="EX46" s="3" t="n"/>
      <c r="EY46" s="3" t="n"/>
      <c r="EZ46" s="3" t="n"/>
      <c r="FA46" s="3" t="n"/>
      <c r="FB46" s="3" t="n"/>
      <c r="FC46" s="3" t="n"/>
      <c r="FD46" s="3" t="n"/>
      <c r="FE46" s="3" t="n"/>
      <c r="FF46" s="3" t="n"/>
      <c r="FG46" s="3" t="n"/>
      <c r="FH46" s="3" t="n"/>
      <c r="FI46" s="3" t="n"/>
      <c r="FJ46" s="3" t="n"/>
      <c r="FK46" s="3" t="n"/>
      <c r="FL46" s="3" t="n"/>
      <c r="FM46" s="3" t="n"/>
      <c r="FN46" s="3" t="n"/>
      <c r="FO46" s="3" t="n"/>
      <c r="FP46" s="3" t="n"/>
      <c r="FQ46" s="3" t="n"/>
      <c r="FR46" s="3" t="n"/>
      <c r="FS46" s="3" t="n"/>
      <c r="FT46" s="3" t="n"/>
      <c r="FU46" s="3" t="n"/>
      <c r="FV46" s="3" t="n"/>
      <c r="FW46" s="3" t="n"/>
      <c r="FX46" s="3" t="n"/>
      <c r="FY46" s="3" t="inlineStr">
        <is>
          <t>To a slight extent</t>
        </is>
      </c>
      <c r="FZ46" s="3" t="inlineStr">
        <is>
          <t>To a slight extent</t>
        </is>
      </c>
      <c r="GA46" s="3" t="inlineStr">
        <is>
          <t>To a moderate extent</t>
        </is>
      </c>
      <c r="GB46" s="3" t="inlineStr">
        <is>
          <t>To a slight extent</t>
        </is>
      </c>
      <c r="GC46" s="3" t="n"/>
      <c r="GD46" s="3" t="n"/>
      <c r="GE46" s="3" t="inlineStr">
        <is>
          <t>To a great extent</t>
        </is>
      </c>
      <c r="GF46" s="3" t="inlineStr">
        <is>
          <t>To a slight extent</t>
        </is>
      </c>
      <c r="GG46" s="3" t="inlineStr">
        <is>
          <t>To a great extent</t>
        </is>
      </c>
      <c r="GH46" s="3" t="inlineStr">
        <is>
          <t>To a slight extent</t>
        </is>
      </c>
      <c r="GI46" s="3" t="inlineStr">
        <is>
          <t>To a great extent</t>
        </is>
      </c>
      <c r="GJ46" s="3" t="inlineStr">
        <is>
          <t>To a great extent</t>
        </is>
      </c>
      <c r="GK46" s="3" t="n"/>
      <c r="GL46" s="5">
        <f>DATE(2025,6,4)+TIME(16,14,37)</f>
        <v/>
      </c>
    </row>
    <row r="47" ht="78.75" customHeight="1">
      <c r="A47" s="6" t="inlineStr">
        <is>
          <t>Ivan</t>
        </is>
      </c>
      <c r="B47" s="6" t="inlineStr">
        <is>
          <t>Kowalski</t>
        </is>
      </c>
      <c r="C47" s="6" t="inlineStr">
        <is>
          <t>ikowalski@organization.org</t>
        </is>
      </c>
      <c r="D47" s="6" t="inlineStr">
        <is>
          <t>DLSGBKEM5</t>
        </is>
      </c>
      <c r="E47" s="6" t="n"/>
      <c r="F47" s="6" t="inlineStr">
        <is>
          <t>OEDAG</t>
        </is>
      </c>
      <c r="G47" s="6" t="n"/>
      <c r="H47" s="6" t="inlineStr">
        <is>
          <t>Bolivia</t>
        </is>
      </c>
      <c r="I47" s="6" t="n"/>
      <c r="J47" s="6" t="n"/>
      <c r="K47" s="6" t="n"/>
      <c r="L47" s="6" t="n"/>
      <c r="M47" s="6" t="n"/>
      <c r="N47" s="6" t="n"/>
      <c r="O47" s="6" t="n"/>
      <c r="P47" s="6" t="n"/>
      <c r="Q47" s="6" t="n"/>
      <c r="R47" s="6" t="n"/>
      <c r="S47" s="6" t="n"/>
      <c r="T47" s="6" t="n"/>
      <c r="U47" s="6" t="n"/>
      <c r="V47" s="6" t="n"/>
      <c r="W47" s="6" t="n"/>
      <c r="X47" s="6" t="n"/>
      <c r="Y47" s="6" t="n"/>
      <c r="Z47" s="6" t="n"/>
      <c r="AA47" s="6" t="n"/>
      <c r="AB47" s="6" t="n"/>
      <c r="AC47" s="6" t="n"/>
      <c r="AD47" s="6" t="n"/>
      <c r="AE47" s="6" t="n"/>
      <c r="AF47" s="4" t="inlineStr">
        <is>
          <t>Bolivia</t>
        </is>
      </c>
      <c r="AG47" s="6" t="inlineStr">
        <is>
          <t>The IMF should engage more on climate change-related issues</t>
        </is>
      </c>
      <c r="AH47" s="6" t="inlineStr">
        <is>
          <t>To a slight extent</t>
        </is>
      </c>
      <c r="AI47" s="6" t="inlineStr">
        <is>
          <t>To a great extent</t>
        </is>
      </c>
      <c r="AJ47" s="6" t="inlineStr">
        <is>
          <t>To a slight extent</t>
        </is>
      </c>
      <c r="AK47" s="6" t="inlineStr">
        <is>
          <t>To a moderate extent</t>
        </is>
      </c>
      <c r="AL47" s="6" t="inlineStr">
        <is>
          <t>To a moderate extent</t>
        </is>
      </c>
      <c r="AM47" s="6" t="inlineStr">
        <is>
          <t>Not at all</t>
        </is>
      </c>
      <c r="AN47" s="6" t="inlineStr">
        <is>
          <t>Not at all</t>
        </is>
      </c>
      <c r="AO47" s="6" t="inlineStr">
        <is>
          <t>To a moderate extent</t>
        </is>
      </c>
      <c r="AP47" s="6" t="inlineStr">
        <is>
          <t>To a moderate extent</t>
        </is>
      </c>
      <c r="AQ47" s="6" t="inlineStr">
        <is>
          <t>To a moderate extent</t>
        </is>
      </c>
      <c r="AR47" s="6" t="inlineStr">
        <is>
          <t>To a moderate extent</t>
        </is>
      </c>
      <c r="AS47" s="6" t="n"/>
      <c r="AT47" s="6" t="inlineStr">
        <is>
          <t>To a slight extent</t>
        </is>
      </c>
      <c r="AU47" s="6" t="inlineStr">
        <is>
          <t>Not at all</t>
        </is>
      </c>
      <c r="AV47" s="6" t="inlineStr">
        <is>
          <t>Not at all</t>
        </is>
      </c>
      <c r="AW47" s="6" t="inlineStr">
        <is>
          <t>To a slight extent</t>
        </is>
      </c>
      <c r="AX47" s="6" t="inlineStr">
        <is>
          <t>Not at all</t>
        </is>
      </c>
      <c r="AY47" s="6" t="inlineStr">
        <is>
          <t>Not at all</t>
        </is>
      </c>
      <c r="AZ47" s="6" t="inlineStr">
        <is>
          <t>To a slight extent</t>
        </is>
      </c>
      <c r="BA47" s="6" t="inlineStr">
        <is>
          <t>Not at all</t>
        </is>
      </c>
      <c r="BB47" s="6" t="inlineStr">
        <is>
          <t>To a slight extent</t>
        </is>
      </c>
      <c r="BC47" s="6" t="inlineStr">
        <is>
          <t>Not at all</t>
        </is>
      </c>
      <c r="BD47" s="6" t="inlineStr">
        <is>
          <t>To a moderate extent</t>
        </is>
      </c>
      <c r="BE47" s="6" t="inlineStr">
        <is>
          <t>To a slight extent</t>
        </is>
      </c>
      <c r="BF47" s="6" t="inlineStr">
        <is>
          <t>To a slight extent</t>
        </is>
      </c>
      <c r="BG47" s="6" t="inlineStr">
        <is>
          <t>To a great extent</t>
        </is>
      </c>
      <c r="BH47" s="6" t="inlineStr">
        <is>
          <t>To a moderate extent</t>
        </is>
      </c>
      <c r="BI47" s="6" t="inlineStr">
        <is>
          <t>To a moderate extent</t>
        </is>
      </c>
      <c r="BJ47" s="6" t="inlineStr">
        <is>
          <t>To a slight extent</t>
        </is>
      </c>
      <c r="BK47" s="6" t="inlineStr">
        <is>
          <t>Not at all</t>
        </is>
      </c>
      <c r="BL47" s="6" t="inlineStr">
        <is>
          <t>To a slight extent</t>
        </is>
      </c>
      <c r="BM47" s="6" t="inlineStr">
        <is>
          <t>Not at all</t>
        </is>
      </c>
      <c r="BN47" s="6" t="inlineStr">
        <is>
          <t>To a moderate extent</t>
        </is>
      </c>
      <c r="BO47" s="6" t="inlineStr">
        <is>
          <t>To a moderate extent</t>
        </is>
      </c>
      <c r="BP47" s="6" t="inlineStr">
        <is>
          <t>To a moderate extent</t>
        </is>
      </c>
      <c r="BQ47" s="6" t="inlineStr">
        <is>
          <t>To a moderate extent</t>
        </is>
      </c>
      <c r="BR47" s="6" t="inlineStr">
        <is>
          <t>To a moderate extent</t>
        </is>
      </c>
      <c r="BS47" s="6" t="inlineStr">
        <is>
          <t>It is not known to what extent IMF staff used resources or collaborated with staff of the following named organizations.</t>
        </is>
      </c>
      <c r="BT47" s="6" t="inlineStr">
        <is>
          <t>The IMF should have dedicated more resources</t>
        </is>
      </c>
      <c r="BU47" s="6" t="inlineStr">
        <is>
          <t>To a moderate extent</t>
        </is>
      </c>
      <c r="BV47" s="6" t="inlineStr">
        <is>
          <t>To a moderate extent</t>
        </is>
      </c>
      <c r="BW47" s="6" t="inlineStr">
        <is>
          <t>To a moderate extent</t>
        </is>
      </c>
      <c r="BX47" s="6" t="inlineStr">
        <is>
          <t>To a slight extent</t>
        </is>
      </c>
      <c r="BY47" s="6" t="inlineStr">
        <is>
          <t>To a slight extent</t>
        </is>
      </c>
      <c r="BZ47" s="6" t="inlineStr">
        <is>
          <t>To a slight extent</t>
        </is>
      </c>
      <c r="CA47" s="6" t="inlineStr">
        <is>
          <t>To a great extent</t>
        </is>
      </c>
      <c r="CB47" s="6" t="inlineStr">
        <is>
          <t>To a great extent</t>
        </is>
      </c>
      <c r="CC47" s="6" t="inlineStr">
        <is>
          <t>To a great extent</t>
        </is>
      </c>
      <c r="CD47" s="6" t="inlineStr">
        <is>
          <t>To a great extent</t>
        </is>
      </c>
      <c r="CE47" s="6" t="inlineStr">
        <is>
          <t>To a great extent</t>
        </is>
      </c>
      <c r="CF47" s="6" t="inlineStr">
        <is>
          <t>To a great extent</t>
        </is>
      </c>
      <c r="CG47" s="6" t="n"/>
      <c r="CH47" s="6" t="inlineStr">
        <is>
          <t>No</t>
        </is>
      </c>
      <c r="CI47" s="6" t="inlineStr">
        <is>
          <t>No</t>
        </is>
      </c>
      <c r="CJ47" s="6" t="n"/>
      <c r="CK47" s="6" t="n"/>
      <c r="CL47" s="6" t="n"/>
      <c r="CM47" s="6" t="n"/>
      <c r="CN47" s="6" t="n"/>
      <c r="CO47" s="6" t="n"/>
      <c r="CP47" s="6" t="n"/>
      <c r="CQ47" s="6" t="n"/>
      <c r="CR47" s="6" t="n"/>
      <c r="CS47" s="6" t="n"/>
      <c r="CT47" s="6" t="n"/>
      <c r="CU47" s="6" t="n"/>
      <c r="CV47" s="6" t="n"/>
      <c r="CW47" s="6" t="n"/>
      <c r="CX47" s="6" t="n"/>
      <c r="CY47" s="6" t="n"/>
      <c r="CZ47" s="6" t="n"/>
      <c r="DA47" s="6" t="n"/>
      <c r="DB47" s="6" t="n"/>
      <c r="DC47" s="6" t="n"/>
      <c r="DD47" s="6" t="n"/>
      <c r="DE47" s="6" t="n"/>
      <c r="DF47" s="6" t="n"/>
      <c r="DG47" s="6" t="n"/>
      <c r="DH47" s="6" t="n"/>
      <c r="DI47" s="6" t="n"/>
      <c r="DJ47" s="6" t="n"/>
      <c r="DK47" s="6" t="n"/>
      <c r="DL47" s="6" t="n"/>
      <c r="DM47" s="6" t="n"/>
      <c r="DN47" s="6" t="n"/>
      <c r="DO47" s="6" t="n"/>
      <c r="DP47" s="6" t="n"/>
      <c r="DQ47" s="6" t="n"/>
      <c r="DR47" s="6" t="n"/>
      <c r="DS47" s="6" t="inlineStr">
        <is>
          <t>More convenient alternative financing options</t>
        </is>
      </c>
      <c r="DT47" s="6" t="n"/>
      <c r="DU47" s="6" t="n"/>
      <c r="DV47" s="6" t="n"/>
      <c r="DW47" s="6" t="inlineStr">
        <is>
          <t>Yes</t>
        </is>
      </c>
      <c r="DX47" s="6" t="n"/>
      <c r="DY47" s="6" t="inlineStr">
        <is>
          <t>Regional development banks</t>
        </is>
      </c>
      <c r="DZ47" s="6" t="n"/>
      <c r="EA47" s="6" t="n"/>
      <c r="EB47" s="6" t="n"/>
      <c r="EC47" s="6" t="inlineStr">
        <is>
          <t>Not at all</t>
        </is>
      </c>
      <c r="ED47" s="6" t="inlineStr">
        <is>
          <t>Not at all</t>
        </is>
      </c>
      <c r="EE47" s="6" t="inlineStr">
        <is>
          <t>Not at all</t>
        </is>
      </c>
      <c r="EF47" s="6" t="inlineStr">
        <is>
          <t>To a slight extent</t>
        </is>
      </c>
      <c r="EG47" s="6" t="inlineStr">
        <is>
          <t>To a slight extent</t>
        </is>
      </c>
      <c r="EH47" s="6" t="inlineStr">
        <is>
          <t>To a slight extent</t>
        </is>
      </c>
      <c r="EI47" s="6" t="inlineStr">
        <is>
          <t>To a slight extent</t>
        </is>
      </c>
      <c r="EJ47" s="6" t="inlineStr">
        <is>
          <t>To a great extent</t>
        </is>
      </c>
      <c r="EK47" s="6" t="inlineStr">
        <is>
          <t>To a great extent</t>
        </is>
      </c>
      <c r="EL47" s="6" t="inlineStr">
        <is>
          <t>To a great extent</t>
        </is>
      </c>
      <c r="EM47" s="6" t="n"/>
      <c r="EN47" s="6" t="n"/>
      <c r="EO47" s="6" t="n"/>
      <c r="EP47" s="6" t="n"/>
      <c r="EQ47" s="6" t="inlineStr">
        <is>
          <t>To a slight extent</t>
        </is>
      </c>
      <c r="ER47" s="6" t="inlineStr">
        <is>
          <t>To a slight extent</t>
        </is>
      </c>
      <c r="ES47" s="6" t="n"/>
      <c r="ET47" s="6" t="inlineStr">
        <is>
          <t>Not at all</t>
        </is>
      </c>
      <c r="EU47" s="6" t="inlineStr">
        <is>
          <t>Not at all</t>
        </is>
      </c>
      <c r="EV47" s="6" t="inlineStr">
        <is>
          <t>Not at all</t>
        </is>
      </c>
      <c r="EW47" s="6" t="inlineStr">
        <is>
          <t>Not at all</t>
        </is>
      </c>
      <c r="EX47" s="6" t="n"/>
      <c r="EY47" s="6" t="inlineStr">
        <is>
          <t>Not at all</t>
        </is>
      </c>
      <c r="EZ47" s="6" t="inlineStr">
        <is>
          <t>Not at all</t>
        </is>
      </c>
      <c r="FA47" s="6" t="inlineStr">
        <is>
          <t>Not at all</t>
        </is>
      </c>
      <c r="FB47" s="6" t="inlineStr">
        <is>
          <t>Not at all</t>
        </is>
      </c>
      <c r="FC47" s="6" t="inlineStr">
        <is>
          <t>Not at all</t>
        </is>
      </c>
      <c r="FD47" s="6" t="inlineStr">
        <is>
          <t>Not at all</t>
        </is>
      </c>
      <c r="FE47" s="6" t="inlineStr">
        <is>
          <t>Not at all</t>
        </is>
      </c>
      <c r="FF47" s="6" t="inlineStr">
        <is>
          <t>Not at all</t>
        </is>
      </c>
      <c r="FG47" s="6" t="inlineStr">
        <is>
          <t>Not at all</t>
        </is>
      </c>
      <c r="FH47" s="6" t="inlineStr">
        <is>
          <t>To a slight extent</t>
        </is>
      </c>
      <c r="FI47" s="6" t="inlineStr">
        <is>
          <t>To a slight extent</t>
        </is>
      </c>
      <c r="FJ47" s="6" t="inlineStr">
        <is>
          <t>To a slight extent</t>
        </is>
      </c>
      <c r="FK47" s="6" t="inlineStr">
        <is>
          <t>Not at all</t>
        </is>
      </c>
      <c r="FL47" s="6" t="inlineStr">
        <is>
          <t>Not at all</t>
        </is>
      </c>
      <c r="FM47" s="6" t="inlineStr">
        <is>
          <t>To a slight extent</t>
        </is>
      </c>
      <c r="FN47" s="6" t="inlineStr">
        <is>
          <t>Not at all</t>
        </is>
      </c>
      <c r="FO47" s="6" t="inlineStr">
        <is>
          <t>Not at all</t>
        </is>
      </c>
      <c r="FP47" s="6" t="inlineStr">
        <is>
          <t>Not at all</t>
        </is>
      </c>
      <c r="FQ47" s="6" t="inlineStr">
        <is>
          <t>Not at all</t>
        </is>
      </c>
      <c r="FR47" s="6" t="inlineStr">
        <is>
          <t>Not at all</t>
        </is>
      </c>
      <c r="FS47" s="6" t="inlineStr">
        <is>
          <t>To a great extent</t>
        </is>
      </c>
      <c r="FT47" s="6" t="inlineStr">
        <is>
          <t>To a great extent</t>
        </is>
      </c>
      <c r="FU47" s="6" t="inlineStr">
        <is>
          <t>To a great extent</t>
        </is>
      </c>
      <c r="FV47" s="6" t="inlineStr">
        <is>
          <t>There is no knowledge of the IMF's work with other funding agencies or entities.</t>
        </is>
      </c>
      <c r="FW47" s="6" t="inlineStr">
        <is>
          <t>The IMF should have dedicated more resources</t>
        </is>
      </c>
      <c r="FX47" s="6" t="n"/>
      <c r="FY47" s="6" t="inlineStr">
        <is>
          <t>To a great extent</t>
        </is>
      </c>
      <c r="FZ47" s="6" t="inlineStr">
        <is>
          <t>To a great extent</t>
        </is>
      </c>
      <c r="GA47" s="6" t="inlineStr">
        <is>
          <t>To a slight extent</t>
        </is>
      </c>
      <c r="GB47" s="6" t="inlineStr">
        <is>
          <t>To a great extent</t>
        </is>
      </c>
      <c r="GC47" s="6" t="n"/>
      <c r="GD47" s="6" t="n"/>
      <c r="GE47" s="6" t="inlineStr">
        <is>
          <t>To a moderate extent</t>
        </is>
      </c>
      <c r="GF47" s="6" t="inlineStr">
        <is>
          <t>To a moderate extent</t>
        </is>
      </c>
      <c r="GG47" s="6" t="inlineStr">
        <is>
          <t>To a moderate extent</t>
        </is>
      </c>
      <c r="GH47" s="6" t="inlineStr">
        <is>
          <t>To a great extent</t>
        </is>
      </c>
      <c r="GI47" s="6" t="inlineStr">
        <is>
          <t>To a slight extent</t>
        </is>
      </c>
      <c r="GJ47" s="6" t="inlineStr">
        <is>
          <t>To a moderate extent</t>
        </is>
      </c>
      <c r="GK47" s="6" t="n"/>
      <c r="GL47" s="7">
        <f>DATE(2025,7,15)+TIME(14,19,55)</f>
        <v/>
      </c>
    </row>
    <row r="48" ht="409.5" customHeight="1">
      <c r="A48" s="3" t="inlineStr">
        <is>
          <t>Ahmed</t>
        </is>
      </c>
      <c r="B48" s="3" t="inlineStr">
        <is>
          <t>Larsson</t>
        </is>
      </c>
      <c r="C48" s="3" t="inlineStr">
        <is>
          <t>alarsson@organization.org</t>
        </is>
      </c>
      <c r="D48" s="3" t="inlineStr">
        <is>
          <t>AUOF0EKCP</t>
        </is>
      </c>
      <c r="E48" s="3" t="n"/>
      <c r="F48" s="3" t="inlineStr">
        <is>
          <t>OEDAP</t>
        </is>
      </c>
      <c r="G48" s="3" t="n"/>
      <c r="H48" s="3" t="n"/>
      <c r="I48" s="3" t="inlineStr">
        <is>
          <t>Solomon Islands</t>
        </is>
      </c>
      <c r="J48" s="3" t="n"/>
      <c r="K48" s="3" t="n"/>
      <c r="L48" s="3" t="n"/>
      <c r="M48" s="3" t="n"/>
      <c r="N48" s="3" t="n"/>
      <c r="O48" s="3" t="n"/>
      <c r="P48" s="3" t="n"/>
      <c r="Q48" s="3" t="n"/>
      <c r="R48" s="3" t="n"/>
      <c r="S48" s="3" t="n"/>
      <c r="T48" s="3" t="n"/>
      <c r="U48" s="3" t="n"/>
      <c r="V48" s="3" t="n"/>
      <c r="W48" s="3" t="n"/>
      <c r="X48" s="3" t="n"/>
      <c r="Y48" s="3" t="n"/>
      <c r="Z48" s="3" t="n"/>
      <c r="AA48" s="3" t="n"/>
      <c r="AB48" s="3" t="n"/>
      <c r="AC48" s="3" t="n"/>
      <c r="AD48" s="3" t="n"/>
      <c r="AE48" s="3" t="n"/>
      <c r="AF48" s="4" t="inlineStr">
        <is>
          <t>Solomon Islands</t>
        </is>
      </c>
      <c r="AG48" s="3" t="inlineStr">
        <is>
          <t>The IMF should engage a similar amount on climate change-related issues</t>
        </is>
      </c>
      <c r="AH48" s="3" t="inlineStr">
        <is>
          <t>To a slight extent</t>
        </is>
      </c>
      <c r="AI48" s="3" t="inlineStr">
        <is>
          <t>To a great extent</t>
        </is>
      </c>
      <c r="AJ48" s="3" t="inlineStr">
        <is>
          <t>Don’t know or not applicable</t>
        </is>
      </c>
      <c r="AK48" s="3" t="inlineStr">
        <is>
          <t>To a slight extent</t>
        </is>
      </c>
      <c r="AL48" s="3" t="inlineStr">
        <is>
          <t>To a great extent</t>
        </is>
      </c>
      <c r="AM48" s="3" t="inlineStr">
        <is>
          <t>Not at all</t>
        </is>
      </c>
      <c r="AN48" s="3" t="inlineStr">
        <is>
          <t>Not at all</t>
        </is>
      </c>
      <c r="AO48" s="3" t="inlineStr">
        <is>
          <t>Not at all</t>
        </is>
      </c>
      <c r="AP48" s="3" t="inlineStr">
        <is>
          <t>Not at all</t>
        </is>
      </c>
      <c r="AQ48" s="3" t="inlineStr">
        <is>
          <t>Not at all</t>
        </is>
      </c>
      <c r="AR48" s="3" t="inlineStr">
        <is>
          <t>To a slight extent</t>
        </is>
      </c>
      <c r="AS48" s="3" t="n"/>
      <c r="AT48" s="3" t="inlineStr">
        <is>
          <t>Not at all</t>
        </is>
      </c>
      <c r="AU48" s="3" t="inlineStr">
        <is>
          <t>To a moderate extent</t>
        </is>
      </c>
      <c r="AV48" s="3" t="inlineStr">
        <is>
          <t>Not at all</t>
        </is>
      </c>
      <c r="AW48" s="3" t="inlineStr">
        <is>
          <t>To a slight extent</t>
        </is>
      </c>
      <c r="AX48" s="3" t="inlineStr">
        <is>
          <t>To a slight extent</t>
        </is>
      </c>
      <c r="AY48" s="3" t="inlineStr">
        <is>
          <t>Don’t know or not applicable</t>
        </is>
      </c>
      <c r="AZ48" s="3" t="inlineStr">
        <is>
          <t>To a moderate extent</t>
        </is>
      </c>
      <c r="BA48" s="3" t="inlineStr">
        <is>
          <t>Don’t know or not applicable</t>
        </is>
      </c>
      <c r="BB48" s="3" t="inlineStr">
        <is>
          <t>To a great extent</t>
        </is>
      </c>
      <c r="BC48" s="3" t="inlineStr">
        <is>
          <t>To a moderate extent</t>
        </is>
      </c>
      <c r="BD48" s="3" t="inlineStr">
        <is>
          <t>Don’t know or not applicable</t>
        </is>
      </c>
      <c r="BE48" s="3" t="inlineStr">
        <is>
          <t>Don’t know or not applicable</t>
        </is>
      </c>
      <c r="BF48" s="3" t="inlineStr">
        <is>
          <t>Don’t know or not applicable</t>
        </is>
      </c>
      <c r="BG48" s="3" t="inlineStr">
        <is>
          <t>Don’t know or not applicable</t>
        </is>
      </c>
      <c r="BH48" s="3" t="inlineStr">
        <is>
          <t>Don’t know or not applicable</t>
        </is>
      </c>
      <c r="BI48" s="3" t="inlineStr">
        <is>
          <t>Don’t know or not applicable</t>
        </is>
      </c>
      <c r="BJ48" s="3" t="inlineStr">
        <is>
          <t>Don’t know or not applicable</t>
        </is>
      </c>
      <c r="BK48" s="3" t="inlineStr">
        <is>
          <t>Don’t know or not applicable</t>
        </is>
      </c>
      <c r="BL48" s="3" t="inlineStr">
        <is>
          <t>Don’t know or not applicable</t>
        </is>
      </c>
      <c r="BM48" s="3" t="inlineStr">
        <is>
          <t>Don’t know or not applicable</t>
        </is>
      </c>
      <c r="BN48" s="3" t="inlineStr">
        <is>
          <t>Don’t know or not applicable</t>
        </is>
      </c>
      <c r="BO48" s="3" t="inlineStr">
        <is>
          <t>To a great extent</t>
        </is>
      </c>
      <c r="BP48" s="3" t="inlineStr">
        <is>
          <t>To a great extent</t>
        </is>
      </c>
      <c r="BQ48" s="3" t="inlineStr">
        <is>
          <t>Don’t know or not applicable</t>
        </is>
      </c>
      <c r="BR48" s="3" t="inlineStr">
        <is>
          <t>Don’t know or not applicable</t>
        </is>
      </c>
      <c r="BS48" s="3" t="n"/>
      <c r="BT48" s="3" t="inlineStr">
        <is>
          <t>The IMF dedicated an appropriate amount of resources</t>
        </is>
      </c>
      <c r="BU48" s="3" t="inlineStr">
        <is>
          <t>To a great extent</t>
        </is>
      </c>
      <c r="BV48" s="3" t="inlineStr">
        <is>
          <t>To a slight extent</t>
        </is>
      </c>
      <c r="BW48" s="3" t="inlineStr">
        <is>
          <t>To a great extent</t>
        </is>
      </c>
      <c r="BX48" s="3" t="inlineStr">
        <is>
          <t>To a moderate extent</t>
        </is>
      </c>
      <c r="BY48" s="3" t="inlineStr">
        <is>
          <t>To a moderate extent</t>
        </is>
      </c>
      <c r="BZ48" s="3" t="inlineStr">
        <is>
          <t>To a moderate extent</t>
        </is>
      </c>
      <c r="CA48" s="3" t="inlineStr">
        <is>
          <t>Don’t know or not applicable</t>
        </is>
      </c>
      <c r="CB48" s="3" t="inlineStr">
        <is>
          <t>Don’t know or not applicable</t>
        </is>
      </c>
      <c r="CC48" s="3" t="inlineStr">
        <is>
          <t>Don’t know or not applicable</t>
        </is>
      </c>
      <c r="CD48" s="3" t="inlineStr">
        <is>
          <t>To a moderate extent</t>
        </is>
      </c>
      <c r="CE48" s="3" t="inlineStr">
        <is>
          <t>To a moderate extent</t>
        </is>
      </c>
      <c r="CF48" s="3" t="inlineStr">
        <is>
          <t>To a moderate extent</t>
        </is>
      </c>
      <c r="CG48" s="3" t="n"/>
      <c r="CH48" s="3" t="inlineStr">
        <is>
          <t>No</t>
        </is>
      </c>
      <c r="CI48" s="3" t="inlineStr">
        <is>
          <t>No</t>
        </is>
      </c>
      <c r="CJ48" s="3" t="n"/>
      <c r="CK48" s="3" t="n"/>
      <c r="CL48" s="3" t="n"/>
      <c r="CM48" s="3" t="n"/>
      <c r="CN48" s="3" t="n"/>
      <c r="CO48" s="3" t="n"/>
      <c r="CP48" s="3" t="n"/>
      <c r="CQ48" s="3" t="n"/>
      <c r="CR48" s="3" t="n"/>
      <c r="CS48" s="3" t="n"/>
      <c r="CT48" s="3" t="n"/>
      <c r="CU48" s="3" t="n"/>
      <c r="CV48" s="3" t="n"/>
      <c r="CW48" s="3" t="n"/>
      <c r="CX48" s="3" t="n"/>
      <c r="CY48" s="3" t="n"/>
      <c r="CZ48" s="3" t="n"/>
      <c r="DA48" s="3" t="n"/>
      <c r="DB48" s="3" t="n"/>
      <c r="DC48" s="3" t="n"/>
      <c r="DD48" s="3" t="n"/>
      <c r="DE48" s="3" t="n"/>
      <c r="DF48" s="3" t="n"/>
      <c r="DG48" s="3" t="n"/>
      <c r="DH48" s="3" t="n"/>
      <c r="DI48" s="3" t="n"/>
      <c r="DJ48" s="3" t="n"/>
      <c r="DK48" s="3" t="n"/>
      <c r="DL48" s="3" t="n"/>
      <c r="DM48" s="3" t="n"/>
      <c r="DN48" s="3" t="n"/>
      <c r="DO48" s="3" t="n"/>
      <c r="DP48" s="3" t="n"/>
      <c r="DQ48" s="3" t="n"/>
      <c r="DR48" s="3" t="n"/>
      <c r="DS48" s="3" t="inlineStr">
        <is>
          <t>More convenient alternative financing options</t>
        </is>
      </c>
      <c r="DT48" s="3" t="n"/>
      <c r="DU48" s="3" t="inlineStr">
        <is>
          <t>An RSF arrangement would have been useful, but my country had no balance of payments issues/did not need/was not willing to commit to the underlying UCT program</t>
        </is>
      </c>
      <c r="DV48" s="3" t="inlineStr">
        <is>
          <t>Other (please specify) : The amount of financing available through the RSF is insufficient.</t>
        </is>
      </c>
      <c r="DW48" s="3" t="inlineStr">
        <is>
          <t>Don't know</t>
        </is>
      </c>
      <c r="DX48" s="3" t="n"/>
      <c r="DY48" s="3" t="n"/>
      <c r="DZ48" s="3" t="n"/>
      <c r="EA48" s="3" t="n"/>
      <c r="EB48" s="3" t="n"/>
      <c r="EC48" s="3" t="n"/>
      <c r="ED48" s="3" t="n"/>
      <c r="EE48" s="3" t="n"/>
      <c r="EF48" s="3" t="inlineStr">
        <is>
          <t>Not at all</t>
        </is>
      </c>
      <c r="EG48" s="3" t="inlineStr">
        <is>
          <t>To a slight extent</t>
        </is>
      </c>
      <c r="EH48" s="3" t="inlineStr">
        <is>
          <t>Don’t know or not applicable</t>
        </is>
      </c>
      <c r="EI48" s="3" t="inlineStr">
        <is>
          <t>Not at all</t>
        </is>
      </c>
      <c r="EJ48" s="3" t="inlineStr">
        <is>
          <t>Not at all</t>
        </is>
      </c>
      <c r="EK48" s="3" t="inlineStr">
        <is>
          <t>Not at all</t>
        </is>
      </c>
      <c r="EL48" s="3" t="inlineStr">
        <is>
          <t>Not at all</t>
        </is>
      </c>
      <c r="EM48" s="3" t="n"/>
      <c r="EN48" s="3" t="n"/>
      <c r="EO48" s="3" t="n"/>
      <c r="EP48" s="3" t="n"/>
      <c r="EQ48" s="3" t="inlineStr">
        <is>
          <t>Not at all</t>
        </is>
      </c>
      <c r="ER48" s="3" t="inlineStr">
        <is>
          <t>Not at all</t>
        </is>
      </c>
      <c r="ES48" s="3" t="n"/>
      <c r="ET48" s="3" t="n"/>
      <c r="EU48" s="3" t="n"/>
      <c r="EV48" s="3" t="n"/>
      <c r="EW48" s="3" t="n"/>
      <c r="EX48" s="3" t="n"/>
      <c r="EY48" s="3" t="n"/>
      <c r="EZ48" s="3" t="n"/>
      <c r="FA48" s="3" t="n"/>
      <c r="FB48" s="3" t="n"/>
      <c r="FC48" s="3" t="n"/>
      <c r="FD48" s="3" t="n"/>
      <c r="FE48" s="3" t="n"/>
      <c r="FF48" s="3" t="n"/>
      <c r="FG48" s="3" t="n"/>
      <c r="FH48" s="3" t="n"/>
      <c r="FI48" s="3" t="n"/>
      <c r="FJ48" s="3" t="n"/>
      <c r="FK48" s="3" t="n"/>
      <c r="FL48" s="3" t="n"/>
      <c r="FM48" s="3" t="n"/>
      <c r="FN48" s="3" t="n"/>
      <c r="FO48" s="3" t="n"/>
      <c r="FP48" s="3" t="n"/>
      <c r="FQ48" s="3" t="n"/>
      <c r="FR48" s="3" t="n"/>
      <c r="FS48" s="3" t="n"/>
      <c r="FT48" s="3" t="n"/>
      <c r="FU48" s="3" t="n"/>
      <c r="FV48" s="3" t="n"/>
      <c r="FW48" s="3" t="n"/>
      <c r="FX48" s="3" t="n"/>
      <c r="FY48" s="3" t="inlineStr">
        <is>
          <t>Not at all</t>
        </is>
      </c>
      <c r="FZ48" s="3" t="inlineStr">
        <is>
          <t>To a great extent</t>
        </is>
      </c>
      <c r="GA48" s="3" t="inlineStr">
        <is>
          <t>To a great extent</t>
        </is>
      </c>
      <c r="GB48" s="3" t="inlineStr">
        <is>
          <t>To a great extent</t>
        </is>
      </c>
      <c r="GC48" s="3" t="inlineStr">
        <is>
          <t>Don’t know or not applicable</t>
        </is>
      </c>
      <c r="GD48" s="3" t="n"/>
      <c r="GE48" s="3" t="inlineStr">
        <is>
          <t>To a moderate extent</t>
        </is>
      </c>
      <c r="GF48" s="3" t="inlineStr">
        <is>
          <t>To a great extent</t>
        </is>
      </c>
      <c r="GG48" s="3" t="inlineStr">
        <is>
          <t>To a great extent</t>
        </is>
      </c>
      <c r="GH48" s="3" t="inlineStr">
        <is>
          <t>To a slight extent</t>
        </is>
      </c>
      <c r="GI48" s="3" t="inlineStr">
        <is>
          <t>To a great extent</t>
        </is>
      </c>
      <c r="GJ48" s="3" t="inlineStr">
        <is>
          <t>To a great extent</t>
        </is>
      </c>
      <c r="GK48" s="3" t="inlineStr">
        <is>
          <t>IMF needs to take a different approach on climate change related issues are they affect small developing states, and particularly remote island states that are highly vulnerable to the impacts of climate change. IMF resources for climate change seem to disproportionately go towards supporting RSF programs -- small island states do not benefit from the RSF (do not have UCT arrangements, amount of financing available is linked to quota and therefore small, more generous financing is available through other partners, and there is a greater focus on mitigation when adaptation is more important to small islands states). The IMF's work on climate change needs to reinforce cooperation between advanced economies to enact mitigation, and to unlock climate financing to support LICs and small developing states.</t>
        </is>
      </c>
      <c r="GL48" s="5">
        <f>DATE(2025,6,13)+TIME(11,17,55)</f>
        <v/>
      </c>
    </row>
    <row r="49" ht="47.25" customHeight="1">
      <c r="A49" s="6" t="inlineStr">
        <is>
          <t>Raj</t>
        </is>
      </c>
      <c r="B49" s="6" t="inlineStr">
        <is>
          <t>Santos</t>
        </is>
      </c>
      <c r="C49" s="6" t="inlineStr">
        <is>
          <t>rsantos@organization.org</t>
        </is>
      </c>
      <c r="D49" s="6" t="inlineStr">
        <is>
          <t>88Y2HB1TG</t>
        </is>
      </c>
      <c r="E49" s="6" t="n"/>
      <c r="F49" s="6" t="inlineStr">
        <is>
          <t>OEDIT</t>
        </is>
      </c>
      <c r="G49" s="6" t="n"/>
      <c r="H49" s="6" t="n"/>
      <c r="I49" s="6" t="n"/>
      <c r="J49" s="6" t="n"/>
      <c r="K49" s="6" t="n"/>
      <c r="L49" s="6" t="n"/>
      <c r="M49" s="6" t="n"/>
      <c r="N49" s="6" t="n"/>
      <c r="O49" s="6" t="n"/>
      <c r="P49" s="6" t="n"/>
      <c r="Q49" s="6" t="n"/>
      <c r="R49" s="6" t="n"/>
      <c r="S49" s="6" t="n"/>
      <c r="T49" s="6" t="inlineStr">
        <is>
          <t>San Marino</t>
        </is>
      </c>
      <c r="U49" s="6" t="n"/>
      <c r="V49" s="6" t="n"/>
      <c r="W49" s="6" t="n"/>
      <c r="X49" s="6" t="n"/>
      <c r="Y49" s="6" t="n"/>
      <c r="Z49" s="6" t="n"/>
      <c r="AA49" s="6" t="n"/>
      <c r="AB49" s="6" t="n"/>
      <c r="AC49" s="6" t="n"/>
      <c r="AD49" s="6" t="n"/>
      <c r="AE49" s="6" t="n"/>
      <c r="AF49" s="4" t="inlineStr">
        <is>
          <t>San Marino</t>
        </is>
      </c>
      <c r="AG49" s="6" t="inlineStr">
        <is>
          <t>The IMF should engage a similar amount on climate change-related issues</t>
        </is>
      </c>
      <c r="AH49" s="6" t="inlineStr">
        <is>
          <t>To a moderate extent</t>
        </is>
      </c>
      <c r="AI49" s="6" t="inlineStr">
        <is>
          <t>Don’t know or not applicable</t>
        </is>
      </c>
      <c r="AJ49" s="6" t="inlineStr">
        <is>
          <t>To a moderate extent</t>
        </is>
      </c>
      <c r="AK49" s="6" t="inlineStr">
        <is>
          <t>Don’t know or not applicable</t>
        </is>
      </c>
      <c r="AL49" s="6" t="inlineStr">
        <is>
          <t>Don’t know or not applicable</t>
        </is>
      </c>
      <c r="AM49" s="6" t="inlineStr">
        <is>
          <t>Don’t know or not applicable</t>
        </is>
      </c>
      <c r="AN49" s="6" t="inlineStr">
        <is>
          <t>Don’t know or not applicable</t>
        </is>
      </c>
      <c r="AO49" s="6" t="inlineStr">
        <is>
          <t>Don’t know or not applicable</t>
        </is>
      </c>
      <c r="AP49" s="6" t="inlineStr">
        <is>
          <t>Don’t know or not applicable</t>
        </is>
      </c>
      <c r="AQ49" s="6" t="inlineStr">
        <is>
          <t>Don’t know or not applicable</t>
        </is>
      </c>
      <c r="AR49" s="6" t="inlineStr">
        <is>
          <t>Don’t know or not applicable</t>
        </is>
      </c>
      <c r="AS49" s="6" t="n"/>
      <c r="AT49" s="6" t="inlineStr">
        <is>
          <t>Don’t know or not applicable</t>
        </is>
      </c>
      <c r="AU49" s="6" t="inlineStr">
        <is>
          <t>Don’t know or not applicable</t>
        </is>
      </c>
      <c r="AV49" s="6" t="inlineStr">
        <is>
          <t>Don’t know or not applicable</t>
        </is>
      </c>
      <c r="AW49" s="6" t="inlineStr">
        <is>
          <t>Don’t know or not applicable</t>
        </is>
      </c>
      <c r="AX49" s="6" t="inlineStr">
        <is>
          <t>Don’t know or not applicable</t>
        </is>
      </c>
      <c r="AY49" s="6" t="inlineStr">
        <is>
          <t>Don’t know or not applicable</t>
        </is>
      </c>
      <c r="AZ49" s="6" t="inlineStr">
        <is>
          <t>To a moderate extent</t>
        </is>
      </c>
      <c r="BA49" s="6" t="inlineStr">
        <is>
          <t>To a moderate extent</t>
        </is>
      </c>
      <c r="BB49" s="6" t="inlineStr">
        <is>
          <t>To a moderate extent</t>
        </is>
      </c>
      <c r="BC49" s="6" t="inlineStr">
        <is>
          <t>To a moderate extent</t>
        </is>
      </c>
      <c r="BD49" s="6" t="inlineStr">
        <is>
          <t>To a moderate extent</t>
        </is>
      </c>
      <c r="BE49" s="6" t="inlineStr">
        <is>
          <t>To a moderate extent</t>
        </is>
      </c>
      <c r="BF49" s="6" t="inlineStr">
        <is>
          <t>To a moderate extent</t>
        </is>
      </c>
      <c r="BG49" s="6" t="inlineStr">
        <is>
          <t>To a moderate extent</t>
        </is>
      </c>
      <c r="BH49" s="6" t="inlineStr">
        <is>
          <t>To a moderate extent</t>
        </is>
      </c>
      <c r="BI49" s="6" t="inlineStr">
        <is>
          <t>To a moderate extent</t>
        </is>
      </c>
      <c r="BJ49" s="6" t="inlineStr">
        <is>
          <t>To a moderate extent</t>
        </is>
      </c>
      <c r="BK49" s="6" t="inlineStr">
        <is>
          <t>To a moderate extent</t>
        </is>
      </c>
      <c r="BL49" s="6" t="inlineStr">
        <is>
          <t>To a moderate extent</t>
        </is>
      </c>
      <c r="BM49" s="6" t="inlineStr">
        <is>
          <t>To a moderate extent</t>
        </is>
      </c>
      <c r="BN49" s="6" t="inlineStr">
        <is>
          <t>To a moderate extent</t>
        </is>
      </c>
      <c r="BO49" s="6" t="inlineStr">
        <is>
          <t>Don’t know or not applicable</t>
        </is>
      </c>
      <c r="BP49" s="6" t="inlineStr">
        <is>
          <t>Don’t know or not applicable</t>
        </is>
      </c>
      <c r="BQ49" s="6" t="inlineStr">
        <is>
          <t>Don’t know or not applicable</t>
        </is>
      </c>
      <c r="BR49" s="6" t="n"/>
      <c r="BS49" s="6" t="n"/>
      <c r="BT49" s="6" t="inlineStr">
        <is>
          <t>The IMF dedicated an appropriate amount of resources</t>
        </is>
      </c>
      <c r="BU49" s="6" t="inlineStr">
        <is>
          <t>To a moderate extent</t>
        </is>
      </c>
      <c r="BV49" s="6" t="inlineStr">
        <is>
          <t>To a moderate extent</t>
        </is>
      </c>
      <c r="BW49" s="6" t="inlineStr">
        <is>
          <t>To a moderate extent</t>
        </is>
      </c>
      <c r="BX49" s="6" t="inlineStr">
        <is>
          <t>To a moderate extent</t>
        </is>
      </c>
      <c r="BY49" s="6" t="inlineStr">
        <is>
          <t>To a moderate extent</t>
        </is>
      </c>
      <c r="BZ49" s="6" t="inlineStr">
        <is>
          <t>To a moderate extent</t>
        </is>
      </c>
      <c r="CA49" s="6" t="inlineStr">
        <is>
          <t>To a moderate extent</t>
        </is>
      </c>
      <c r="CB49" s="6" t="inlineStr">
        <is>
          <t>To a moderate extent</t>
        </is>
      </c>
      <c r="CC49" s="6" t="inlineStr">
        <is>
          <t>To a moderate extent</t>
        </is>
      </c>
      <c r="CD49" s="6" t="inlineStr">
        <is>
          <t>To a moderate extent</t>
        </is>
      </c>
      <c r="CE49" s="6" t="inlineStr">
        <is>
          <t>To a moderate extent</t>
        </is>
      </c>
      <c r="CF49" s="6" t="inlineStr">
        <is>
          <t>To a moderate extent</t>
        </is>
      </c>
      <c r="CG49" s="6" t="n"/>
      <c r="CH49" s="6" t="inlineStr">
        <is>
          <t>No</t>
        </is>
      </c>
      <c r="CI49" s="6" t="inlineStr">
        <is>
          <t>No</t>
        </is>
      </c>
      <c r="CJ49" s="6" t="n"/>
      <c r="CK49" s="6" t="n"/>
      <c r="CL49" s="6" t="n"/>
      <c r="CM49" s="6" t="n"/>
      <c r="CN49" s="6" t="n"/>
      <c r="CO49" s="6" t="n"/>
      <c r="CP49" s="6" t="n"/>
      <c r="CQ49" s="6" t="n"/>
      <c r="CR49" s="6" t="n"/>
      <c r="CS49" s="6" t="n"/>
      <c r="CT49" s="6" t="n"/>
      <c r="CU49" s="6" t="n"/>
      <c r="CV49" s="6" t="n"/>
      <c r="CW49" s="6" t="n"/>
      <c r="CX49" s="6" t="n"/>
      <c r="CY49" s="6" t="n"/>
      <c r="CZ49" s="6" t="n"/>
      <c r="DA49" s="6" t="n"/>
      <c r="DB49" s="6" t="n"/>
      <c r="DC49" s="6" t="n"/>
      <c r="DD49" s="6" t="n"/>
      <c r="DE49" s="6" t="n"/>
      <c r="DF49" s="6" t="n"/>
      <c r="DG49" s="6" t="n"/>
      <c r="DH49" s="6" t="n"/>
      <c r="DI49" s="6" t="n"/>
      <c r="DJ49" s="6" t="n"/>
      <c r="DK49" s="6" t="n"/>
      <c r="DL49" s="6" t="n"/>
      <c r="DM49" s="6" t="n"/>
      <c r="DN49" s="6" t="n"/>
      <c r="DO49" s="6" t="n"/>
      <c r="DP49" s="6" t="inlineStr">
        <is>
          <t>My country is not eligible for an RSF arrangement</t>
        </is>
      </c>
      <c r="DQ49" s="6" t="n"/>
      <c r="DR49" s="6" t="n"/>
      <c r="DS49" s="6" t="n"/>
      <c r="DT49" s="6" t="n"/>
      <c r="DU49" s="6" t="n"/>
      <c r="DV49" s="6" t="n"/>
      <c r="DW49" s="6" t="inlineStr">
        <is>
          <t>No</t>
        </is>
      </c>
      <c r="DX49" s="6" t="n"/>
      <c r="DY49" s="6" t="n"/>
      <c r="DZ49" s="6" t="n"/>
      <c r="EA49" s="6" t="n"/>
      <c r="EB49" s="6" t="n"/>
      <c r="EC49" s="6" t="n"/>
      <c r="ED49" s="6" t="n"/>
      <c r="EE49" s="6" t="n"/>
      <c r="EF49" s="6" t="inlineStr">
        <is>
          <t>To a moderate extent</t>
        </is>
      </c>
      <c r="EG49" s="6" t="inlineStr">
        <is>
          <t>To a slight extent</t>
        </is>
      </c>
      <c r="EH49" s="6" t="inlineStr">
        <is>
          <t>To a slight extent</t>
        </is>
      </c>
      <c r="EI49" s="6" t="inlineStr">
        <is>
          <t>To a slight extent</t>
        </is>
      </c>
      <c r="EJ49" s="6" t="inlineStr">
        <is>
          <t>To a moderate extent</t>
        </is>
      </c>
      <c r="EK49" s="6" t="inlineStr">
        <is>
          <t>To a slight extent</t>
        </is>
      </c>
      <c r="EL49" s="6" t="inlineStr">
        <is>
          <t>To a great extent</t>
        </is>
      </c>
      <c r="EM49" s="6" t="n"/>
      <c r="EN49" s="6" t="n"/>
      <c r="EO49" s="6" t="n"/>
      <c r="EP49" s="6" t="n"/>
      <c r="EQ49" s="6" t="inlineStr">
        <is>
          <t>Not at all</t>
        </is>
      </c>
      <c r="ER49" s="6" t="inlineStr">
        <is>
          <t>Not at all</t>
        </is>
      </c>
      <c r="ES49" s="6" t="n"/>
      <c r="ET49" s="6" t="n"/>
      <c r="EU49" s="6" t="n"/>
      <c r="EV49" s="6" t="n"/>
      <c r="EW49" s="6" t="n"/>
      <c r="EX49" s="6" t="n"/>
      <c r="EY49" s="6" t="n"/>
      <c r="EZ49" s="6" t="n"/>
      <c r="FA49" s="6" t="n"/>
      <c r="FB49" s="6" t="n"/>
      <c r="FC49" s="6" t="n"/>
      <c r="FD49" s="6" t="n"/>
      <c r="FE49" s="6" t="n"/>
      <c r="FF49" s="6" t="n"/>
      <c r="FG49" s="6" t="n"/>
      <c r="FH49" s="6" t="n"/>
      <c r="FI49" s="6" t="n"/>
      <c r="FJ49" s="6" t="n"/>
      <c r="FK49" s="6" t="n"/>
      <c r="FL49" s="6" t="n"/>
      <c r="FM49" s="6" t="n"/>
      <c r="FN49" s="6" t="n"/>
      <c r="FO49" s="6" t="n"/>
      <c r="FP49" s="6" t="n"/>
      <c r="FQ49" s="6" t="n"/>
      <c r="FR49" s="6" t="n"/>
      <c r="FS49" s="6" t="n"/>
      <c r="FT49" s="6" t="n"/>
      <c r="FU49" s="6" t="n"/>
      <c r="FV49" s="6" t="n"/>
      <c r="FW49" s="6" t="n"/>
      <c r="FX49" s="6" t="n"/>
      <c r="FY49" s="6" t="inlineStr">
        <is>
          <t>To a moderate extent</t>
        </is>
      </c>
      <c r="FZ49" s="6" t="inlineStr">
        <is>
          <t>To a moderate extent</t>
        </is>
      </c>
      <c r="GA49" s="6" t="inlineStr">
        <is>
          <t>To a moderate extent</t>
        </is>
      </c>
      <c r="GB49" s="6" t="inlineStr">
        <is>
          <t>To a moderate extent</t>
        </is>
      </c>
      <c r="GC49" s="6" t="n"/>
      <c r="GD49" s="6" t="n"/>
      <c r="GE49" s="6" t="inlineStr">
        <is>
          <t>To a great extent</t>
        </is>
      </c>
      <c r="GF49" s="6" t="inlineStr">
        <is>
          <t>To a moderate extent</t>
        </is>
      </c>
      <c r="GG49" s="6" t="inlineStr">
        <is>
          <t>To a great extent</t>
        </is>
      </c>
      <c r="GH49" s="6" t="inlineStr">
        <is>
          <t>To a slight extent</t>
        </is>
      </c>
      <c r="GI49" s="6" t="inlineStr">
        <is>
          <t>To a great extent</t>
        </is>
      </c>
      <c r="GJ49" s="6" t="inlineStr">
        <is>
          <t>To a great extent</t>
        </is>
      </c>
      <c r="GK49" s="6" t="n"/>
      <c r="GL49" s="7">
        <f>DATE(2025,5,23)+TIME(9,5,15)</f>
        <v/>
      </c>
    </row>
    <row r="50" ht="47.25" customHeight="1">
      <c r="A50" s="3" t="inlineStr">
        <is>
          <t>Kwame</t>
        </is>
      </c>
      <c r="B50" s="3" t="inlineStr">
        <is>
          <t>Gupta</t>
        </is>
      </c>
      <c r="C50" s="3" t="inlineStr">
        <is>
          <t>kgupta@organization.org</t>
        </is>
      </c>
      <c r="D50" s="3" t="inlineStr">
        <is>
          <t>KCN6PQULJ</t>
        </is>
      </c>
      <c r="E50" s="3" t="n"/>
      <c r="F50" s="3" t="inlineStr">
        <is>
          <t>OEDAG</t>
        </is>
      </c>
      <c r="G50" s="3" t="n"/>
      <c r="H50" s="3" t="inlineStr">
        <is>
          <t>Paraguay</t>
        </is>
      </c>
      <c r="I50" s="3" t="n"/>
      <c r="J50" s="3" t="n"/>
      <c r="K50" s="3" t="n"/>
      <c r="L50" s="3" t="n"/>
      <c r="M50" s="3" t="n"/>
      <c r="N50" s="3" t="n"/>
      <c r="O50" s="3" t="n"/>
      <c r="P50" s="3" t="n"/>
      <c r="Q50" s="3" t="n"/>
      <c r="R50" s="3" t="n"/>
      <c r="S50" s="3" t="n"/>
      <c r="T50" s="3" t="n"/>
      <c r="U50" s="3" t="n"/>
      <c r="V50" s="3" t="n"/>
      <c r="W50" s="3" t="n"/>
      <c r="X50" s="3" t="n"/>
      <c r="Y50" s="3" t="n"/>
      <c r="Z50" s="3" t="n"/>
      <c r="AA50" s="3" t="n"/>
      <c r="AB50" s="3" t="n"/>
      <c r="AC50" s="3" t="n"/>
      <c r="AD50" s="3" t="n"/>
      <c r="AE50" s="3" t="n"/>
      <c r="AF50" s="4" t="inlineStr">
        <is>
          <t>Paraguay</t>
        </is>
      </c>
      <c r="AG50" s="3" t="inlineStr">
        <is>
          <t>The IMF should engage a similar amount on climate change-related issues</t>
        </is>
      </c>
      <c r="AH50" s="3" t="inlineStr">
        <is>
          <t>To a great extent</t>
        </is>
      </c>
      <c r="AI50" s="3" t="inlineStr">
        <is>
          <t>To a great extent</t>
        </is>
      </c>
      <c r="AJ50" s="3" t="inlineStr">
        <is>
          <t>To a great extent</t>
        </is>
      </c>
      <c r="AK50" s="3" t="inlineStr">
        <is>
          <t>To a great extent</t>
        </is>
      </c>
      <c r="AL50" s="3" t="inlineStr">
        <is>
          <t>To a great extent</t>
        </is>
      </c>
      <c r="AM50" s="3" t="inlineStr">
        <is>
          <t>To a great extent</t>
        </is>
      </c>
      <c r="AN50" s="3" t="inlineStr">
        <is>
          <t>Don’t know or not applicable</t>
        </is>
      </c>
      <c r="AO50" s="3" t="inlineStr">
        <is>
          <t>To a great extent</t>
        </is>
      </c>
      <c r="AP50" s="3" t="inlineStr">
        <is>
          <t>To a great extent</t>
        </is>
      </c>
      <c r="AQ50" s="3" t="inlineStr">
        <is>
          <t>To a great extent</t>
        </is>
      </c>
      <c r="AR50" s="3" t="inlineStr">
        <is>
          <t>To a great extent</t>
        </is>
      </c>
      <c r="AS50" s="3" t="n"/>
      <c r="AT50" s="3" t="inlineStr">
        <is>
          <t>To a great extent</t>
        </is>
      </c>
      <c r="AU50" s="3" t="inlineStr">
        <is>
          <t>To a great extent</t>
        </is>
      </c>
      <c r="AV50" s="3" t="inlineStr">
        <is>
          <t>To a great extent</t>
        </is>
      </c>
      <c r="AW50" s="3" t="inlineStr">
        <is>
          <t>To a great extent</t>
        </is>
      </c>
      <c r="AX50" s="3" t="inlineStr">
        <is>
          <t>To a great extent</t>
        </is>
      </c>
      <c r="AY50" s="3" t="inlineStr">
        <is>
          <t>To a great extent</t>
        </is>
      </c>
      <c r="AZ50" s="3" t="inlineStr">
        <is>
          <t>To a moderate extent</t>
        </is>
      </c>
      <c r="BA50" s="3" t="inlineStr">
        <is>
          <t>To a moderate extent</t>
        </is>
      </c>
      <c r="BB50" s="3" t="inlineStr">
        <is>
          <t>To a great extent</t>
        </is>
      </c>
      <c r="BC50" s="3" t="inlineStr">
        <is>
          <t>To a great extent</t>
        </is>
      </c>
      <c r="BD50" s="3" t="inlineStr">
        <is>
          <t>To a great extent</t>
        </is>
      </c>
      <c r="BE50" s="3" t="inlineStr">
        <is>
          <t>To a great extent</t>
        </is>
      </c>
      <c r="BF50" s="3" t="inlineStr">
        <is>
          <t>To a great extent</t>
        </is>
      </c>
      <c r="BG50" s="3" t="inlineStr">
        <is>
          <t>To a great extent</t>
        </is>
      </c>
      <c r="BH50" s="3" t="inlineStr">
        <is>
          <t>To a great extent</t>
        </is>
      </c>
      <c r="BI50" s="3" t="inlineStr">
        <is>
          <t>To a great extent</t>
        </is>
      </c>
      <c r="BJ50" s="3" t="inlineStr">
        <is>
          <t>To a moderate extent</t>
        </is>
      </c>
      <c r="BK50" s="3" t="inlineStr">
        <is>
          <t>To a slight extent</t>
        </is>
      </c>
      <c r="BL50" s="3" t="inlineStr">
        <is>
          <t>To a great extent</t>
        </is>
      </c>
      <c r="BM50" s="3" t="inlineStr">
        <is>
          <t>To a great extent</t>
        </is>
      </c>
      <c r="BN50" s="3" t="inlineStr">
        <is>
          <t>To a great extent</t>
        </is>
      </c>
      <c r="BO50" s="3" t="inlineStr">
        <is>
          <t>To a great extent</t>
        </is>
      </c>
      <c r="BP50" s="3" t="inlineStr">
        <is>
          <t>To a great extent</t>
        </is>
      </c>
      <c r="BQ50" s="3" t="inlineStr">
        <is>
          <t>To a great extent</t>
        </is>
      </c>
      <c r="BR50" s="3" t="inlineStr">
        <is>
          <t>Don’t know or not applicable</t>
        </is>
      </c>
      <c r="BS50" s="3" t="n"/>
      <c r="BT50" s="3" t="inlineStr">
        <is>
          <t>The IMF dedicated an appropriate amount of resources</t>
        </is>
      </c>
      <c r="BU50" s="3" t="inlineStr">
        <is>
          <t>To a slight extent</t>
        </is>
      </c>
      <c r="BV50" s="3" t="inlineStr">
        <is>
          <t>To a great extent</t>
        </is>
      </c>
      <c r="BW50" s="3" t="inlineStr">
        <is>
          <t>To a great extent</t>
        </is>
      </c>
      <c r="BX50" s="3" t="inlineStr">
        <is>
          <t>To a moderate extent</t>
        </is>
      </c>
      <c r="BY50" s="3" t="inlineStr">
        <is>
          <t>To a great extent</t>
        </is>
      </c>
      <c r="BZ50" s="3" t="inlineStr">
        <is>
          <t>To a great extent</t>
        </is>
      </c>
      <c r="CA50" s="3" t="inlineStr">
        <is>
          <t>To a moderate extent</t>
        </is>
      </c>
      <c r="CB50" s="3" t="inlineStr">
        <is>
          <t>To a great extent</t>
        </is>
      </c>
      <c r="CC50" s="3" t="inlineStr">
        <is>
          <t>To a great extent</t>
        </is>
      </c>
      <c r="CD50" s="3" t="inlineStr">
        <is>
          <t>To a moderate extent</t>
        </is>
      </c>
      <c r="CE50" s="3" t="inlineStr">
        <is>
          <t>To a great extent</t>
        </is>
      </c>
      <c r="CF50" s="3" t="inlineStr">
        <is>
          <t>To a great extent</t>
        </is>
      </c>
      <c r="CG50" s="3" t="n"/>
      <c r="CH50" s="3" t="inlineStr">
        <is>
          <t>Yes</t>
        </is>
      </c>
      <c r="CI50" s="3" t="inlineStr">
        <is>
          <t>Yes</t>
        </is>
      </c>
      <c r="CJ50" s="3" t="inlineStr">
        <is>
          <t>To a great extent</t>
        </is>
      </c>
      <c r="CK50" s="3" t="inlineStr">
        <is>
          <t>To a great extent</t>
        </is>
      </c>
      <c r="CL50" s="3" t="inlineStr">
        <is>
          <t>To a great extent</t>
        </is>
      </c>
      <c r="CM50" s="3" t="inlineStr">
        <is>
          <t>To a slight extent</t>
        </is>
      </c>
      <c r="CN50" s="3" t="inlineStr">
        <is>
          <t>To a great extent</t>
        </is>
      </c>
      <c r="CO50" s="3" t="inlineStr">
        <is>
          <t>To a great extent</t>
        </is>
      </c>
      <c r="CP50" s="3" t="inlineStr">
        <is>
          <t>To a great extent</t>
        </is>
      </c>
      <c r="CQ50" s="3" t="inlineStr">
        <is>
          <t>To a great extent</t>
        </is>
      </c>
      <c r="CR50" s="3" t="inlineStr">
        <is>
          <t>To a great extent</t>
        </is>
      </c>
      <c r="CS50" s="3" t="inlineStr">
        <is>
          <t>To a great extent</t>
        </is>
      </c>
      <c r="CT50" s="3" t="inlineStr">
        <is>
          <t>To a great extent</t>
        </is>
      </c>
      <c r="CU50" s="3" t="inlineStr">
        <is>
          <t>To a great extent</t>
        </is>
      </c>
      <c r="CV50" s="3" t="inlineStr">
        <is>
          <t>Don’t know or not applicable</t>
        </is>
      </c>
      <c r="CW50" s="3" t="inlineStr">
        <is>
          <t>To a great extent</t>
        </is>
      </c>
      <c r="CX50" s="3" t="inlineStr">
        <is>
          <t>To a great extent</t>
        </is>
      </c>
      <c r="CY50" s="3" t="inlineStr">
        <is>
          <t>Don’t know or not applicable</t>
        </is>
      </c>
      <c r="CZ50" s="3" t="inlineStr">
        <is>
          <t>To a great extent</t>
        </is>
      </c>
      <c r="DA50" s="3" t="inlineStr">
        <is>
          <t>Don’t know or not applicable</t>
        </is>
      </c>
      <c r="DB50" s="3" t="n"/>
      <c r="DC50" s="3" t="n"/>
      <c r="DD50" s="3" t="n"/>
      <c r="DE50" s="3" t="inlineStr">
        <is>
          <t>Building reserves</t>
        </is>
      </c>
      <c r="DF50" s="3" t="inlineStr">
        <is>
          <t>Climate change-related policies</t>
        </is>
      </c>
      <c r="DG50" s="3" t="n"/>
      <c r="DH50" s="3" t="inlineStr">
        <is>
          <t>Not at all</t>
        </is>
      </c>
      <c r="DI50" s="3" t="inlineStr">
        <is>
          <t>To a great extent</t>
        </is>
      </c>
      <c r="DJ50" s="3" t="inlineStr">
        <is>
          <t>To a great extent</t>
        </is>
      </c>
      <c r="DK50" s="3" t="inlineStr">
        <is>
          <t>To a great extent</t>
        </is>
      </c>
      <c r="DL50" s="3" t="inlineStr">
        <is>
          <t>To a great extent</t>
        </is>
      </c>
      <c r="DM50" s="3" t="inlineStr">
        <is>
          <t>To a great extent</t>
        </is>
      </c>
      <c r="DN50" s="3" t="inlineStr">
        <is>
          <t>Don’t know or not applicable</t>
        </is>
      </c>
      <c r="DO50" s="3" t="n"/>
      <c r="DP50" s="3" t="n"/>
      <c r="DQ50" s="3" t="n"/>
      <c r="DR50" s="3" t="n"/>
      <c r="DS50" s="3" t="n"/>
      <c r="DT50" s="3" t="n"/>
      <c r="DU50" s="3" t="n"/>
      <c r="DV50" s="3" t="n"/>
      <c r="DW50" s="3" t="inlineStr">
        <is>
          <t>Don't know</t>
        </is>
      </c>
      <c r="DX50" s="3" t="n"/>
      <c r="DY50" s="3" t="n"/>
      <c r="DZ50" s="3" t="n"/>
      <c r="EA50" s="3" t="n"/>
      <c r="EB50" s="3" t="n"/>
      <c r="EC50" s="3" t="n"/>
      <c r="ED50" s="3" t="n"/>
      <c r="EE50" s="3" t="n"/>
      <c r="EF50" s="3" t="inlineStr">
        <is>
          <t>To a great extent</t>
        </is>
      </c>
      <c r="EG50" s="3" t="inlineStr">
        <is>
          <t>To a moderate extent</t>
        </is>
      </c>
      <c r="EH50" s="3" t="inlineStr">
        <is>
          <t>To a moderate extent</t>
        </is>
      </c>
      <c r="EI50" s="3" t="inlineStr">
        <is>
          <t>To a great extent</t>
        </is>
      </c>
      <c r="EJ50" s="3" t="inlineStr">
        <is>
          <t>To a moderate extent</t>
        </is>
      </c>
      <c r="EK50" s="3" t="inlineStr">
        <is>
          <t>To a moderate extent</t>
        </is>
      </c>
      <c r="EL50" s="3" t="inlineStr">
        <is>
          <t>To a great extent</t>
        </is>
      </c>
      <c r="EM50" s="3" t="inlineStr">
        <is>
          <t>To a great extent</t>
        </is>
      </c>
      <c r="EN50" s="3" t="inlineStr">
        <is>
          <t>To a slight extent</t>
        </is>
      </c>
      <c r="EO50" s="3" t="inlineStr">
        <is>
          <t>Don’t know or not applicable</t>
        </is>
      </c>
      <c r="EP50" s="3" t="n"/>
      <c r="EQ50" s="3" t="inlineStr">
        <is>
          <t>To a great extent</t>
        </is>
      </c>
      <c r="ER50" s="3" t="inlineStr">
        <is>
          <t>To a great extent</t>
        </is>
      </c>
      <c r="ES50" s="3" t="n"/>
      <c r="ET50" s="3" t="inlineStr">
        <is>
          <t>To a slight extent</t>
        </is>
      </c>
      <c r="EU50" s="3" t="inlineStr">
        <is>
          <t>To a great extent</t>
        </is>
      </c>
      <c r="EV50" s="3" t="inlineStr">
        <is>
          <t>To a great extent</t>
        </is>
      </c>
      <c r="EW50" s="3" t="inlineStr">
        <is>
          <t>Don’t know or not applicable</t>
        </is>
      </c>
      <c r="EX50" s="3" t="n"/>
      <c r="EY50" s="3" t="inlineStr">
        <is>
          <t>To a great extent</t>
        </is>
      </c>
      <c r="EZ50" s="3" t="inlineStr">
        <is>
          <t>To a slight extent</t>
        </is>
      </c>
      <c r="FA50" s="3" t="inlineStr">
        <is>
          <t>To a great extent</t>
        </is>
      </c>
      <c r="FB50" s="3" t="inlineStr">
        <is>
          <t>To a moderate extent</t>
        </is>
      </c>
      <c r="FC50" s="3" t="inlineStr">
        <is>
          <t>To a great extent</t>
        </is>
      </c>
      <c r="FD50" s="3" t="inlineStr">
        <is>
          <t>To a great extent</t>
        </is>
      </c>
      <c r="FE50" s="3" t="inlineStr">
        <is>
          <t>To a great extent</t>
        </is>
      </c>
      <c r="FF50" s="3" t="inlineStr">
        <is>
          <t>To a great extent</t>
        </is>
      </c>
      <c r="FG50" s="3" t="inlineStr">
        <is>
          <t>To a great extent</t>
        </is>
      </c>
      <c r="FH50" s="3" t="inlineStr">
        <is>
          <t>To a great extent</t>
        </is>
      </c>
      <c r="FI50" s="3" t="inlineStr">
        <is>
          <t>To a great extent</t>
        </is>
      </c>
      <c r="FJ50" s="3" t="inlineStr">
        <is>
          <t>To a slight extent</t>
        </is>
      </c>
      <c r="FK50" s="3" t="inlineStr">
        <is>
          <t>To a great extent</t>
        </is>
      </c>
      <c r="FL50" s="3" t="inlineStr">
        <is>
          <t>To a moderate extent</t>
        </is>
      </c>
      <c r="FM50" s="3" t="inlineStr">
        <is>
          <t>To a great extent</t>
        </is>
      </c>
      <c r="FN50" s="3" t="inlineStr">
        <is>
          <t>To a great extent</t>
        </is>
      </c>
      <c r="FO50" s="3" t="inlineStr">
        <is>
          <t>To a great extent</t>
        </is>
      </c>
      <c r="FP50" s="3" t="inlineStr">
        <is>
          <t>To a great extent</t>
        </is>
      </c>
      <c r="FQ50" s="3" t="inlineStr">
        <is>
          <t>To a great extent</t>
        </is>
      </c>
      <c r="FR50" s="3" t="inlineStr">
        <is>
          <t>To a great extent</t>
        </is>
      </c>
      <c r="FS50" s="3" t="inlineStr">
        <is>
          <t>To a great extent</t>
        </is>
      </c>
      <c r="FT50" s="3" t="inlineStr">
        <is>
          <t>To a great extent</t>
        </is>
      </c>
      <c r="FU50" s="3" t="inlineStr">
        <is>
          <t>Don’t know or not applicable</t>
        </is>
      </c>
      <c r="FV50" s="3" t="n"/>
      <c r="FW50" s="3" t="inlineStr">
        <is>
          <t>The IMF dedicated the appropriate amount of resources</t>
        </is>
      </c>
      <c r="FX50" s="3" t="n"/>
      <c r="FY50" s="3" t="inlineStr">
        <is>
          <t>To a great extent</t>
        </is>
      </c>
      <c r="FZ50" s="3" t="inlineStr">
        <is>
          <t>To a great extent</t>
        </is>
      </c>
      <c r="GA50" s="3" t="inlineStr">
        <is>
          <t>To a great extent</t>
        </is>
      </c>
      <c r="GB50" s="3" t="inlineStr">
        <is>
          <t>To a moderate extent</t>
        </is>
      </c>
      <c r="GC50" s="3" t="inlineStr">
        <is>
          <t>Don’t know or not applicable</t>
        </is>
      </c>
      <c r="GD50" s="3" t="n"/>
      <c r="GE50" s="3" t="inlineStr">
        <is>
          <t>To a moderate extent</t>
        </is>
      </c>
      <c r="GF50" s="3" t="inlineStr">
        <is>
          <t>To a moderate extent</t>
        </is>
      </c>
      <c r="GG50" s="3" t="inlineStr">
        <is>
          <t>To a moderate extent</t>
        </is>
      </c>
      <c r="GH50" s="3" t="inlineStr">
        <is>
          <t>To a slight extent</t>
        </is>
      </c>
      <c r="GI50" s="3" t="inlineStr">
        <is>
          <t>To a great extent</t>
        </is>
      </c>
      <c r="GJ50" s="3" t="inlineStr">
        <is>
          <t>To a moderate extent</t>
        </is>
      </c>
      <c r="GK50" s="3" t="n"/>
      <c r="GL50" s="5">
        <f>DATE(2025,6,3)+TIME(11,2,48)</f>
        <v/>
      </c>
    </row>
    <row r="51" ht="47.25" customHeight="1">
      <c r="A51" s="6" t="inlineStr">
        <is>
          <t>Olga</t>
        </is>
      </c>
      <c r="B51" s="6" t="inlineStr">
        <is>
          <t>Horvath</t>
        </is>
      </c>
      <c r="C51" s="6" t="inlineStr">
        <is>
          <t>ohorvath@organization.org</t>
        </is>
      </c>
      <c r="D51" s="6" t="inlineStr">
        <is>
          <t>BZ6NA6WV7</t>
        </is>
      </c>
      <c r="E51" s="6" t="n"/>
      <c r="F51" s="6" t="inlineStr">
        <is>
          <t>OEDNE</t>
        </is>
      </c>
      <c r="G51" s="6" t="n"/>
      <c r="H51" s="6" t="n"/>
      <c r="I51" s="6" t="n"/>
      <c r="J51" s="6" t="n"/>
      <c r="K51" s="6" t="n"/>
      <c r="L51" s="6" t="n"/>
      <c r="M51" s="6" t="n"/>
      <c r="N51" s="6" t="n"/>
      <c r="O51" s="6" t="n"/>
      <c r="P51" s="6" t="n"/>
      <c r="Q51" s="6" t="n"/>
      <c r="R51" s="6" t="n"/>
      <c r="S51" s="6" t="n"/>
      <c r="T51" s="6" t="n"/>
      <c r="U51" s="6" t="n"/>
      <c r="V51" s="6" t="n"/>
      <c r="W51" s="6" t="n"/>
      <c r="X51" s="6" t="inlineStr">
        <is>
          <t>Andorra, Principality of</t>
        </is>
      </c>
      <c r="Y51" s="6" t="n"/>
      <c r="Z51" s="6" t="n"/>
      <c r="AA51" s="6" t="n"/>
      <c r="AB51" s="6" t="n"/>
      <c r="AC51" s="6" t="n"/>
      <c r="AD51" s="6" t="n"/>
      <c r="AE51" s="6" t="n"/>
      <c r="AF51" s="4" t="inlineStr">
        <is>
          <t>Andorra, Principality of</t>
        </is>
      </c>
      <c r="AG51" s="6" t="inlineStr">
        <is>
          <t>The IMF should engage a similar amount on climate change-related issues</t>
        </is>
      </c>
      <c r="AH51" s="6" t="inlineStr">
        <is>
          <t>To a great extent</t>
        </is>
      </c>
      <c r="AI51" s="6" t="inlineStr">
        <is>
          <t>To a great extent</t>
        </is>
      </c>
      <c r="AJ51" s="6" t="inlineStr">
        <is>
          <t>Don’t know or not applicable</t>
        </is>
      </c>
      <c r="AK51" s="6" t="inlineStr">
        <is>
          <t>To a great extent</t>
        </is>
      </c>
      <c r="AL51" s="6" t="inlineStr">
        <is>
          <t>Don’t know or not applicable</t>
        </is>
      </c>
      <c r="AM51" s="6" t="inlineStr">
        <is>
          <t>Don’t know or not applicable</t>
        </is>
      </c>
      <c r="AN51" s="6" t="inlineStr">
        <is>
          <t>Don’t know or not applicable</t>
        </is>
      </c>
      <c r="AO51" s="6" t="inlineStr">
        <is>
          <t>Don’t know or not applicable</t>
        </is>
      </c>
      <c r="AP51" s="6" t="inlineStr">
        <is>
          <t>Don’t know or not applicable</t>
        </is>
      </c>
      <c r="AQ51" s="6" t="inlineStr">
        <is>
          <t>Don’t know or not applicable</t>
        </is>
      </c>
      <c r="AR51" s="6" t="inlineStr">
        <is>
          <t>To a great extent</t>
        </is>
      </c>
      <c r="AS51" s="6" t="n"/>
      <c r="AT51" s="6" t="inlineStr">
        <is>
          <t>Don’t know or not applicable</t>
        </is>
      </c>
      <c r="AU51" s="6" t="inlineStr">
        <is>
          <t>To a moderate extent</t>
        </is>
      </c>
      <c r="AV51" s="6" t="inlineStr">
        <is>
          <t>Don’t know or not applicable</t>
        </is>
      </c>
      <c r="AW51" s="6" t="inlineStr">
        <is>
          <t>To a great extent</t>
        </is>
      </c>
      <c r="AX51" s="6" t="inlineStr">
        <is>
          <t>To a great extent</t>
        </is>
      </c>
      <c r="AY51" s="6" t="inlineStr">
        <is>
          <t>To a great extent</t>
        </is>
      </c>
      <c r="AZ51" s="6" t="inlineStr">
        <is>
          <t>To a moderate extent</t>
        </is>
      </c>
      <c r="BA51" s="6" t="inlineStr">
        <is>
          <t>Don’t know or not applicable</t>
        </is>
      </c>
      <c r="BB51" s="6" t="inlineStr">
        <is>
          <t>Don’t know or not applicable</t>
        </is>
      </c>
      <c r="BC51" s="6" t="inlineStr">
        <is>
          <t>Don’t know or not applicable</t>
        </is>
      </c>
      <c r="BD51" s="6" t="inlineStr">
        <is>
          <t>To a great extent</t>
        </is>
      </c>
      <c r="BE51" s="6" t="inlineStr">
        <is>
          <t>Don’t know or not applicable</t>
        </is>
      </c>
      <c r="BF51" s="6" t="inlineStr">
        <is>
          <t>Don’t know or not applicable</t>
        </is>
      </c>
      <c r="BG51" s="6" t="inlineStr">
        <is>
          <t>Don’t know or not applicable</t>
        </is>
      </c>
      <c r="BH51" s="6" t="inlineStr">
        <is>
          <t>Don’t know or not applicable</t>
        </is>
      </c>
      <c r="BI51" s="6" t="inlineStr">
        <is>
          <t>Don’t know or not applicable</t>
        </is>
      </c>
      <c r="BJ51" s="6" t="inlineStr">
        <is>
          <t>Don’t know or not applicable</t>
        </is>
      </c>
      <c r="BK51" s="6" t="inlineStr">
        <is>
          <t>Don’t know or not applicable</t>
        </is>
      </c>
      <c r="BL51" s="6" t="inlineStr">
        <is>
          <t>Don’t know or not applicable</t>
        </is>
      </c>
      <c r="BM51" s="6" t="inlineStr">
        <is>
          <t>Don’t know or not applicable</t>
        </is>
      </c>
      <c r="BN51" s="6" t="inlineStr">
        <is>
          <t>Don’t know or not applicable</t>
        </is>
      </c>
      <c r="BO51" s="6" t="inlineStr">
        <is>
          <t>Don’t know or not applicable</t>
        </is>
      </c>
      <c r="BP51" s="6" t="inlineStr">
        <is>
          <t>Don’t know or not applicable</t>
        </is>
      </c>
      <c r="BQ51" s="6" t="inlineStr">
        <is>
          <t>Don’t know or not applicable</t>
        </is>
      </c>
      <c r="BR51" s="6" t="inlineStr">
        <is>
          <t>Don’t know or not applicable</t>
        </is>
      </c>
      <c r="BS51" s="6" t="n"/>
      <c r="BT51" s="6" t="inlineStr">
        <is>
          <t>The IMF dedicated an appropriate amount of resources</t>
        </is>
      </c>
      <c r="BU51" s="6" t="inlineStr">
        <is>
          <t>To a great extent</t>
        </is>
      </c>
      <c r="BV51" s="6" t="inlineStr">
        <is>
          <t>To a great extent</t>
        </is>
      </c>
      <c r="BW51" s="6" t="inlineStr">
        <is>
          <t>To a great extent</t>
        </is>
      </c>
      <c r="BX51" s="6" t="inlineStr">
        <is>
          <t>Don’t know or not applicable</t>
        </is>
      </c>
      <c r="BY51" s="6" t="inlineStr">
        <is>
          <t>Don’t know or not applicable</t>
        </is>
      </c>
      <c r="BZ51" s="6" t="inlineStr">
        <is>
          <t>Don’t know or not applicable</t>
        </is>
      </c>
      <c r="CA51" s="6" t="inlineStr">
        <is>
          <t>Don’t know or not applicable</t>
        </is>
      </c>
      <c r="CB51" s="6" t="inlineStr">
        <is>
          <t>Don’t know or not applicable</t>
        </is>
      </c>
      <c r="CC51" s="6" t="inlineStr">
        <is>
          <t>Don’t know or not applicable</t>
        </is>
      </c>
      <c r="CD51" s="6" t="inlineStr">
        <is>
          <t>Don’t know or not applicable</t>
        </is>
      </c>
      <c r="CE51" s="6" t="inlineStr">
        <is>
          <t>Don’t know or not applicable</t>
        </is>
      </c>
      <c r="CF51" s="6" t="inlineStr">
        <is>
          <t>Don’t know or not applicable</t>
        </is>
      </c>
      <c r="CG51" s="6" t="n"/>
      <c r="CH51" s="6" t="inlineStr">
        <is>
          <t>No</t>
        </is>
      </c>
      <c r="CI51" s="6" t="inlineStr">
        <is>
          <t>No</t>
        </is>
      </c>
      <c r="CJ51" s="6" t="n"/>
      <c r="CK51" s="6" t="n"/>
      <c r="CL51" s="6" t="n"/>
      <c r="CM51" s="6" t="n"/>
      <c r="CN51" s="6" t="n"/>
      <c r="CO51" s="6" t="n"/>
      <c r="CP51" s="6" t="n"/>
      <c r="CQ51" s="6" t="n"/>
      <c r="CR51" s="6" t="n"/>
      <c r="CS51" s="6" t="n"/>
      <c r="CT51" s="6" t="n"/>
      <c r="CU51" s="6" t="n"/>
      <c r="CV51" s="6" t="n"/>
      <c r="CW51" s="6" t="n"/>
      <c r="CX51" s="6" t="n"/>
      <c r="CY51" s="6" t="n"/>
      <c r="CZ51" s="6" t="n"/>
      <c r="DA51" s="6" t="n"/>
      <c r="DB51" s="6" t="n"/>
      <c r="DC51" s="6" t="n"/>
      <c r="DD51" s="6" t="n"/>
      <c r="DE51" s="6" t="n"/>
      <c r="DF51" s="6" t="n"/>
      <c r="DG51" s="6" t="n"/>
      <c r="DH51" s="6" t="n"/>
      <c r="DI51" s="6" t="n"/>
      <c r="DJ51" s="6" t="n"/>
      <c r="DK51" s="6" t="n"/>
      <c r="DL51" s="6" t="n"/>
      <c r="DM51" s="6" t="n"/>
      <c r="DN51" s="6" t="n"/>
      <c r="DO51" s="6" t="n"/>
      <c r="DP51" s="6" t="n"/>
      <c r="DQ51" s="6" t="n"/>
      <c r="DR51" s="6" t="n"/>
      <c r="DS51" s="6" t="n"/>
      <c r="DT51" s="6" t="n"/>
      <c r="DU51" s="6" t="n"/>
      <c r="DV51" s="6" t="inlineStr">
        <is>
          <t>Other (please specify) : Does not need IMF financing</t>
        </is>
      </c>
      <c r="DW51" s="6" t="inlineStr">
        <is>
          <t>No</t>
        </is>
      </c>
      <c r="DX51" s="6" t="n"/>
      <c r="DY51" s="6" t="n"/>
      <c r="DZ51" s="6" t="n"/>
      <c r="EA51" s="6" t="n"/>
      <c r="EB51" s="6" t="n"/>
      <c r="EC51" s="6" t="n"/>
      <c r="ED51" s="6" t="n"/>
      <c r="EE51" s="6" t="n"/>
      <c r="EF51" s="6" t="inlineStr">
        <is>
          <t>Don’t know or not applicable</t>
        </is>
      </c>
      <c r="EG51" s="6" t="inlineStr">
        <is>
          <t>Don’t know or not applicable</t>
        </is>
      </c>
      <c r="EH51" s="6" t="inlineStr">
        <is>
          <t>Don’t know or not applicable</t>
        </is>
      </c>
      <c r="EI51" s="6" t="inlineStr">
        <is>
          <t>Don’t know or not applicable</t>
        </is>
      </c>
      <c r="EJ51" s="6" t="inlineStr">
        <is>
          <t>Don’t know or not applicable</t>
        </is>
      </c>
      <c r="EK51" s="6" t="inlineStr">
        <is>
          <t>Don’t know or not applicable</t>
        </is>
      </c>
      <c r="EL51" s="6" t="inlineStr">
        <is>
          <t>Don’t know or not applicable</t>
        </is>
      </c>
      <c r="EM51" s="6" t="n"/>
      <c r="EN51" s="6" t="n"/>
      <c r="EO51" s="6" t="n"/>
      <c r="EP51" s="6" t="n"/>
      <c r="EQ51" s="6" t="inlineStr">
        <is>
          <t>Not at all</t>
        </is>
      </c>
      <c r="ER51" s="6" t="inlineStr">
        <is>
          <t>Not at all</t>
        </is>
      </c>
      <c r="ES51" s="6" t="n"/>
      <c r="ET51" s="6" t="n"/>
      <c r="EU51" s="6" t="n"/>
      <c r="EV51" s="6" t="n"/>
      <c r="EW51" s="6" t="n"/>
      <c r="EX51" s="6" t="n"/>
      <c r="EY51" s="6" t="n"/>
      <c r="EZ51" s="6" t="n"/>
      <c r="FA51" s="6" t="n"/>
      <c r="FB51" s="6" t="n"/>
      <c r="FC51" s="6" t="n"/>
      <c r="FD51" s="6" t="n"/>
      <c r="FE51" s="6" t="n"/>
      <c r="FF51" s="6" t="n"/>
      <c r="FG51" s="6" t="n"/>
      <c r="FH51" s="6" t="n"/>
      <c r="FI51" s="6" t="n"/>
      <c r="FJ51" s="6" t="n"/>
      <c r="FK51" s="6" t="n"/>
      <c r="FL51" s="6" t="n"/>
      <c r="FM51" s="6" t="n"/>
      <c r="FN51" s="6" t="n"/>
      <c r="FO51" s="6" t="n"/>
      <c r="FP51" s="6" t="n"/>
      <c r="FQ51" s="6" t="n"/>
      <c r="FR51" s="6" t="n"/>
      <c r="FS51" s="6" t="n"/>
      <c r="FT51" s="6" t="n"/>
      <c r="FU51" s="6" t="n"/>
      <c r="FV51" s="6" t="n"/>
      <c r="FW51" s="6" t="n"/>
      <c r="FX51" s="6" t="n"/>
      <c r="FY51" s="6" t="inlineStr">
        <is>
          <t>Don’t know or not applicable</t>
        </is>
      </c>
      <c r="FZ51" s="6" t="inlineStr">
        <is>
          <t>Don’t know or not applicable</t>
        </is>
      </c>
      <c r="GA51" s="6" t="inlineStr">
        <is>
          <t>Don’t know or not applicable</t>
        </is>
      </c>
      <c r="GB51" s="6" t="inlineStr">
        <is>
          <t>Don’t know or not applicable</t>
        </is>
      </c>
      <c r="GC51" s="6" t="inlineStr">
        <is>
          <t>Don’t know or not applicable</t>
        </is>
      </c>
      <c r="GD51" s="6" t="n"/>
      <c r="GE51" s="6" t="inlineStr">
        <is>
          <t>To a slight extent</t>
        </is>
      </c>
      <c r="GF51" s="6" t="inlineStr">
        <is>
          <t>To a great extent</t>
        </is>
      </c>
      <c r="GG51" s="6" t="inlineStr">
        <is>
          <t>To a moderate extent</t>
        </is>
      </c>
      <c r="GH51" s="6" t="inlineStr">
        <is>
          <t>To a slight extent</t>
        </is>
      </c>
      <c r="GI51" s="6" t="inlineStr">
        <is>
          <t>To a slight extent</t>
        </is>
      </c>
      <c r="GJ51" s="6" t="inlineStr">
        <is>
          <t>To a slight extent</t>
        </is>
      </c>
      <c r="GK51" s="6" t="n"/>
      <c r="GL51" s="7">
        <f>DATE(2025,6,5)+TIME(14,56,14)</f>
        <v/>
      </c>
    </row>
    <row r="52" ht="409.5" customHeight="1">
      <c r="A52" s="3" t="inlineStr">
        <is>
          <t>Henrik</t>
        </is>
      </c>
      <c r="B52" s="3" t="inlineStr">
        <is>
          <t>Reddy</t>
        </is>
      </c>
      <c r="C52" s="3" t="inlineStr">
        <is>
          <t>hreddy@organization.org</t>
        </is>
      </c>
      <c r="D52" s="3" t="inlineStr">
        <is>
          <t>JG3V5TPSO</t>
        </is>
      </c>
      <c r="E52" s="3" t="n"/>
      <c r="F52" s="3" t="inlineStr">
        <is>
          <t>OEDMI</t>
        </is>
      </c>
      <c r="G52" s="3" t="n"/>
      <c r="H52" s="3" t="n"/>
      <c r="I52" s="3" t="n"/>
      <c r="J52" s="3" t="n"/>
      <c r="K52" s="3" t="n"/>
      <c r="L52" s="3" t="n"/>
      <c r="M52" s="3" t="n"/>
      <c r="N52" s="3" t="n"/>
      <c r="O52" s="3" t="n"/>
      <c r="P52" s="3" t="n"/>
      <c r="Q52" s="3" t="n"/>
      <c r="R52" s="3" t="n"/>
      <c r="S52" s="3" t="n"/>
      <c r="T52" s="3" t="n"/>
      <c r="U52" s="3" t="n"/>
      <c r="V52" s="3" t="n"/>
      <c r="W52" s="3" t="inlineStr">
        <is>
          <t>Lebanon</t>
        </is>
      </c>
      <c r="X52" s="3" t="n"/>
      <c r="Y52" s="3" t="n"/>
      <c r="Z52" s="3" t="n"/>
      <c r="AA52" s="3" t="n"/>
      <c r="AB52" s="3" t="n"/>
      <c r="AC52" s="3" t="n"/>
      <c r="AD52" s="3" t="n"/>
      <c r="AE52" s="3" t="n"/>
      <c r="AF52" s="4" t="inlineStr">
        <is>
          <t>Lebanon</t>
        </is>
      </c>
      <c r="AG52" s="3" t="inlineStr">
        <is>
          <t>The IMF should engage less on climate change-related issues</t>
        </is>
      </c>
      <c r="AH52" s="3" t="inlineStr">
        <is>
          <t>To a moderate extent</t>
        </is>
      </c>
      <c r="AI52" s="3" t="inlineStr">
        <is>
          <t>To a moderate extent</t>
        </is>
      </c>
      <c r="AJ52" s="3" t="inlineStr">
        <is>
          <t>Don’t know or not applicable</t>
        </is>
      </c>
      <c r="AK52" s="3" t="inlineStr">
        <is>
          <t>To a moderate extent</t>
        </is>
      </c>
      <c r="AL52" s="3" t="inlineStr">
        <is>
          <t>Don’t know or not applicable</t>
        </is>
      </c>
      <c r="AM52" s="3" t="inlineStr">
        <is>
          <t>Don’t know or not applicable</t>
        </is>
      </c>
      <c r="AN52" s="3" t="inlineStr">
        <is>
          <t>Don’t know or not applicable</t>
        </is>
      </c>
      <c r="AO52" s="3" t="inlineStr">
        <is>
          <t>Don’t know or not applicable</t>
        </is>
      </c>
      <c r="AP52" s="3" t="inlineStr">
        <is>
          <t>Don’t know or not applicable</t>
        </is>
      </c>
      <c r="AQ52" s="3" t="inlineStr">
        <is>
          <t>Don’t know or not applicable</t>
        </is>
      </c>
      <c r="AR52" s="3" t="inlineStr">
        <is>
          <t>Don’t know or not applicable</t>
        </is>
      </c>
      <c r="AS52" s="3" t="n"/>
      <c r="AT52" s="3" t="inlineStr">
        <is>
          <t>Not at all</t>
        </is>
      </c>
      <c r="AU52" s="3" t="inlineStr">
        <is>
          <t>Don’t know or not applicable</t>
        </is>
      </c>
      <c r="AV52" s="3" t="inlineStr">
        <is>
          <t>Don’t know or not applicable</t>
        </is>
      </c>
      <c r="AW52" s="3" t="inlineStr">
        <is>
          <t>Don’t know or not applicable</t>
        </is>
      </c>
      <c r="AX52" s="3" t="inlineStr">
        <is>
          <t>Don’t know or not applicable</t>
        </is>
      </c>
      <c r="AY52" s="3" t="inlineStr">
        <is>
          <t>Don’t know or not applicable</t>
        </is>
      </c>
      <c r="AZ52" s="3" t="inlineStr">
        <is>
          <t>Don’t know or not applicable</t>
        </is>
      </c>
      <c r="BA52" s="3" t="inlineStr">
        <is>
          <t>Don’t know or not applicable</t>
        </is>
      </c>
      <c r="BB52" s="3" t="inlineStr">
        <is>
          <t>Don’t know or not applicable</t>
        </is>
      </c>
      <c r="BC52" s="3" t="inlineStr">
        <is>
          <t>Don’t know or not applicable</t>
        </is>
      </c>
      <c r="BD52" s="3" t="inlineStr">
        <is>
          <t>Don’t know or not applicable</t>
        </is>
      </c>
      <c r="BE52" s="3" t="inlineStr">
        <is>
          <t>Don’t know or not applicable</t>
        </is>
      </c>
      <c r="BF52" s="3" t="inlineStr">
        <is>
          <t>Don’t know or not applicable</t>
        </is>
      </c>
      <c r="BG52" s="3" t="inlineStr">
        <is>
          <t>Don’t know or not applicable</t>
        </is>
      </c>
      <c r="BH52" s="3" t="inlineStr">
        <is>
          <t>Don’t know or not applicable</t>
        </is>
      </c>
      <c r="BI52" s="3" t="inlineStr">
        <is>
          <t>Don’t know or not applicable</t>
        </is>
      </c>
      <c r="BJ52" s="3" t="inlineStr">
        <is>
          <t>To a slight extent</t>
        </is>
      </c>
      <c r="BK52" s="3" t="inlineStr">
        <is>
          <t>To a great extent</t>
        </is>
      </c>
      <c r="BL52" s="3" t="inlineStr">
        <is>
          <t>To a great extent</t>
        </is>
      </c>
      <c r="BM52" s="3" t="inlineStr">
        <is>
          <t>To a moderate extent</t>
        </is>
      </c>
      <c r="BN52" s="3" t="inlineStr">
        <is>
          <t>To a slight extent</t>
        </is>
      </c>
      <c r="BO52" s="3" t="inlineStr">
        <is>
          <t>To a great extent</t>
        </is>
      </c>
      <c r="BP52" s="3" t="inlineStr">
        <is>
          <t>Don’t know or not applicable</t>
        </is>
      </c>
      <c r="BQ52" s="3" t="inlineStr">
        <is>
          <t>To a great extent</t>
        </is>
      </c>
      <c r="BR52" s="3" t="inlineStr">
        <is>
          <t>Don’t know or not applicable</t>
        </is>
      </c>
      <c r="BS52" s="3" t="n"/>
      <c r="BT52" s="3" t="inlineStr">
        <is>
          <t>The IMF should have dedicated less resources</t>
        </is>
      </c>
      <c r="BU52" s="3" t="inlineStr">
        <is>
          <t>To a great extent</t>
        </is>
      </c>
      <c r="BV52" s="3" t="inlineStr">
        <is>
          <t>To a great extent</t>
        </is>
      </c>
      <c r="BW52" s="3" t="inlineStr">
        <is>
          <t>To a great extent</t>
        </is>
      </c>
      <c r="BX52" s="3" t="inlineStr">
        <is>
          <t>To a great extent</t>
        </is>
      </c>
      <c r="BY52" s="3" t="inlineStr">
        <is>
          <t>To a moderate extent</t>
        </is>
      </c>
      <c r="BZ52" s="3" t="inlineStr">
        <is>
          <t>To a great extent</t>
        </is>
      </c>
      <c r="CA52" s="3" t="inlineStr">
        <is>
          <t>To a moderate extent</t>
        </is>
      </c>
      <c r="CB52" s="3" t="inlineStr">
        <is>
          <t>To a moderate extent</t>
        </is>
      </c>
      <c r="CC52" s="3" t="inlineStr">
        <is>
          <t>To a moderate extent</t>
        </is>
      </c>
      <c r="CD52" s="3" t="inlineStr">
        <is>
          <t>To a moderate extent</t>
        </is>
      </c>
      <c r="CE52" s="3" t="inlineStr">
        <is>
          <t>To a moderate extent</t>
        </is>
      </c>
      <c r="CF52" s="3" t="inlineStr">
        <is>
          <t>To a moderate extent</t>
        </is>
      </c>
      <c r="CG52" s="3" t="n"/>
      <c r="CH52" s="3" t="inlineStr">
        <is>
          <t>No</t>
        </is>
      </c>
      <c r="CI52" s="3" t="inlineStr">
        <is>
          <t>No</t>
        </is>
      </c>
      <c r="CJ52" s="3" t="n"/>
      <c r="CK52" s="3" t="n"/>
      <c r="CL52" s="3" t="n"/>
      <c r="CM52" s="3" t="n"/>
      <c r="CN52" s="3" t="n"/>
      <c r="CO52" s="3" t="n"/>
      <c r="CP52" s="3" t="n"/>
      <c r="CQ52" s="3" t="n"/>
      <c r="CR52" s="3" t="n"/>
      <c r="CS52" s="3" t="n"/>
      <c r="CT52" s="3" t="n"/>
      <c r="CU52" s="3" t="n"/>
      <c r="CV52" s="3" t="n"/>
      <c r="CW52" s="3" t="n"/>
      <c r="CX52" s="3" t="n"/>
      <c r="CY52" s="3" t="n"/>
      <c r="CZ52" s="3" t="n"/>
      <c r="DA52" s="3" t="n"/>
      <c r="DB52" s="3" t="n"/>
      <c r="DC52" s="3" t="n"/>
      <c r="DD52" s="3" t="n"/>
      <c r="DE52" s="3" t="n"/>
      <c r="DF52" s="3" t="n"/>
      <c r="DG52" s="3" t="n"/>
      <c r="DH52" s="3" t="n"/>
      <c r="DI52" s="3" t="n"/>
      <c r="DJ52" s="3" t="n"/>
      <c r="DK52" s="3" t="n"/>
      <c r="DL52" s="3" t="n"/>
      <c r="DM52" s="3" t="n"/>
      <c r="DN52" s="3" t="n"/>
      <c r="DO52" s="3" t="n"/>
      <c r="DP52" s="3" t="inlineStr">
        <is>
          <t>My country is not eligible for an RSF arrangement</t>
        </is>
      </c>
      <c r="DQ52" s="3" t="n"/>
      <c r="DR52" s="3" t="n"/>
      <c r="DS52" s="3" t="n"/>
      <c r="DT52" s="3" t="n"/>
      <c r="DU52" s="3" t="n"/>
      <c r="DV52" s="3" t="n"/>
      <c r="DW52" s="3" t="inlineStr">
        <is>
          <t>Yes</t>
        </is>
      </c>
      <c r="DX52" s="3" t="inlineStr">
        <is>
          <t>World Bank Group</t>
        </is>
      </c>
      <c r="DY52" s="3" t="n"/>
      <c r="DZ52" s="3" t="n"/>
      <c r="EA52" s="3" t="n"/>
      <c r="EB52" s="3" t="n"/>
      <c r="EC52" s="3" t="inlineStr">
        <is>
          <t>To a great extent</t>
        </is>
      </c>
      <c r="ED52" s="3" t="inlineStr">
        <is>
          <t>Not at all</t>
        </is>
      </c>
      <c r="EE52" s="3" t="inlineStr">
        <is>
          <t>Not at all</t>
        </is>
      </c>
      <c r="EF52" s="3" t="inlineStr">
        <is>
          <t>To a great extent</t>
        </is>
      </c>
      <c r="EG52" s="3" t="inlineStr">
        <is>
          <t>To a moderate extent</t>
        </is>
      </c>
      <c r="EH52" s="3" t="inlineStr">
        <is>
          <t>To a moderate extent</t>
        </is>
      </c>
      <c r="EI52" s="3" t="inlineStr">
        <is>
          <t>To a great extent</t>
        </is>
      </c>
      <c r="EJ52" s="3" t="inlineStr">
        <is>
          <t>To a slight extent</t>
        </is>
      </c>
      <c r="EK52" s="3" t="inlineStr">
        <is>
          <t>To a great extent</t>
        </is>
      </c>
      <c r="EL52" s="3" t="inlineStr">
        <is>
          <t>To a moderate extent</t>
        </is>
      </c>
      <c r="EM52" s="3" t="n"/>
      <c r="EN52" s="3" t="n"/>
      <c r="EO52" s="3" t="n"/>
      <c r="EP52" s="3" t="n"/>
      <c r="EQ52" s="3" t="inlineStr">
        <is>
          <t>Not at all</t>
        </is>
      </c>
      <c r="ER52" s="3" t="inlineStr">
        <is>
          <t>Not at all</t>
        </is>
      </c>
      <c r="ES52" s="3" t="n"/>
      <c r="ET52" s="3" t="n"/>
      <c r="EU52" s="3" t="n"/>
      <c r="EV52" s="3" t="n"/>
      <c r="EW52" s="3" t="n"/>
      <c r="EX52" s="3" t="n"/>
      <c r="EY52" s="3" t="n"/>
      <c r="EZ52" s="3" t="n"/>
      <c r="FA52" s="3" t="n"/>
      <c r="FB52" s="3" t="n"/>
      <c r="FC52" s="3" t="n"/>
      <c r="FD52" s="3" t="n"/>
      <c r="FE52" s="3" t="n"/>
      <c r="FF52" s="3" t="n"/>
      <c r="FG52" s="3" t="n"/>
      <c r="FH52" s="3" t="n"/>
      <c r="FI52" s="3" t="n"/>
      <c r="FJ52" s="3" t="n"/>
      <c r="FK52" s="3" t="n"/>
      <c r="FL52" s="3" t="n"/>
      <c r="FM52" s="3" t="n"/>
      <c r="FN52" s="3" t="n"/>
      <c r="FO52" s="3" t="n"/>
      <c r="FP52" s="3" t="n"/>
      <c r="FQ52" s="3" t="n"/>
      <c r="FR52" s="3" t="n"/>
      <c r="FS52" s="3" t="n"/>
      <c r="FT52" s="3" t="n"/>
      <c r="FU52" s="3" t="n"/>
      <c r="FV52" s="3" t="n"/>
      <c r="FW52" s="3" t="n"/>
      <c r="FX52" s="3" t="n"/>
      <c r="FY52" s="3" t="inlineStr">
        <is>
          <t>Not at all</t>
        </is>
      </c>
      <c r="FZ52" s="3" t="inlineStr">
        <is>
          <t>Not at all</t>
        </is>
      </c>
      <c r="GA52" s="3" t="inlineStr">
        <is>
          <t>To a moderate extent</t>
        </is>
      </c>
      <c r="GB52" s="3" t="inlineStr">
        <is>
          <t>Not at all</t>
        </is>
      </c>
      <c r="GC52" s="3" t="n"/>
      <c r="GD52" s="3" t="n"/>
      <c r="GE52" s="3" t="inlineStr">
        <is>
          <t>To a moderate extent</t>
        </is>
      </c>
      <c r="GF52" s="3" t="inlineStr">
        <is>
          <t>To a slight extent</t>
        </is>
      </c>
      <c r="GG52" s="3" t="inlineStr">
        <is>
          <t>To a slight extent</t>
        </is>
      </c>
      <c r="GH52" s="3" t="inlineStr">
        <is>
          <t>To a slight extent</t>
        </is>
      </c>
      <c r="GI52" s="3" t="inlineStr">
        <is>
          <t>To a moderate extent</t>
        </is>
      </c>
      <c r="GJ52" s="3" t="inlineStr">
        <is>
          <t>To a moderate extent</t>
        </is>
      </c>
      <c r="GK52" s="3" t="inlineStr">
        <is>
          <t>Climate initiatives in Lebanon should prioritize promoting renewable energy production to alleviate the fiscal burden associated with traditional energy production.
More broadly, the Comprehensive Surveillance Review (CSR) should determine the
Fund's engagement in non-core areas, mindful of the need to prioritize the core mandate.
Such engagement should be conditional on macro-criticality, which needs to be carefully defined in the context of the CSR.
This applies to the Fund's work on climate change-related issues.
When carried out, the Fund's work on climate change-related issues should pay close attention to adaptation and transition challenges, especially in countries facing heightened vulnerabilities.</t>
        </is>
      </c>
      <c r="GL52" s="5">
        <f>DATE(2025,5,31)+TIME(8,15,1)</f>
        <v/>
      </c>
    </row>
    <row r="53" ht="47.25" customHeight="1">
      <c r="A53" s="6" t="inlineStr">
        <is>
          <t>Fatima</t>
        </is>
      </c>
      <c r="B53" s="6" t="inlineStr">
        <is>
          <t>Chen</t>
        </is>
      </c>
      <c r="C53" s="6" t="inlineStr">
        <is>
          <t>fchen@organization.org</t>
        </is>
      </c>
      <c r="D53" s="6" t="inlineStr">
        <is>
          <t>DSPNZR7QW</t>
        </is>
      </c>
      <c r="E53" s="6" t="n"/>
      <c r="F53" s="6" t="inlineStr">
        <is>
          <t>OEDMD</t>
        </is>
      </c>
      <c r="G53" s="6" t="n"/>
      <c r="H53" s="6" t="n"/>
      <c r="I53" s="6" t="n"/>
      <c r="J53" s="6" t="n"/>
      <c r="K53" s="6" t="n"/>
      <c r="L53" s="6" t="n"/>
      <c r="M53" s="6" t="n"/>
      <c r="N53" s="6" t="n"/>
      <c r="O53" s="6" t="n"/>
      <c r="P53" s="6" t="n"/>
      <c r="Q53" s="6" t="n"/>
      <c r="R53" s="6" t="n"/>
      <c r="S53" s="6" t="n"/>
      <c r="T53" s="6" t="n"/>
      <c r="U53" s="6" t="n"/>
      <c r="V53" s="6" t="inlineStr">
        <is>
          <t>Iran</t>
        </is>
      </c>
      <c r="W53" s="6" t="n"/>
      <c r="X53" s="6" t="n"/>
      <c r="Y53" s="6" t="n"/>
      <c r="Z53" s="6" t="n"/>
      <c r="AA53" s="6" t="n"/>
      <c r="AB53" s="6" t="n"/>
      <c r="AC53" s="6" t="n"/>
      <c r="AD53" s="6" t="n"/>
      <c r="AE53" s="6" t="n"/>
      <c r="AF53" s="4" t="inlineStr">
        <is>
          <t>Iran</t>
        </is>
      </c>
      <c r="AG53" s="6" t="inlineStr">
        <is>
          <t>The IMF should engage a similar amount on climate change-related issues</t>
        </is>
      </c>
      <c r="AH53" s="6" t="inlineStr">
        <is>
          <t>To a slight extent</t>
        </is>
      </c>
      <c r="AI53" s="6" t="inlineStr">
        <is>
          <t>To a moderate extent</t>
        </is>
      </c>
      <c r="AJ53" s="6" t="inlineStr">
        <is>
          <t>To a slight extent</t>
        </is>
      </c>
      <c r="AK53" s="6" t="inlineStr">
        <is>
          <t>To a moderate extent</t>
        </is>
      </c>
      <c r="AL53" s="6" t="inlineStr">
        <is>
          <t>To a great extent</t>
        </is>
      </c>
      <c r="AM53" s="6" t="inlineStr">
        <is>
          <t>To a slight extent</t>
        </is>
      </c>
      <c r="AN53" s="6" t="inlineStr">
        <is>
          <t>To a slight extent</t>
        </is>
      </c>
      <c r="AO53" s="6" t="inlineStr">
        <is>
          <t>To a moderate extent</t>
        </is>
      </c>
      <c r="AP53" s="6" t="inlineStr">
        <is>
          <t>To a great extent</t>
        </is>
      </c>
      <c r="AQ53" s="6" t="inlineStr">
        <is>
          <t>To a great extent</t>
        </is>
      </c>
      <c r="AR53" s="6" t="inlineStr">
        <is>
          <t>To a moderate extent</t>
        </is>
      </c>
      <c r="AS53" s="6" t="n"/>
      <c r="AT53" s="6" t="inlineStr">
        <is>
          <t>Not at all</t>
        </is>
      </c>
      <c r="AU53" s="6" t="inlineStr">
        <is>
          <t>To a slight extent</t>
        </is>
      </c>
      <c r="AV53" s="6" t="inlineStr">
        <is>
          <t>To a slight extent</t>
        </is>
      </c>
      <c r="AW53" s="6" t="inlineStr">
        <is>
          <t>To a slight extent</t>
        </is>
      </c>
      <c r="AX53" s="6" t="inlineStr">
        <is>
          <t>Not at all</t>
        </is>
      </c>
      <c r="AY53" s="6" t="inlineStr">
        <is>
          <t>Not at all</t>
        </is>
      </c>
      <c r="AZ53" s="6" t="inlineStr">
        <is>
          <t>To a moderate extent</t>
        </is>
      </c>
      <c r="BA53" s="6" t="inlineStr">
        <is>
          <t>To a moderate extent</t>
        </is>
      </c>
      <c r="BB53" s="6" t="inlineStr">
        <is>
          <t>Not at all</t>
        </is>
      </c>
      <c r="BC53" s="6" t="inlineStr">
        <is>
          <t>To a slight extent</t>
        </is>
      </c>
      <c r="BD53" s="6" t="inlineStr">
        <is>
          <t>To a moderate extent</t>
        </is>
      </c>
      <c r="BE53" s="6" t="inlineStr">
        <is>
          <t>Not at all</t>
        </is>
      </c>
      <c r="BF53" s="6" t="inlineStr">
        <is>
          <t>To a slight extent</t>
        </is>
      </c>
      <c r="BG53" s="6" t="inlineStr">
        <is>
          <t>Not at all</t>
        </is>
      </c>
      <c r="BH53" s="6" t="inlineStr">
        <is>
          <t>Not at all</t>
        </is>
      </c>
      <c r="BI53" s="6" t="inlineStr">
        <is>
          <t>Not at all</t>
        </is>
      </c>
      <c r="BJ53" s="6" t="inlineStr">
        <is>
          <t>To a slight extent</t>
        </is>
      </c>
      <c r="BK53" s="6" t="inlineStr">
        <is>
          <t>To a great extent</t>
        </is>
      </c>
      <c r="BL53" s="6" t="inlineStr">
        <is>
          <t>Not at all</t>
        </is>
      </c>
      <c r="BM53" s="6" t="inlineStr">
        <is>
          <t>Not at all</t>
        </is>
      </c>
      <c r="BN53" s="6" t="inlineStr">
        <is>
          <t>To a moderate extent</t>
        </is>
      </c>
      <c r="BO53" s="6" t="inlineStr">
        <is>
          <t>To a moderate extent</t>
        </is>
      </c>
      <c r="BP53" s="6" t="inlineStr">
        <is>
          <t>Don’t know or not applicable</t>
        </is>
      </c>
      <c r="BQ53" s="6" t="inlineStr">
        <is>
          <t>Don’t know or not applicable</t>
        </is>
      </c>
      <c r="BR53" s="6" t="inlineStr">
        <is>
          <t>Don’t know or not applicable</t>
        </is>
      </c>
      <c r="BS53" s="6" t="n"/>
      <c r="BT53" s="6" t="inlineStr">
        <is>
          <t>The IMF should have dedicated less resources</t>
        </is>
      </c>
      <c r="BU53" s="6" t="inlineStr">
        <is>
          <t>To a moderate extent</t>
        </is>
      </c>
      <c r="BV53" s="6" t="inlineStr">
        <is>
          <t>Not at all</t>
        </is>
      </c>
      <c r="BW53" s="6" t="inlineStr">
        <is>
          <t>To a moderate extent</t>
        </is>
      </c>
      <c r="BX53" s="6" t="inlineStr">
        <is>
          <t>To a great extent</t>
        </is>
      </c>
      <c r="BY53" s="6" t="inlineStr">
        <is>
          <t>To a great extent</t>
        </is>
      </c>
      <c r="BZ53" s="6" t="inlineStr">
        <is>
          <t>To a great extent</t>
        </is>
      </c>
      <c r="CA53" s="6" t="inlineStr">
        <is>
          <t>To a moderate extent</t>
        </is>
      </c>
      <c r="CB53" s="6" t="inlineStr">
        <is>
          <t>To a slight extent</t>
        </is>
      </c>
      <c r="CC53" s="6" t="inlineStr">
        <is>
          <t>To a moderate extent</t>
        </is>
      </c>
      <c r="CD53" s="6" t="inlineStr">
        <is>
          <t>To a moderate extent</t>
        </is>
      </c>
      <c r="CE53" s="6" t="inlineStr">
        <is>
          <t>To a slight extent</t>
        </is>
      </c>
      <c r="CF53" s="6" t="inlineStr">
        <is>
          <t>To a moderate extent</t>
        </is>
      </c>
      <c r="CG53" s="6" t="n"/>
      <c r="CH53" s="6" t="inlineStr">
        <is>
          <t>No</t>
        </is>
      </c>
      <c r="CI53" s="6" t="inlineStr">
        <is>
          <t>No</t>
        </is>
      </c>
      <c r="CJ53" s="6" t="n"/>
      <c r="CK53" s="6" t="n"/>
      <c r="CL53" s="6" t="n"/>
      <c r="CM53" s="6" t="n"/>
      <c r="CN53" s="6" t="n"/>
      <c r="CO53" s="6" t="n"/>
      <c r="CP53" s="6" t="n"/>
      <c r="CQ53" s="6" t="n"/>
      <c r="CR53" s="6" t="n"/>
      <c r="CS53" s="6" t="n"/>
      <c r="CT53" s="6" t="n"/>
      <c r="CU53" s="6" t="n"/>
      <c r="CV53" s="6" t="n"/>
      <c r="CW53" s="6" t="n"/>
      <c r="CX53" s="6" t="n"/>
      <c r="CY53" s="6" t="n"/>
      <c r="CZ53" s="6" t="n"/>
      <c r="DA53" s="6" t="n"/>
      <c r="DB53" s="6" t="n"/>
      <c r="DC53" s="6" t="n"/>
      <c r="DD53" s="6" t="n"/>
      <c r="DE53" s="6" t="n"/>
      <c r="DF53" s="6" t="n"/>
      <c r="DG53" s="6" t="n"/>
      <c r="DH53" s="6" t="n"/>
      <c r="DI53" s="6" t="n"/>
      <c r="DJ53" s="6" t="n"/>
      <c r="DK53" s="6" t="n"/>
      <c r="DL53" s="6" t="n"/>
      <c r="DM53" s="6" t="n"/>
      <c r="DN53" s="6" t="n"/>
      <c r="DO53" s="6" t="n"/>
      <c r="DP53" s="6" t="inlineStr">
        <is>
          <t>My country is not eligible for an RSF arrangement</t>
        </is>
      </c>
      <c r="DQ53" s="6" t="n"/>
      <c r="DR53" s="6" t="n"/>
      <c r="DS53" s="6" t="n"/>
      <c r="DT53" s="6" t="n"/>
      <c r="DU53" s="6" t="n"/>
      <c r="DV53" s="6" t="n"/>
      <c r="DW53" s="6" t="inlineStr">
        <is>
          <t>No</t>
        </is>
      </c>
      <c r="DX53" s="6" t="n"/>
      <c r="DY53" s="6" t="n"/>
      <c r="DZ53" s="6" t="n"/>
      <c r="EA53" s="6" t="n"/>
      <c r="EB53" s="6" t="n"/>
      <c r="EC53" s="6" t="n"/>
      <c r="ED53" s="6" t="n"/>
      <c r="EE53" s="6" t="n"/>
      <c r="EF53" s="6" t="inlineStr">
        <is>
          <t>Don’t know or not applicable</t>
        </is>
      </c>
      <c r="EG53" s="6" t="inlineStr">
        <is>
          <t>Don’t know or not applicable</t>
        </is>
      </c>
      <c r="EH53" s="6" t="inlineStr">
        <is>
          <t>Don’t know or not applicable</t>
        </is>
      </c>
      <c r="EI53" s="6" t="inlineStr">
        <is>
          <t>Don’t know or not applicable</t>
        </is>
      </c>
      <c r="EJ53" s="6" t="inlineStr">
        <is>
          <t>Don’t know or not applicable</t>
        </is>
      </c>
      <c r="EK53" s="6" t="inlineStr">
        <is>
          <t>Don’t know or not applicable</t>
        </is>
      </c>
      <c r="EL53" s="6" t="inlineStr">
        <is>
          <t>Don’t know or not applicable</t>
        </is>
      </c>
      <c r="EM53" s="6" t="n"/>
      <c r="EN53" s="6" t="n"/>
      <c r="EO53" s="6" t="n"/>
      <c r="EP53" s="6" t="n"/>
      <c r="EQ53" s="6" t="inlineStr">
        <is>
          <t>Not at all</t>
        </is>
      </c>
      <c r="ER53" s="6" t="inlineStr">
        <is>
          <t>To a slight extent</t>
        </is>
      </c>
      <c r="ES53" s="6" t="n"/>
      <c r="ET53" s="6" t="n"/>
      <c r="EU53" s="6" t="n"/>
      <c r="EV53" s="6" t="n"/>
      <c r="EW53" s="6" t="n"/>
      <c r="EX53" s="6" t="n"/>
      <c r="EY53" s="6" t="n"/>
      <c r="EZ53" s="6" t="n"/>
      <c r="FA53" s="6" t="n"/>
      <c r="FB53" s="6" t="n"/>
      <c r="FC53" s="6" t="n"/>
      <c r="FD53" s="6" t="n"/>
      <c r="FE53" s="6" t="n"/>
      <c r="FF53" s="6" t="n"/>
      <c r="FG53" s="6" t="n"/>
      <c r="FH53" s="6" t="inlineStr">
        <is>
          <t>To a slight extent</t>
        </is>
      </c>
      <c r="FI53" s="6" t="inlineStr">
        <is>
          <t>Not at all</t>
        </is>
      </c>
      <c r="FJ53" s="6" t="inlineStr">
        <is>
          <t>Not at all</t>
        </is>
      </c>
      <c r="FK53" s="6" t="inlineStr">
        <is>
          <t>Not at all</t>
        </is>
      </c>
      <c r="FL53" s="6" t="inlineStr">
        <is>
          <t>Not at all</t>
        </is>
      </c>
      <c r="FM53" s="6" t="inlineStr">
        <is>
          <t>Not at all</t>
        </is>
      </c>
      <c r="FN53" s="6" t="inlineStr">
        <is>
          <t>Not at all</t>
        </is>
      </c>
      <c r="FO53" s="6" t="inlineStr">
        <is>
          <t>Not at all</t>
        </is>
      </c>
      <c r="FP53" s="6" t="inlineStr">
        <is>
          <t>Not at all</t>
        </is>
      </c>
      <c r="FQ53" s="6" t="inlineStr">
        <is>
          <t>Not at all</t>
        </is>
      </c>
      <c r="FR53" s="6" t="inlineStr">
        <is>
          <t>To a moderate extent</t>
        </is>
      </c>
      <c r="FS53" s="6" t="inlineStr">
        <is>
          <t>Don’t know or not applicable</t>
        </is>
      </c>
      <c r="FT53" s="6" t="inlineStr">
        <is>
          <t>Don’t know or not applicable</t>
        </is>
      </c>
      <c r="FU53" s="6" t="inlineStr">
        <is>
          <t>Don’t know or not applicable</t>
        </is>
      </c>
      <c r="FV53" s="6" t="n"/>
      <c r="FW53" s="6" t="inlineStr">
        <is>
          <t>The IMF dedicated the appropriate amount of resources</t>
        </is>
      </c>
      <c r="FX53" s="6" t="n"/>
      <c r="FY53" s="6" t="inlineStr">
        <is>
          <t>Not at all</t>
        </is>
      </c>
      <c r="FZ53" s="6" t="inlineStr">
        <is>
          <t>To a slight extent</t>
        </is>
      </c>
      <c r="GA53" s="6" t="inlineStr">
        <is>
          <t>To a moderate extent</t>
        </is>
      </c>
      <c r="GB53" s="6" t="inlineStr">
        <is>
          <t>To a slight extent</t>
        </is>
      </c>
      <c r="GC53" s="6" t="inlineStr">
        <is>
          <t>Don’t know or not applicable</t>
        </is>
      </c>
      <c r="GD53" s="6" t="n"/>
      <c r="GE53" s="6" t="inlineStr">
        <is>
          <t>To a great extent</t>
        </is>
      </c>
      <c r="GF53" s="6" t="inlineStr">
        <is>
          <t>To a slight extent</t>
        </is>
      </c>
      <c r="GG53" s="6" t="inlineStr">
        <is>
          <t>To a great extent</t>
        </is>
      </c>
      <c r="GH53" s="6" t="inlineStr">
        <is>
          <t>To a slight extent</t>
        </is>
      </c>
      <c r="GI53" s="6" t="inlineStr">
        <is>
          <t>To a moderate extent</t>
        </is>
      </c>
      <c r="GJ53" s="6" t="inlineStr">
        <is>
          <t>To a slight extent</t>
        </is>
      </c>
      <c r="GK53" s="6" t="n"/>
      <c r="GL53" s="7">
        <f>DATE(2025,5,19)+TIME(17,50,2)</f>
        <v/>
      </c>
    </row>
    <row r="54" ht="47.25" customHeight="1">
      <c r="A54" s="3" t="inlineStr">
        <is>
          <t>Kofi</t>
        </is>
      </c>
      <c r="B54" s="3" t="inlineStr">
        <is>
          <t>Yamamoto</t>
        </is>
      </c>
      <c r="C54" s="3" t="inlineStr">
        <is>
          <t>kyamamoto@organization.org</t>
        </is>
      </c>
      <c r="D54" s="3" t="inlineStr">
        <is>
          <t>84NKT70OP</t>
        </is>
      </c>
      <c r="E54" s="3" t="n"/>
      <c r="F54" s="3" t="inlineStr">
        <is>
          <t>OEDAP</t>
        </is>
      </c>
      <c r="G54" s="3" t="n"/>
      <c r="H54" s="3" t="n"/>
      <c r="I54" s="3" t="inlineStr">
        <is>
          <t>New Zealand</t>
        </is>
      </c>
      <c r="J54" s="3" t="n"/>
      <c r="K54" s="3" t="n"/>
      <c r="L54" s="3" t="n"/>
      <c r="M54" s="3" t="n"/>
      <c r="N54" s="3" t="n"/>
      <c r="O54" s="3" t="n"/>
      <c r="P54" s="3" t="n"/>
      <c r="Q54" s="3" t="n"/>
      <c r="R54" s="3" t="n"/>
      <c r="S54" s="3" t="n"/>
      <c r="T54" s="3" t="n"/>
      <c r="U54" s="3" t="n"/>
      <c r="V54" s="3" t="n"/>
      <c r="W54" s="3" t="n"/>
      <c r="X54" s="3" t="n"/>
      <c r="Y54" s="3" t="n"/>
      <c r="Z54" s="3" t="n"/>
      <c r="AA54" s="3" t="n"/>
      <c r="AB54" s="3" t="n"/>
      <c r="AC54" s="3" t="n"/>
      <c r="AD54" s="3" t="n"/>
      <c r="AE54" s="3" t="n"/>
      <c r="AF54" s="4" t="inlineStr">
        <is>
          <t>New Zealand</t>
        </is>
      </c>
      <c r="AG54" s="3" t="inlineStr">
        <is>
          <t>The IMF should engage a similar amount on climate change-related issues</t>
        </is>
      </c>
      <c r="AH54" s="3" t="inlineStr">
        <is>
          <t>To a moderate extent</t>
        </is>
      </c>
      <c r="AI54" s="3" t="inlineStr">
        <is>
          <t>To a moderate extent</t>
        </is>
      </c>
      <c r="AJ54" s="3" t="inlineStr">
        <is>
          <t>To a great extent</t>
        </is>
      </c>
      <c r="AK54" s="3" t="inlineStr">
        <is>
          <t>To a slight extent</t>
        </is>
      </c>
      <c r="AL54" s="3" t="inlineStr">
        <is>
          <t>Not at all</t>
        </is>
      </c>
      <c r="AM54" s="3" t="inlineStr">
        <is>
          <t>To a slight extent</t>
        </is>
      </c>
      <c r="AN54" s="3" t="inlineStr">
        <is>
          <t>Not at all</t>
        </is>
      </c>
      <c r="AO54" s="3" t="inlineStr">
        <is>
          <t>Not at all</t>
        </is>
      </c>
      <c r="AP54" s="3" t="inlineStr">
        <is>
          <t>Not at all</t>
        </is>
      </c>
      <c r="AQ54" s="3" t="inlineStr">
        <is>
          <t>To a slight extent</t>
        </is>
      </c>
      <c r="AR54" s="3" t="inlineStr">
        <is>
          <t>To a slight extent</t>
        </is>
      </c>
      <c r="AS54" s="3" t="n"/>
      <c r="AT54" s="3" t="inlineStr">
        <is>
          <t>To a slight extent</t>
        </is>
      </c>
      <c r="AU54" s="3" t="inlineStr">
        <is>
          <t>To a moderate extent</t>
        </is>
      </c>
      <c r="AV54" s="3" t="inlineStr">
        <is>
          <t>Not at all</t>
        </is>
      </c>
      <c r="AW54" s="3" t="inlineStr">
        <is>
          <t>To a slight extent</t>
        </is>
      </c>
      <c r="AX54" s="3" t="inlineStr">
        <is>
          <t>To a slight extent</t>
        </is>
      </c>
      <c r="AY54" s="3" t="inlineStr">
        <is>
          <t>To a great extent</t>
        </is>
      </c>
      <c r="AZ54" s="3" t="inlineStr">
        <is>
          <t>To a moderate extent</t>
        </is>
      </c>
      <c r="BA54" s="3" t="inlineStr">
        <is>
          <t>To a slight extent</t>
        </is>
      </c>
      <c r="BB54" s="3" t="inlineStr">
        <is>
          <t>To a moderate extent</t>
        </is>
      </c>
      <c r="BC54" s="3" t="inlineStr">
        <is>
          <t>To a slight extent</t>
        </is>
      </c>
      <c r="BD54" s="3" t="inlineStr">
        <is>
          <t>To a great extent</t>
        </is>
      </c>
      <c r="BE54" s="3" t="inlineStr">
        <is>
          <t>Don’t know or not applicable</t>
        </is>
      </c>
      <c r="BF54" s="3" t="inlineStr">
        <is>
          <t>Don’t know or not applicable</t>
        </is>
      </c>
      <c r="BG54" s="3" t="inlineStr">
        <is>
          <t>Don’t know or not applicable</t>
        </is>
      </c>
      <c r="BH54" s="3" t="inlineStr">
        <is>
          <t>Don’t know or not applicable</t>
        </is>
      </c>
      <c r="BI54" s="3" t="inlineStr">
        <is>
          <t>Don’t know or not applicable</t>
        </is>
      </c>
      <c r="BJ54" s="3" t="inlineStr">
        <is>
          <t>To a moderate extent</t>
        </is>
      </c>
      <c r="BK54" s="3" t="inlineStr">
        <is>
          <t>To a moderate extent</t>
        </is>
      </c>
      <c r="BL54" s="3" t="inlineStr">
        <is>
          <t>To a slight extent</t>
        </is>
      </c>
      <c r="BM54" s="3" t="inlineStr">
        <is>
          <t>To a slight extent</t>
        </is>
      </c>
      <c r="BN54" s="3" t="inlineStr">
        <is>
          <t>To a moderate extent</t>
        </is>
      </c>
      <c r="BO54" s="3" t="inlineStr">
        <is>
          <t>Don’t know or not applicable</t>
        </is>
      </c>
      <c r="BP54" s="3" t="inlineStr">
        <is>
          <t>Don’t know or not applicable</t>
        </is>
      </c>
      <c r="BQ54" s="3" t="inlineStr">
        <is>
          <t>Don’t know or not applicable</t>
        </is>
      </c>
      <c r="BR54" s="3" t="inlineStr">
        <is>
          <t>Don’t know or not applicable</t>
        </is>
      </c>
      <c r="BS54" s="3" t="n"/>
      <c r="BT54" s="3" t="inlineStr">
        <is>
          <t>The IMF dedicated an appropriate amount of resources</t>
        </is>
      </c>
      <c r="BU54" s="3" t="inlineStr">
        <is>
          <t>To a great extent</t>
        </is>
      </c>
      <c r="BV54" s="3" t="inlineStr">
        <is>
          <t>To a moderate extent</t>
        </is>
      </c>
      <c r="BW54" s="3" t="inlineStr">
        <is>
          <t>To a moderate extent</t>
        </is>
      </c>
      <c r="BX54" s="3" t="inlineStr">
        <is>
          <t>To a great extent</t>
        </is>
      </c>
      <c r="BY54" s="3" t="inlineStr">
        <is>
          <t>To a slight extent</t>
        </is>
      </c>
      <c r="BZ54" s="3" t="inlineStr">
        <is>
          <t>To a slight extent</t>
        </is>
      </c>
      <c r="CA54" s="3" t="inlineStr">
        <is>
          <t>To a great extent</t>
        </is>
      </c>
      <c r="CB54" s="3" t="inlineStr">
        <is>
          <t>To a moderate extent</t>
        </is>
      </c>
      <c r="CC54" s="3" t="inlineStr">
        <is>
          <t>To a slight extent</t>
        </is>
      </c>
      <c r="CD54" s="3" t="inlineStr">
        <is>
          <t>To a great extent</t>
        </is>
      </c>
      <c r="CE54" s="3" t="inlineStr">
        <is>
          <t>To a slight extent</t>
        </is>
      </c>
      <c r="CF54" s="3" t="inlineStr">
        <is>
          <t>To a slight extent</t>
        </is>
      </c>
      <c r="CG54" s="3" t="n"/>
      <c r="CH54" s="3" t="inlineStr">
        <is>
          <t>No</t>
        </is>
      </c>
      <c r="CI54" s="3" t="inlineStr">
        <is>
          <t>No</t>
        </is>
      </c>
      <c r="CJ54" s="3" t="n"/>
      <c r="CK54" s="3" t="n"/>
      <c r="CL54" s="3" t="n"/>
      <c r="CM54" s="3" t="n"/>
      <c r="CN54" s="3" t="n"/>
      <c r="CO54" s="3" t="n"/>
      <c r="CP54" s="3" t="n"/>
      <c r="CQ54" s="3" t="n"/>
      <c r="CR54" s="3" t="n"/>
      <c r="CS54" s="3" t="n"/>
      <c r="CT54" s="3" t="n"/>
      <c r="CU54" s="3" t="n"/>
      <c r="CV54" s="3" t="n"/>
      <c r="CW54" s="3" t="n"/>
      <c r="CX54" s="3" t="n"/>
      <c r="CY54" s="3" t="n"/>
      <c r="CZ54" s="3" t="n"/>
      <c r="DA54" s="3" t="n"/>
      <c r="DB54" s="3" t="n"/>
      <c r="DC54" s="3" t="n"/>
      <c r="DD54" s="3" t="n"/>
      <c r="DE54" s="3" t="n"/>
      <c r="DF54" s="3" t="n"/>
      <c r="DG54" s="3" t="n"/>
      <c r="DH54" s="3" t="n"/>
      <c r="DI54" s="3" t="n"/>
      <c r="DJ54" s="3" t="n"/>
      <c r="DK54" s="3" t="n"/>
      <c r="DL54" s="3" t="n"/>
      <c r="DM54" s="3" t="n"/>
      <c r="DN54" s="3" t="n"/>
      <c r="DO54" s="3" t="n"/>
      <c r="DP54" s="3" t="inlineStr">
        <is>
          <t>My country is not eligible for an RSF arrangement</t>
        </is>
      </c>
      <c r="DQ54" s="3" t="n"/>
      <c r="DR54" s="3" t="n"/>
      <c r="DS54" s="3" t="n"/>
      <c r="DT54" s="3" t="n"/>
      <c r="DU54" s="3" t="n"/>
      <c r="DV54" s="3" t="n"/>
      <c r="DW54" s="3" t="inlineStr">
        <is>
          <t>No</t>
        </is>
      </c>
      <c r="DX54" s="3" t="n"/>
      <c r="DY54" s="3" t="n"/>
      <c r="DZ54" s="3" t="n"/>
      <c r="EA54" s="3" t="n"/>
      <c r="EB54" s="3" t="n"/>
      <c r="EC54" s="3" t="n"/>
      <c r="ED54" s="3" t="n"/>
      <c r="EE54" s="3" t="n"/>
      <c r="EF54" s="3" t="inlineStr">
        <is>
          <t>To a slight extent</t>
        </is>
      </c>
      <c r="EG54" s="3" t="inlineStr">
        <is>
          <t>Not at all</t>
        </is>
      </c>
      <c r="EH54" s="3" t="inlineStr">
        <is>
          <t>To a moderate extent</t>
        </is>
      </c>
      <c r="EI54" s="3" t="inlineStr">
        <is>
          <t>To a slight extent</t>
        </is>
      </c>
      <c r="EJ54" s="3" t="inlineStr">
        <is>
          <t>To a great extent</t>
        </is>
      </c>
      <c r="EK54" s="3" t="inlineStr">
        <is>
          <t>Not at all</t>
        </is>
      </c>
      <c r="EL54" s="3" t="inlineStr">
        <is>
          <t>To a moderate extent</t>
        </is>
      </c>
      <c r="EM54" s="3" t="n"/>
      <c r="EN54" s="3" t="n"/>
      <c r="EO54" s="3" t="n"/>
      <c r="EP54" s="3" t="n"/>
      <c r="EQ54" s="3" t="inlineStr">
        <is>
          <t>Not at all</t>
        </is>
      </c>
      <c r="ER54" s="3" t="inlineStr">
        <is>
          <t>Not at all</t>
        </is>
      </c>
      <c r="ES54" s="3" t="n"/>
      <c r="ET54" s="3" t="n"/>
      <c r="EU54" s="3" t="n"/>
      <c r="EV54" s="3" t="n"/>
      <c r="EW54" s="3" t="n"/>
      <c r="EX54" s="3" t="n"/>
      <c r="EY54" s="3" t="n"/>
      <c r="EZ54" s="3" t="n"/>
      <c r="FA54" s="3" t="n"/>
      <c r="FB54" s="3" t="n"/>
      <c r="FC54" s="3" t="n"/>
      <c r="FD54" s="3" t="n"/>
      <c r="FE54" s="3" t="n"/>
      <c r="FF54" s="3" t="n"/>
      <c r="FG54" s="3" t="n"/>
      <c r="FH54" s="3" t="n"/>
      <c r="FI54" s="3" t="n"/>
      <c r="FJ54" s="3" t="n"/>
      <c r="FK54" s="3" t="n"/>
      <c r="FL54" s="3" t="n"/>
      <c r="FM54" s="3" t="n"/>
      <c r="FN54" s="3" t="n"/>
      <c r="FO54" s="3" t="n"/>
      <c r="FP54" s="3" t="n"/>
      <c r="FQ54" s="3" t="n"/>
      <c r="FR54" s="3" t="n"/>
      <c r="FS54" s="3" t="n"/>
      <c r="FT54" s="3" t="n"/>
      <c r="FU54" s="3" t="n"/>
      <c r="FV54" s="3" t="n"/>
      <c r="FW54" s="3" t="n"/>
      <c r="FX54" s="3" t="n"/>
      <c r="FY54" s="3" t="inlineStr">
        <is>
          <t>To a slight extent</t>
        </is>
      </c>
      <c r="FZ54" s="3" t="inlineStr">
        <is>
          <t>To a slight extent</t>
        </is>
      </c>
      <c r="GA54" s="3" t="inlineStr">
        <is>
          <t>To a moderate extent</t>
        </is>
      </c>
      <c r="GB54" s="3" t="inlineStr">
        <is>
          <t>To a slight extent</t>
        </is>
      </c>
      <c r="GC54" s="3" t="inlineStr">
        <is>
          <t>Don’t know or not applicable</t>
        </is>
      </c>
      <c r="GD54" s="3" t="n"/>
      <c r="GE54" s="3" t="inlineStr">
        <is>
          <t>To a slight extent</t>
        </is>
      </c>
      <c r="GF54" s="3" t="inlineStr">
        <is>
          <t>To a moderate extent</t>
        </is>
      </c>
      <c r="GG54" s="3" t="inlineStr">
        <is>
          <t>To a moderate extent</t>
        </is>
      </c>
      <c r="GH54" s="3" t="inlineStr">
        <is>
          <t>To a slight extent</t>
        </is>
      </c>
      <c r="GI54" s="3" t="inlineStr">
        <is>
          <t>To a great extent</t>
        </is>
      </c>
      <c r="GJ54" s="3" t="inlineStr">
        <is>
          <t>To a moderate extent</t>
        </is>
      </c>
      <c r="GK54" s="3" t="n"/>
      <c r="GL54" s="5">
        <f>DATE(2025,6,6)+TIME(14,49,26)</f>
        <v/>
      </c>
    </row>
    <row r="55" ht="204.75" customHeight="1">
      <c r="A55" s="6" t="inlineStr">
        <is>
          <t>Tariq</t>
        </is>
      </c>
      <c r="B55" s="6" t="inlineStr">
        <is>
          <t>Janssen</t>
        </is>
      </c>
      <c r="C55" s="6" t="inlineStr">
        <is>
          <t>tjanssen@organization.org</t>
        </is>
      </c>
      <c r="D55" s="6" t="inlineStr">
        <is>
          <t>97X2CODZY</t>
        </is>
      </c>
      <c r="E55" s="6" t="n"/>
      <c r="F55" s="6" t="inlineStr">
        <is>
          <t>OEDMD</t>
        </is>
      </c>
      <c r="G55" s="6" t="n"/>
      <c r="H55" s="6" t="n"/>
      <c r="I55" s="6" t="n"/>
      <c r="J55" s="6" t="n"/>
      <c r="K55" s="6" t="n"/>
      <c r="L55" s="6" t="n"/>
      <c r="M55" s="6" t="n"/>
      <c r="N55" s="6" t="n"/>
      <c r="O55" s="6" t="n"/>
      <c r="P55" s="6" t="n"/>
      <c r="Q55" s="6" t="n"/>
      <c r="R55" s="6" t="n"/>
      <c r="S55" s="6" t="n"/>
      <c r="T55" s="6" t="n"/>
      <c r="U55" s="6" t="n"/>
      <c r="V55" s="6" t="inlineStr">
        <is>
          <t>Morocco</t>
        </is>
      </c>
      <c r="W55" s="6" t="n"/>
      <c r="X55" s="6" t="n"/>
      <c r="Y55" s="6" t="n"/>
      <c r="Z55" s="6" t="n"/>
      <c r="AA55" s="6" t="n"/>
      <c r="AB55" s="6" t="n"/>
      <c r="AC55" s="6" t="n"/>
      <c r="AD55" s="6" t="n"/>
      <c r="AE55" s="6" t="n"/>
      <c r="AF55" s="4" t="inlineStr">
        <is>
          <t>Morocco</t>
        </is>
      </c>
      <c r="AG55" s="6" t="inlineStr">
        <is>
          <t>The IMF should engage more on climate change-related issues</t>
        </is>
      </c>
      <c r="AH55" s="6" t="inlineStr">
        <is>
          <t>To a slight extent</t>
        </is>
      </c>
      <c r="AI55" s="6" t="inlineStr">
        <is>
          <t>To a slight extent</t>
        </is>
      </c>
      <c r="AJ55" s="6" t="inlineStr">
        <is>
          <t>Don’t know or not applicable</t>
        </is>
      </c>
      <c r="AK55" s="6" t="inlineStr">
        <is>
          <t>To a moderate extent</t>
        </is>
      </c>
      <c r="AL55" s="6" t="inlineStr">
        <is>
          <t>To a moderate extent</t>
        </is>
      </c>
      <c r="AM55" s="6" t="inlineStr">
        <is>
          <t>To a great extent</t>
        </is>
      </c>
      <c r="AN55" s="6" t="inlineStr">
        <is>
          <t>To a moderate extent</t>
        </is>
      </c>
      <c r="AO55" s="6" t="inlineStr">
        <is>
          <t>To a slight extent</t>
        </is>
      </c>
      <c r="AP55" s="6" t="inlineStr">
        <is>
          <t>To a slight extent</t>
        </is>
      </c>
      <c r="AQ55" s="6" t="inlineStr">
        <is>
          <t>To a slight extent</t>
        </is>
      </c>
      <c r="AR55" s="6" t="inlineStr">
        <is>
          <t>To a great extent</t>
        </is>
      </c>
      <c r="AS55" s="6" t="n"/>
      <c r="AT55" s="6" t="inlineStr">
        <is>
          <t>To a great extent</t>
        </is>
      </c>
      <c r="AU55" s="6" t="inlineStr">
        <is>
          <t>To a moderate extent</t>
        </is>
      </c>
      <c r="AV55" s="6" t="inlineStr">
        <is>
          <t>To a slight extent</t>
        </is>
      </c>
      <c r="AW55" s="6" t="inlineStr">
        <is>
          <t>To a moderate extent</t>
        </is>
      </c>
      <c r="AX55" s="6" t="inlineStr">
        <is>
          <t>To a moderate extent</t>
        </is>
      </c>
      <c r="AY55" s="6" t="inlineStr">
        <is>
          <t>Don’t know or not applicable</t>
        </is>
      </c>
      <c r="AZ55" s="6" t="inlineStr">
        <is>
          <t>To a moderate extent</t>
        </is>
      </c>
      <c r="BA55" s="6" t="inlineStr">
        <is>
          <t>To a slight extent</t>
        </is>
      </c>
      <c r="BB55" s="6" t="inlineStr">
        <is>
          <t>To a slight extent</t>
        </is>
      </c>
      <c r="BC55" s="6" t="inlineStr">
        <is>
          <t>To a slight extent</t>
        </is>
      </c>
      <c r="BD55" s="6" t="inlineStr">
        <is>
          <t>To a moderate extent</t>
        </is>
      </c>
      <c r="BE55" s="6" t="inlineStr">
        <is>
          <t>Don’t know or not applicable</t>
        </is>
      </c>
      <c r="BF55" s="6" t="inlineStr">
        <is>
          <t>Don’t know or not applicable</t>
        </is>
      </c>
      <c r="BG55" s="6" t="inlineStr">
        <is>
          <t>Don’t know or not applicable</t>
        </is>
      </c>
      <c r="BH55" s="6" t="inlineStr">
        <is>
          <t>Don’t know or not applicable</t>
        </is>
      </c>
      <c r="BI55" s="6" t="inlineStr">
        <is>
          <t>Don’t know or not applicable</t>
        </is>
      </c>
      <c r="BJ55" s="6" t="inlineStr">
        <is>
          <t>To a moderate extent</t>
        </is>
      </c>
      <c r="BK55" s="6" t="inlineStr">
        <is>
          <t>To a slight extent</t>
        </is>
      </c>
      <c r="BL55" s="6" t="inlineStr">
        <is>
          <t>To a slight extent</t>
        </is>
      </c>
      <c r="BM55" s="6" t="inlineStr">
        <is>
          <t>To a slight extent</t>
        </is>
      </c>
      <c r="BN55" s="6" t="inlineStr">
        <is>
          <t>To a slight extent</t>
        </is>
      </c>
      <c r="BO55" s="6" t="inlineStr">
        <is>
          <t>To a moderate extent</t>
        </is>
      </c>
      <c r="BP55" s="6" t="inlineStr">
        <is>
          <t>To a moderate extent</t>
        </is>
      </c>
      <c r="BQ55" s="6" t="inlineStr">
        <is>
          <t>To a moderate extent</t>
        </is>
      </c>
      <c r="BR55" s="6" t="inlineStr">
        <is>
          <t>Don’t know or not applicable</t>
        </is>
      </c>
      <c r="BS55" s="6" t="n"/>
      <c r="BT55" s="6" t="inlineStr">
        <is>
          <t>The IMF should have dedicated more resources</t>
        </is>
      </c>
      <c r="BU55" s="6" t="inlineStr">
        <is>
          <t>To a great extent</t>
        </is>
      </c>
      <c r="BV55" s="6" t="inlineStr">
        <is>
          <t>To a great extent</t>
        </is>
      </c>
      <c r="BW55" s="6" t="inlineStr">
        <is>
          <t>To a moderate extent</t>
        </is>
      </c>
      <c r="BX55" s="6" t="inlineStr">
        <is>
          <t>To a great extent</t>
        </is>
      </c>
      <c r="BY55" s="6" t="inlineStr">
        <is>
          <t>To a great extent</t>
        </is>
      </c>
      <c r="BZ55" s="6" t="inlineStr">
        <is>
          <t>To a moderate extent</t>
        </is>
      </c>
      <c r="CA55" s="6" t="inlineStr">
        <is>
          <t>Don’t know or not applicable</t>
        </is>
      </c>
      <c r="CB55" s="6" t="inlineStr">
        <is>
          <t>Don’t know or not applicable</t>
        </is>
      </c>
      <c r="CC55" s="6" t="inlineStr">
        <is>
          <t>Don’t know or not applicable</t>
        </is>
      </c>
      <c r="CD55" s="6" t="inlineStr">
        <is>
          <t>To a great extent</t>
        </is>
      </c>
      <c r="CE55" s="6" t="inlineStr">
        <is>
          <t>To a great extent</t>
        </is>
      </c>
      <c r="CF55" s="6" t="inlineStr">
        <is>
          <t>To a great extent</t>
        </is>
      </c>
      <c r="CG55" s="6" t="n"/>
      <c r="CH55" s="6" t="inlineStr">
        <is>
          <t>Yes</t>
        </is>
      </c>
      <c r="CI55" s="6" t="inlineStr">
        <is>
          <t>Yes</t>
        </is>
      </c>
      <c r="CJ55" s="6" t="inlineStr">
        <is>
          <t>To a moderate extent</t>
        </is>
      </c>
      <c r="CK55" s="6" t="inlineStr">
        <is>
          <t>To a great extent</t>
        </is>
      </c>
      <c r="CL55" s="6" t="inlineStr">
        <is>
          <t>To a great extent</t>
        </is>
      </c>
      <c r="CM55" s="6" t="inlineStr">
        <is>
          <t>To a moderate extent</t>
        </is>
      </c>
      <c r="CN55" s="6" t="inlineStr">
        <is>
          <t>To a slight extent</t>
        </is>
      </c>
      <c r="CO55" s="6" t="inlineStr">
        <is>
          <t>To a moderate extent</t>
        </is>
      </c>
      <c r="CP55" s="6" t="inlineStr">
        <is>
          <t>To a great extent</t>
        </is>
      </c>
      <c r="CQ55" s="6" t="inlineStr">
        <is>
          <t>To a great extent</t>
        </is>
      </c>
      <c r="CR55" s="6" t="inlineStr">
        <is>
          <t>To a moderate extent</t>
        </is>
      </c>
      <c r="CS55" s="6" t="inlineStr">
        <is>
          <t>To a great extent</t>
        </is>
      </c>
      <c r="CT55" s="6" t="inlineStr">
        <is>
          <t>To a moderate extent</t>
        </is>
      </c>
      <c r="CU55" s="6" t="inlineStr">
        <is>
          <t>To a great extent</t>
        </is>
      </c>
      <c r="CV55" s="6" t="inlineStr">
        <is>
          <t>Don’t know or not applicable</t>
        </is>
      </c>
      <c r="CW55" s="6" t="inlineStr">
        <is>
          <t>To a great extent</t>
        </is>
      </c>
      <c r="CX55" s="6" t="inlineStr">
        <is>
          <t>To a great extent</t>
        </is>
      </c>
      <c r="CY55" s="6" t="inlineStr">
        <is>
          <t>To a great extent</t>
        </is>
      </c>
      <c r="CZ55" s="6" t="inlineStr">
        <is>
          <t>Don’t know or not applicable</t>
        </is>
      </c>
      <c r="DA55" s="6" t="inlineStr">
        <is>
          <t>To a slight extent</t>
        </is>
      </c>
      <c r="DB55" s="6" t="inlineStr">
        <is>
          <t>Additional new spending</t>
        </is>
      </c>
      <c r="DC55" s="6" t="n"/>
      <c r="DD55" s="6" t="n"/>
      <c r="DE55" s="6" t="inlineStr">
        <is>
          <t>Building reserves</t>
        </is>
      </c>
      <c r="DF55" s="6" t="inlineStr">
        <is>
          <t>Climate change-related policies</t>
        </is>
      </c>
      <c r="DG55" s="6" t="n"/>
      <c r="DH55" s="6" t="inlineStr">
        <is>
          <t>To a slight extent</t>
        </is>
      </c>
      <c r="DI55" s="6" t="inlineStr">
        <is>
          <t>To a great extent</t>
        </is>
      </c>
      <c r="DJ55" s="6" t="inlineStr">
        <is>
          <t>To a great extent</t>
        </is>
      </c>
      <c r="DK55" s="6" t="inlineStr">
        <is>
          <t>To a moderate extent</t>
        </is>
      </c>
      <c r="DL55" s="6" t="inlineStr">
        <is>
          <t>Don’t know or not applicable</t>
        </is>
      </c>
      <c r="DM55" s="6" t="inlineStr">
        <is>
          <t>Don’t know or not applicable</t>
        </is>
      </c>
      <c r="DN55" s="6" t="inlineStr">
        <is>
          <t>Don’t know or not applicable</t>
        </is>
      </c>
      <c r="DO55" s="6" t="n"/>
      <c r="DP55" s="6" t="n"/>
      <c r="DQ55" s="6" t="n"/>
      <c r="DR55" s="6" t="n"/>
      <c r="DS55" s="6" t="n"/>
      <c r="DT55" s="6" t="n"/>
      <c r="DU55" s="6" t="n"/>
      <c r="DV55" s="6" t="n"/>
      <c r="DW55" s="6" t="inlineStr">
        <is>
          <t>Yes</t>
        </is>
      </c>
      <c r="DX55" s="6" t="inlineStr">
        <is>
          <t>World Bank Group</t>
        </is>
      </c>
      <c r="DY55" s="6" t="n"/>
      <c r="DZ55" s="6" t="inlineStr">
        <is>
          <t>Bilateral sources</t>
        </is>
      </c>
      <c r="EA55" s="6" t="n"/>
      <c r="EB55" s="6" t="n"/>
      <c r="EC55" s="6" t="inlineStr">
        <is>
          <t>Don’t know or not applicable</t>
        </is>
      </c>
      <c r="ED55" s="6" t="inlineStr">
        <is>
          <t>Don’t know or not applicable</t>
        </is>
      </c>
      <c r="EE55" s="6" t="inlineStr">
        <is>
          <t>Don’t know or not applicable</t>
        </is>
      </c>
      <c r="EF55" s="6" t="inlineStr">
        <is>
          <t>Don’t know or not applicable</t>
        </is>
      </c>
      <c r="EG55" s="6" t="inlineStr">
        <is>
          <t>Don’t know or not applicable</t>
        </is>
      </c>
      <c r="EH55" s="6" t="inlineStr">
        <is>
          <t>To a moderate extent</t>
        </is>
      </c>
      <c r="EI55" s="6" t="inlineStr">
        <is>
          <t>To a great extent</t>
        </is>
      </c>
      <c r="EJ55" s="6" t="inlineStr">
        <is>
          <t>To a moderate extent</t>
        </is>
      </c>
      <c r="EK55" s="6" t="inlineStr">
        <is>
          <t>To a great extent</t>
        </is>
      </c>
      <c r="EL55" s="6" t="inlineStr">
        <is>
          <t>To a great extent</t>
        </is>
      </c>
      <c r="EM55" s="6" t="inlineStr">
        <is>
          <t>To a moderate extent</t>
        </is>
      </c>
      <c r="EN55" s="6" t="inlineStr">
        <is>
          <t>To a slight extent</t>
        </is>
      </c>
      <c r="EO55" s="6" t="inlineStr">
        <is>
          <t>To a moderate extent</t>
        </is>
      </c>
      <c r="EP55" s="6" t="n"/>
      <c r="EQ55" s="6" t="inlineStr">
        <is>
          <t>To a slight extent</t>
        </is>
      </c>
      <c r="ER55" s="6" t="inlineStr">
        <is>
          <t>To a moderate extent</t>
        </is>
      </c>
      <c r="ES55" s="6" t="n"/>
      <c r="ET55" s="6" t="inlineStr">
        <is>
          <t>To a slight extent</t>
        </is>
      </c>
      <c r="EU55" s="6" t="inlineStr">
        <is>
          <t>To a moderate extent</t>
        </is>
      </c>
      <c r="EV55" s="6" t="inlineStr">
        <is>
          <t>To a moderate extent</t>
        </is>
      </c>
      <c r="EW55" s="6" t="inlineStr">
        <is>
          <t>Don’t know or not applicable</t>
        </is>
      </c>
      <c r="EX55" s="6" t="n"/>
      <c r="EY55" s="6" t="inlineStr">
        <is>
          <t>To a moderate extent</t>
        </is>
      </c>
      <c r="EZ55" s="6" t="inlineStr">
        <is>
          <t>To a slight extent</t>
        </is>
      </c>
      <c r="FA55" s="6" t="inlineStr">
        <is>
          <t>To a moderate extent</t>
        </is>
      </c>
      <c r="FB55" s="6" t="inlineStr">
        <is>
          <t>To a moderate extent</t>
        </is>
      </c>
      <c r="FC55" s="6" t="inlineStr">
        <is>
          <t>To a moderate extent</t>
        </is>
      </c>
      <c r="FD55" s="6" t="inlineStr">
        <is>
          <t>To a moderate extent</t>
        </is>
      </c>
      <c r="FE55" s="6" t="inlineStr">
        <is>
          <t>To a moderate extent</t>
        </is>
      </c>
      <c r="FF55" s="6" t="inlineStr">
        <is>
          <t>To a moderate extent</t>
        </is>
      </c>
      <c r="FG55" s="6" t="inlineStr">
        <is>
          <t>To a moderate extent</t>
        </is>
      </c>
      <c r="FH55" s="6" t="inlineStr">
        <is>
          <t>To a great extent</t>
        </is>
      </c>
      <c r="FI55" s="6" t="inlineStr">
        <is>
          <t>To a moderate extent</t>
        </is>
      </c>
      <c r="FJ55" s="6" t="inlineStr">
        <is>
          <t>To a slight extent</t>
        </is>
      </c>
      <c r="FK55" s="6" t="inlineStr">
        <is>
          <t>To a slight extent</t>
        </is>
      </c>
      <c r="FL55" s="6" t="inlineStr">
        <is>
          <t>To a moderate extent</t>
        </is>
      </c>
      <c r="FM55" s="6" t="inlineStr">
        <is>
          <t>To a moderate extent</t>
        </is>
      </c>
      <c r="FN55" s="6" t="inlineStr">
        <is>
          <t>To a moderate extent</t>
        </is>
      </c>
      <c r="FO55" s="6" t="inlineStr">
        <is>
          <t>To a moderate extent</t>
        </is>
      </c>
      <c r="FP55" s="6" t="inlineStr">
        <is>
          <t>To a slight extent</t>
        </is>
      </c>
      <c r="FQ55" s="6" t="inlineStr">
        <is>
          <t>To a slight extent</t>
        </is>
      </c>
      <c r="FR55" s="6" t="inlineStr">
        <is>
          <t>Don’t know or not applicable</t>
        </is>
      </c>
      <c r="FS55" s="6" t="inlineStr">
        <is>
          <t>Don’t know or not applicable</t>
        </is>
      </c>
      <c r="FT55" s="6" t="inlineStr">
        <is>
          <t>Don’t know or not applicable</t>
        </is>
      </c>
      <c r="FU55" s="6" t="inlineStr">
        <is>
          <t>To a great extent</t>
        </is>
      </c>
      <c r="FV55" s="6" t="inlineStr">
        <is>
          <t>Arab Monetary Fund (AMF)</t>
        </is>
      </c>
      <c r="FW55" s="6" t="inlineStr">
        <is>
          <t>The IMF should have dedicated more resources</t>
        </is>
      </c>
      <c r="FX55" s="6" t="n"/>
      <c r="FY55" s="6" t="inlineStr">
        <is>
          <t>To a moderate extent</t>
        </is>
      </c>
      <c r="FZ55" s="6" t="inlineStr">
        <is>
          <t>To a great extent</t>
        </is>
      </c>
      <c r="GA55" s="6" t="inlineStr">
        <is>
          <t>To a great extent</t>
        </is>
      </c>
      <c r="GB55" s="6" t="inlineStr">
        <is>
          <t>To a great extent</t>
        </is>
      </c>
      <c r="GC55" s="6" t="inlineStr">
        <is>
          <t>Don’t know or not applicable</t>
        </is>
      </c>
      <c r="GD55" s="6" t="n"/>
      <c r="GE55" s="6" t="inlineStr">
        <is>
          <t>To a great extent</t>
        </is>
      </c>
      <c r="GF55" s="6" t="inlineStr">
        <is>
          <t>To a great extent</t>
        </is>
      </c>
      <c r="GG55" s="6" t="inlineStr">
        <is>
          <t>To a great extent</t>
        </is>
      </c>
      <c r="GH55" s="6" t="inlineStr">
        <is>
          <t>To a moderate extent</t>
        </is>
      </c>
      <c r="GI55" s="6" t="inlineStr">
        <is>
          <t>To a great extent</t>
        </is>
      </c>
      <c r="GJ55" s="6" t="inlineStr">
        <is>
          <t>To a great extent</t>
        </is>
      </c>
      <c r="GK55" s="12" t="inlineStr">
        <is>
          <t>- Actively involving national autorities, particularly countries highly exposed to climat risks, in the design and implementation of climat related studies.
- Promote more international cooperation an climat finance, particularly in support of mitigation policies, which remain signaficantly underfunded.</t>
        </is>
      </c>
      <c r="GL55" s="7">
        <f>DATE(2025,5,19)+TIME(11,28,11)</f>
        <v/>
      </c>
    </row>
    <row r="56" ht="110.25" customHeight="1">
      <c r="A56" s="3" t="inlineStr">
        <is>
          <t>Felix</t>
        </is>
      </c>
      <c r="B56" s="3" t="inlineStr">
        <is>
          <t>Singh</t>
        </is>
      </c>
      <c r="C56" s="3" t="inlineStr">
        <is>
          <t>fsingh@organization.org</t>
        </is>
      </c>
      <c r="D56" s="3" t="inlineStr">
        <is>
          <t>UKJJD21FH</t>
        </is>
      </c>
      <c r="E56" s="3" t="n"/>
      <c r="F56" s="3" t="inlineStr">
        <is>
          <t>OEDAW</t>
        </is>
      </c>
      <c r="G56" s="3" t="n"/>
      <c r="H56" s="3" t="n"/>
      <c r="I56" s="3" t="n"/>
      <c r="J56" s="3" t="n"/>
      <c r="K56" s="3" t="inlineStr">
        <is>
          <t>Guinea</t>
        </is>
      </c>
      <c r="L56" s="3" t="n"/>
      <c r="M56" s="3" t="n"/>
      <c r="N56" s="3" t="n"/>
      <c r="O56" s="3" t="n"/>
      <c r="P56" s="3" t="n"/>
      <c r="Q56" s="3" t="n"/>
      <c r="R56" s="3" t="n"/>
      <c r="S56" s="3" t="n"/>
      <c r="T56" s="3" t="n"/>
      <c r="U56" s="3" t="n"/>
      <c r="V56" s="3" t="n"/>
      <c r="W56" s="3" t="n"/>
      <c r="X56" s="3" t="n"/>
      <c r="Y56" s="3" t="n"/>
      <c r="Z56" s="3" t="n"/>
      <c r="AA56" s="3" t="n"/>
      <c r="AB56" s="3" t="n"/>
      <c r="AC56" s="3" t="n"/>
      <c r="AD56" s="3" t="n"/>
      <c r="AE56" s="3" t="n"/>
      <c r="AF56" s="4" t="inlineStr">
        <is>
          <t>Guinea</t>
        </is>
      </c>
      <c r="AG56" s="3" t="inlineStr">
        <is>
          <t>The IMF should engage a similar amount on climate change-related issues</t>
        </is>
      </c>
      <c r="AH56" s="3" t="inlineStr">
        <is>
          <t>To a slight extent</t>
        </is>
      </c>
      <c r="AI56" s="3" t="inlineStr">
        <is>
          <t>To a moderate extent</t>
        </is>
      </c>
      <c r="AJ56" s="3" t="inlineStr">
        <is>
          <t>To a slight extent</t>
        </is>
      </c>
      <c r="AK56" s="3" t="inlineStr">
        <is>
          <t>To a great extent</t>
        </is>
      </c>
      <c r="AL56" s="3" t="inlineStr">
        <is>
          <t>To a moderate extent</t>
        </is>
      </c>
      <c r="AM56" s="3" t="inlineStr">
        <is>
          <t>To a great extent</t>
        </is>
      </c>
      <c r="AN56" s="3" t="inlineStr">
        <is>
          <t>To a moderate extent</t>
        </is>
      </c>
      <c r="AO56" s="3" t="inlineStr">
        <is>
          <t>To a moderate extent</t>
        </is>
      </c>
      <c r="AP56" s="3" t="inlineStr">
        <is>
          <t>To a great extent</t>
        </is>
      </c>
      <c r="AQ56" s="3" t="inlineStr">
        <is>
          <t>To a great extent</t>
        </is>
      </c>
      <c r="AR56" s="3" t="inlineStr">
        <is>
          <t>To a great extent</t>
        </is>
      </c>
      <c r="AS56" s="3" t="n"/>
      <c r="AT56" s="3" t="inlineStr">
        <is>
          <t>To a slight extent</t>
        </is>
      </c>
      <c r="AU56" s="3" t="inlineStr">
        <is>
          <t>To a moderate extent</t>
        </is>
      </c>
      <c r="AV56" s="3" t="inlineStr">
        <is>
          <t>To a slight extent</t>
        </is>
      </c>
      <c r="AW56" s="3" t="inlineStr">
        <is>
          <t>To a great extent</t>
        </is>
      </c>
      <c r="AX56" s="3" t="inlineStr">
        <is>
          <t>To a great extent</t>
        </is>
      </c>
      <c r="AY56" s="3" t="inlineStr">
        <is>
          <t>To a moderate extent</t>
        </is>
      </c>
      <c r="AZ56" s="3" t="inlineStr">
        <is>
          <t>To a moderate extent</t>
        </is>
      </c>
      <c r="BA56" s="3" t="inlineStr">
        <is>
          <t>To a slight extent</t>
        </is>
      </c>
      <c r="BB56" s="3" t="inlineStr">
        <is>
          <t>To a great extent</t>
        </is>
      </c>
      <c r="BC56" s="3" t="inlineStr">
        <is>
          <t>To a great extent</t>
        </is>
      </c>
      <c r="BD56" s="3" t="inlineStr">
        <is>
          <t>To a moderate extent</t>
        </is>
      </c>
      <c r="BE56" s="3" t="inlineStr">
        <is>
          <t>To a slight extent</t>
        </is>
      </c>
      <c r="BF56" s="3" t="inlineStr">
        <is>
          <t>To a moderate extent</t>
        </is>
      </c>
      <c r="BG56" s="3" t="inlineStr">
        <is>
          <t>To a great extent</t>
        </is>
      </c>
      <c r="BH56" s="3" t="inlineStr">
        <is>
          <t>To a moderate extent</t>
        </is>
      </c>
      <c r="BI56" s="3" t="inlineStr">
        <is>
          <t>To a moderate extent</t>
        </is>
      </c>
      <c r="BJ56" s="3" t="inlineStr">
        <is>
          <t>To a great extent</t>
        </is>
      </c>
      <c r="BK56" s="3" t="inlineStr">
        <is>
          <t>To a moderate extent</t>
        </is>
      </c>
      <c r="BL56" s="3" t="inlineStr">
        <is>
          <t>To a great extent</t>
        </is>
      </c>
      <c r="BM56" s="3" t="inlineStr">
        <is>
          <t>To a great extent</t>
        </is>
      </c>
      <c r="BN56" s="3" t="inlineStr">
        <is>
          <t>To a moderate extent</t>
        </is>
      </c>
      <c r="BO56" s="3" t="inlineStr">
        <is>
          <t>To a great extent</t>
        </is>
      </c>
      <c r="BP56" s="3" t="inlineStr">
        <is>
          <t>To a slight extent</t>
        </is>
      </c>
      <c r="BQ56" s="3" t="inlineStr">
        <is>
          <t>To a moderate extent</t>
        </is>
      </c>
      <c r="BR56" s="3" t="inlineStr">
        <is>
          <t>Don’t know or not applicable</t>
        </is>
      </c>
      <c r="BS56" s="3" t="n"/>
      <c r="BT56" s="3" t="inlineStr">
        <is>
          <t>The IMF dedicated an appropriate amount of resources</t>
        </is>
      </c>
      <c r="BU56" s="3" t="inlineStr">
        <is>
          <t>To a moderate extent</t>
        </is>
      </c>
      <c r="BV56" s="3" t="inlineStr">
        <is>
          <t>To a great extent</t>
        </is>
      </c>
      <c r="BW56" s="3" t="inlineStr">
        <is>
          <t>To a moderate extent</t>
        </is>
      </c>
      <c r="BX56" s="3" t="inlineStr">
        <is>
          <t>To a moderate extent</t>
        </is>
      </c>
      <c r="BY56" s="3" t="inlineStr">
        <is>
          <t>To a great extent</t>
        </is>
      </c>
      <c r="BZ56" s="3" t="inlineStr">
        <is>
          <t>To a moderate extent</t>
        </is>
      </c>
      <c r="CA56" s="3" t="inlineStr">
        <is>
          <t>To a moderate extent</t>
        </is>
      </c>
      <c r="CB56" s="3" t="inlineStr">
        <is>
          <t>To a great extent</t>
        </is>
      </c>
      <c r="CC56" s="3" t="inlineStr">
        <is>
          <t>To a moderate extent</t>
        </is>
      </c>
      <c r="CD56" s="3" t="inlineStr">
        <is>
          <t>To a moderate extent</t>
        </is>
      </c>
      <c r="CE56" s="3" t="inlineStr">
        <is>
          <t>To a great extent</t>
        </is>
      </c>
      <c r="CF56" s="3" t="inlineStr">
        <is>
          <t>To a great extent</t>
        </is>
      </c>
      <c r="CG56" s="3" t="n"/>
      <c r="CH56" s="3" t="inlineStr">
        <is>
          <t>No</t>
        </is>
      </c>
      <c r="CI56" s="3" t="inlineStr">
        <is>
          <t>No</t>
        </is>
      </c>
      <c r="CJ56" s="3" t="n"/>
      <c r="CK56" s="3" t="n"/>
      <c r="CL56" s="3" t="n"/>
      <c r="CM56" s="3" t="n"/>
      <c r="CN56" s="3" t="n"/>
      <c r="CO56" s="3" t="n"/>
      <c r="CP56" s="3" t="n"/>
      <c r="CQ56" s="3" t="n"/>
      <c r="CR56" s="3" t="n"/>
      <c r="CS56" s="3" t="n"/>
      <c r="CT56" s="3" t="n"/>
      <c r="CU56" s="3" t="n"/>
      <c r="CV56" s="3" t="n"/>
      <c r="CW56" s="3" t="n"/>
      <c r="CX56" s="3" t="n"/>
      <c r="CY56" s="3" t="n"/>
      <c r="CZ56" s="3" t="n"/>
      <c r="DA56" s="3" t="n"/>
      <c r="DB56" s="3" t="n"/>
      <c r="DC56" s="3" t="n"/>
      <c r="DD56" s="3" t="n"/>
      <c r="DE56" s="3" t="n"/>
      <c r="DF56" s="3" t="n"/>
      <c r="DG56" s="3" t="n"/>
      <c r="DH56" s="3" t="n"/>
      <c r="DI56" s="3" t="n"/>
      <c r="DJ56" s="3" t="n"/>
      <c r="DK56" s="3" t="n"/>
      <c r="DL56" s="3" t="n"/>
      <c r="DM56" s="3" t="n"/>
      <c r="DN56" s="3" t="n"/>
      <c r="DO56" s="3" t="n"/>
      <c r="DP56" s="3" t="n"/>
      <c r="DQ56" s="3" t="n"/>
      <c r="DR56" s="3" t="n"/>
      <c r="DS56" s="3" t="n"/>
      <c r="DT56" s="3" t="n"/>
      <c r="DU56" s="3" t="inlineStr">
        <is>
          <t>An RSF arrangement would have been useful, but my country had no balance of payments issues/did not need/was not willing to commit to the underlying UCT program</t>
        </is>
      </c>
      <c r="DV56" s="3" t="n"/>
      <c r="DW56" s="3" t="inlineStr">
        <is>
          <t>Don't know</t>
        </is>
      </c>
      <c r="DX56" s="3" t="n"/>
      <c r="DY56" s="3" t="n"/>
      <c r="DZ56" s="3" t="n"/>
      <c r="EA56" s="3" t="n"/>
      <c r="EB56" s="3" t="n"/>
      <c r="EC56" s="3" t="n"/>
      <c r="ED56" s="3" t="n"/>
      <c r="EE56" s="3" t="n"/>
      <c r="EF56" s="3" t="inlineStr">
        <is>
          <t>To a slight extent</t>
        </is>
      </c>
      <c r="EG56" s="3" t="inlineStr">
        <is>
          <t>To a moderate extent</t>
        </is>
      </c>
      <c r="EH56" s="3" t="inlineStr">
        <is>
          <t>To a great extent</t>
        </is>
      </c>
      <c r="EI56" s="3" t="inlineStr">
        <is>
          <t>To a great extent</t>
        </is>
      </c>
      <c r="EJ56" s="3" t="inlineStr">
        <is>
          <t>To a great extent</t>
        </is>
      </c>
      <c r="EK56" s="3" t="inlineStr">
        <is>
          <t>To a moderate extent</t>
        </is>
      </c>
      <c r="EL56" s="3" t="inlineStr">
        <is>
          <t>To a great extent</t>
        </is>
      </c>
      <c r="EM56" s="3" t="n"/>
      <c r="EN56" s="3" t="n"/>
      <c r="EO56" s="3" t="n"/>
      <c r="EP56" s="3" t="n"/>
      <c r="EQ56" s="3" t="inlineStr">
        <is>
          <t>To a moderate extent</t>
        </is>
      </c>
      <c r="ER56" s="3" t="inlineStr">
        <is>
          <t>To a moderate extent</t>
        </is>
      </c>
      <c r="ES56" s="3" t="n"/>
      <c r="ET56" s="3" t="inlineStr">
        <is>
          <t>To a moderate extent</t>
        </is>
      </c>
      <c r="EU56" s="3" t="inlineStr">
        <is>
          <t>Don’t know or not applicable</t>
        </is>
      </c>
      <c r="EV56" s="3" t="inlineStr">
        <is>
          <t>Don’t know or not applicable</t>
        </is>
      </c>
      <c r="EW56" s="3" t="inlineStr">
        <is>
          <t>Don’t know or not applicable</t>
        </is>
      </c>
      <c r="EX56" s="3" t="n"/>
      <c r="EY56" s="3" t="inlineStr">
        <is>
          <t>To a moderate extent</t>
        </is>
      </c>
      <c r="EZ56" s="3" t="inlineStr">
        <is>
          <t>To a slight extent</t>
        </is>
      </c>
      <c r="FA56" s="3" t="inlineStr">
        <is>
          <t>To a moderate extent</t>
        </is>
      </c>
      <c r="FB56" s="3" t="inlineStr">
        <is>
          <t>To a moderate extent</t>
        </is>
      </c>
      <c r="FC56" s="3" t="inlineStr">
        <is>
          <t>To a moderate extent</t>
        </is>
      </c>
      <c r="FD56" s="3" t="inlineStr">
        <is>
          <t>To a slight extent</t>
        </is>
      </c>
      <c r="FE56" s="3" t="inlineStr">
        <is>
          <t>To a moderate extent</t>
        </is>
      </c>
      <c r="FF56" s="3" t="inlineStr">
        <is>
          <t>To a moderate extent</t>
        </is>
      </c>
      <c r="FG56" s="3" t="inlineStr">
        <is>
          <t>To a moderate extent</t>
        </is>
      </c>
      <c r="FH56" s="3" t="inlineStr">
        <is>
          <t>To a moderate extent</t>
        </is>
      </c>
      <c r="FI56" s="3" t="inlineStr">
        <is>
          <t>To a moderate extent</t>
        </is>
      </c>
      <c r="FJ56" s="3" t="inlineStr">
        <is>
          <t>To a slight extent</t>
        </is>
      </c>
      <c r="FK56" s="3" t="inlineStr">
        <is>
          <t>To a moderate extent</t>
        </is>
      </c>
      <c r="FL56" s="3" t="inlineStr">
        <is>
          <t>To a moderate extent</t>
        </is>
      </c>
      <c r="FM56" s="3" t="inlineStr">
        <is>
          <t>To a moderate extent</t>
        </is>
      </c>
      <c r="FN56" s="3" t="inlineStr">
        <is>
          <t>To a slight extent</t>
        </is>
      </c>
      <c r="FO56" s="3" t="inlineStr">
        <is>
          <t>To a moderate extent</t>
        </is>
      </c>
      <c r="FP56" s="3" t="inlineStr">
        <is>
          <t>To a moderate extent</t>
        </is>
      </c>
      <c r="FQ56" s="3" t="inlineStr">
        <is>
          <t>To a moderate extent</t>
        </is>
      </c>
      <c r="FR56" s="3" t="inlineStr">
        <is>
          <t>To a great extent</t>
        </is>
      </c>
      <c r="FS56" s="3" t="inlineStr">
        <is>
          <t>To a slight extent</t>
        </is>
      </c>
      <c r="FT56" s="3" t="inlineStr">
        <is>
          <t>To a moderate extent</t>
        </is>
      </c>
      <c r="FU56" s="3" t="inlineStr">
        <is>
          <t>Don’t know or not applicable</t>
        </is>
      </c>
      <c r="FV56" s="3" t="n"/>
      <c r="FW56" s="3" t="inlineStr">
        <is>
          <t>The IMF dedicated the appropriate amount of resources</t>
        </is>
      </c>
      <c r="FX56" s="3" t="n"/>
      <c r="FY56" s="3" t="inlineStr">
        <is>
          <t>To a great extent</t>
        </is>
      </c>
      <c r="FZ56" s="3" t="inlineStr">
        <is>
          <t>To a great extent</t>
        </is>
      </c>
      <c r="GA56" s="3" t="inlineStr">
        <is>
          <t>To a great extent</t>
        </is>
      </c>
      <c r="GB56" s="3" t="inlineStr">
        <is>
          <t>To a great extent</t>
        </is>
      </c>
      <c r="GC56" s="3" t="inlineStr">
        <is>
          <t>Don’t know or not applicable</t>
        </is>
      </c>
      <c r="GD56" s="3" t="n"/>
      <c r="GE56" s="3" t="inlineStr">
        <is>
          <t>To a moderate extent</t>
        </is>
      </c>
      <c r="GF56" s="3" t="inlineStr">
        <is>
          <t>To a great extent</t>
        </is>
      </c>
      <c r="GG56" s="3" t="inlineStr">
        <is>
          <t>To a moderate extent</t>
        </is>
      </c>
      <c r="GH56" s="3" t="inlineStr">
        <is>
          <t>To a great extent</t>
        </is>
      </c>
      <c r="GI56" s="3" t="inlineStr">
        <is>
          <t>To a great extent</t>
        </is>
      </c>
      <c r="GJ56" s="3" t="inlineStr">
        <is>
          <t>To a great extent</t>
        </is>
      </c>
      <c r="GK56" s="3" t="n"/>
      <c r="GL56" s="5">
        <f>DATE(2025,6,12)+TIME(22,26,37)</f>
        <v/>
      </c>
    </row>
    <row r="57" ht="110.25" customHeight="1">
      <c r="A57" s="6" t="inlineStr">
        <is>
          <t>Oscar</t>
        </is>
      </c>
      <c r="B57" s="6" t="inlineStr">
        <is>
          <t>Alvarez</t>
        </is>
      </c>
      <c r="C57" s="6" t="inlineStr">
        <is>
          <t>oalvarez@organization.org</t>
        </is>
      </c>
      <c r="D57" s="6" t="inlineStr">
        <is>
          <t>9ILT0P4UH</t>
        </is>
      </c>
      <c r="E57" s="6" t="n"/>
      <c r="F57" s="6" t="inlineStr">
        <is>
          <t>OEDBR</t>
        </is>
      </c>
      <c r="G57" s="6" t="n"/>
      <c r="H57" s="6" t="n"/>
      <c r="I57" s="6" t="n"/>
      <c r="J57" s="6" t="n"/>
      <c r="K57" s="6" t="n"/>
      <c r="L57" s="6" t="inlineStr">
        <is>
          <t>Panama</t>
        </is>
      </c>
      <c r="M57" s="6" t="n"/>
      <c r="N57" s="6" t="n"/>
      <c r="O57" s="6" t="n"/>
      <c r="P57" s="6" t="n"/>
      <c r="Q57" s="6" t="n"/>
      <c r="R57" s="6" t="n"/>
      <c r="S57" s="6" t="n"/>
      <c r="T57" s="6" t="n"/>
      <c r="U57" s="6" t="n"/>
      <c r="V57" s="6" t="n"/>
      <c r="W57" s="6" t="n"/>
      <c r="X57" s="6" t="n"/>
      <c r="Y57" s="6" t="n"/>
      <c r="Z57" s="6" t="n"/>
      <c r="AA57" s="6" t="n"/>
      <c r="AB57" s="6" t="n"/>
      <c r="AC57" s="6" t="n"/>
      <c r="AD57" s="6" t="n"/>
      <c r="AE57" s="6" t="n"/>
      <c r="AF57" s="4" t="inlineStr">
        <is>
          <t>Panama</t>
        </is>
      </c>
      <c r="AG57" s="6" t="inlineStr">
        <is>
          <t>The IMF should engage a similar amount on climate change-related issues</t>
        </is>
      </c>
      <c r="AH57" s="6" t="inlineStr">
        <is>
          <t>To a moderate extent</t>
        </is>
      </c>
      <c r="AI57" s="6" t="inlineStr">
        <is>
          <t>To a moderate extent</t>
        </is>
      </c>
      <c r="AJ57" s="6" t="inlineStr">
        <is>
          <t>To a moderate extent</t>
        </is>
      </c>
      <c r="AK57" s="6" t="inlineStr">
        <is>
          <t>To a moderate extent</t>
        </is>
      </c>
      <c r="AL57" s="6" t="inlineStr">
        <is>
          <t>To a great extent</t>
        </is>
      </c>
      <c r="AM57" s="6" t="inlineStr">
        <is>
          <t>To a great extent</t>
        </is>
      </c>
      <c r="AN57" s="6" t="inlineStr">
        <is>
          <t>To a moderate extent</t>
        </is>
      </c>
      <c r="AO57" s="6" t="inlineStr">
        <is>
          <t>To a moderate extent</t>
        </is>
      </c>
      <c r="AP57" s="6" t="inlineStr">
        <is>
          <t>To a moderate extent</t>
        </is>
      </c>
      <c r="AQ57" s="6" t="inlineStr">
        <is>
          <t>To a moderate extent</t>
        </is>
      </c>
      <c r="AR57" s="6" t="inlineStr">
        <is>
          <t>To a great extent</t>
        </is>
      </c>
      <c r="AS57" s="6" t="n"/>
      <c r="AT57" s="6" t="inlineStr">
        <is>
          <t>To a moderate extent</t>
        </is>
      </c>
      <c r="AU57" s="6" t="inlineStr">
        <is>
          <t>To a moderate extent</t>
        </is>
      </c>
      <c r="AV57" s="6" t="inlineStr">
        <is>
          <t>To a great extent</t>
        </is>
      </c>
      <c r="AW57" s="6" t="inlineStr">
        <is>
          <t>To a moderate extent</t>
        </is>
      </c>
      <c r="AX57" s="6" t="inlineStr">
        <is>
          <t>To a moderate extent</t>
        </is>
      </c>
      <c r="AY57" s="6" t="inlineStr">
        <is>
          <t>To a slight extent</t>
        </is>
      </c>
      <c r="AZ57" s="6" t="inlineStr">
        <is>
          <t>To a moderate extent</t>
        </is>
      </c>
      <c r="BA57" s="6" t="inlineStr">
        <is>
          <t>To a great extent</t>
        </is>
      </c>
      <c r="BB57" s="6" t="inlineStr">
        <is>
          <t>To a moderate extent</t>
        </is>
      </c>
      <c r="BC57" s="6" t="inlineStr">
        <is>
          <t>To a moderate extent</t>
        </is>
      </c>
      <c r="BD57" s="6" t="inlineStr">
        <is>
          <t>To a slight extent</t>
        </is>
      </c>
      <c r="BE57" s="6" t="inlineStr">
        <is>
          <t>Don’t know or not applicable</t>
        </is>
      </c>
      <c r="BF57" s="6" t="inlineStr">
        <is>
          <t>Don’t know or not applicable</t>
        </is>
      </c>
      <c r="BG57" s="6" t="inlineStr">
        <is>
          <t>Don’t know or not applicable</t>
        </is>
      </c>
      <c r="BH57" s="6" t="inlineStr">
        <is>
          <t>Don’t know or not applicable</t>
        </is>
      </c>
      <c r="BI57" s="6" t="inlineStr">
        <is>
          <t>Don’t know or not applicable</t>
        </is>
      </c>
      <c r="BJ57" s="6" t="inlineStr">
        <is>
          <t>Don’t know or not applicable</t>
        </is>
      </c>
      <c r="BK57" s="6" t="inlineStr">
        <is>
          <t>Don’t know or not applicable</t>
        </is>
      </c>
      <c r="BL57" s="6" t="inlineStr">
        <is>
          <t>Don’t know or not applicable</t>
        </is>
      </c>
      <c r="BM57" s="6" t="inlineStr">
        <is>
          <t>Don’t know or not applicable</t>
        </is>
      </c>
      <c r="BN57" s="6" t="inlineStr">
        <is>
          <t>Don’t know or not applicable</t>
        </is>
      </c>
      <c r="BO57" s="6" t="inlineStr">
        <is>
          <t>To a great extent</t>
        </is>
      </c>
      <c r="BP57" s="6" t="inlineStr">
        <is>
          <t>To a great extent</t>
        </is>
      </c>
      <c r="BQ57" s="6" t="inlineStr">
        <is>
          <t>Don’t know or not applicable</t>
        </is>
      </c>
      <c r="BR57" s="6" t="inlineStr">
        <is>
          <t>Don’t know or not applicable</t>
        </is>
      </c>
      <c r="BS57" s="6" t="n"/>
      <c r="BT57" s="6" t="inlineStr">
        <is>
          <t>The IMF should have dedicated less resources</t>
        </is>
      </c>
      <c r="BU57" s="6" t="inlineStr">
        <is>
          <t>To a slight extent</t>
        </is>
      </c>
      <c r="BV57" s="6" t="inlineStr">
        <is>
          <t>To a slight extent</t>
        </is>
      </c>
      <c r="BW57" s="6" t="inlineStr">
        <is>
          <t>To a slight extent</t>
        </is>
      </c>
      <c r="BX57" s="6" t="inlineStr">
        <is>
          <t>To a slight extent</t>
        </is>
      </c>
      <c r="BY57" s="6" t="inlineStr">
        <is>
          <t>To a slight extent</t>
        </is>
      </c>
      <c r="BZ57" s="6" t="inlineStr">
        <is>
          <t>To a slight extent</t>
        </is>
      </c>
      <c r="CA57" s="6" t="inlineStr">
        <is>
          <t>To a slight extent</t>
        </is>
      </c>
      <c r="CB57" s="6" t="inlineStr">
        <is>
          <t>To a slight extent</t>
        </is>
      </c>
      <c r="CC57" s="6" t="inlineStr">
        <is>
          <t>To a moderate extent</t>
        </is>
      </c>
      <c r="CD57" s="6" t="inlineStr">
        <is>
          <t>To a moderate extent</t>
        </is>
      </c>
      <c r="CE57" s="6" t="inlineStr">
        <is>
          <t>To a moderate extent</t>
        </is>
      </c>
      <c r="CF57" s="6" t="inlineStr">
        <is>
          <t>To a moderate extent</t>
        </is>
      </c>
      <c r="CG57" s="6" t="n"/>
      <c r="CH57" s="6" t="inlineStr">
        <is>
          <t>No</t>
        </is>
      </c>
      <c r="CI57" s="6" t="inlineStr">
        <is>
          <t>Yes</t>
        </is>
      </c>
      <c r="CJ57" s="6" t="n"/>
      <c r="CK57" s="6" t="n"/>
      <c r="CL57" s="6" t="n"/>
      <c r="CM57" s="6" t="n"/>
      <c r="CN57" s="6" t="n"/>
      <c r="CO57" s="6" t="n"/>
      <c r="CP57" s="6" t="n"/>
      <c r="CQ57" s="6" t="n"/>
      <c r="CR57" s="6" t="n"/>
      <c r="CS57" s="6" t="n"/>
      <c r="CT57" s="6" t="n"/>
      <c r="CU57" s="6" t="n"/>
      <c r="CV57" s="6" t="n"/>
      <c r="CW57" s="6" t="n"/>
      <c r="CX57" s="6" t="n"/>
      <c r="CY57" s="6" t="n"/>
      <c r="CZ57" s="6" t="n"/>
      <c r="DA57" s="6" t="n"/>
      <c r="DB57" s="6" t="n"/>
      <c r="DC57" s="6" t="n"/>
      <c r="DD57" s="6" t="n"/>
      <c r="DE57" s="6" t="n"/>
      <c r="DF57" s="6" t="n"/>
      <c r="DG57" s="6" t="n"/>
      <c r="DH57" s="6" t="n"/>
      <c r="DI57" s="6" t="n"/>
      <c r="DJ57" s="6" t="n"/>
      <c r="DK57" s="6" t="n"/>
      <c r="DL57" s="6" t="n"/>
      <c r="DM57" s="6" t="n"/>
      <c r="DN57" s="6" t="n"/>
      <c r="DO57" s="6" t="n"/>
      <c r="DP57" s="6" t="n"/>
      <c r="DQ57" s="6" t="n"/>
      <c r="DR57" s="6" t="n"/>
      <c r="DS57" s="6" t="n"/>
      <c r="DT57" s="6" t="n"/>
      <c r="DU57" s="6" t="inlineStr">
        <is>
          <t>An RSF arrangement would have been useful, but my country had no balance of payments issues/did not need/was not willing to commit to the underlying UCT program</t>
        </is>
      </c>
      <c r="DV57" s="6" t="n"/>
      <c r="DW57" s="6" t="inlineStr">
        <is>
          <t>No</t>
        </is>
      </c>
      <c r="DX57" s="6" t="n"/>
      <c r="DY57" s="6" t="n"/>
      <c r="DZ57" s="6" t="n"/>
      <c r="EA57" s="6" t="n"/>
      <c r="EB57" s="6" t="n"/>
      <c r="EC57" s="6" t="n"/>
      <c r="ED57" s="6" t="n"/>
      <c r="EE57" s="6" t="n"/>
      <c r="EF57" s="6" t="inlineStr">
        <is>
          <t>Not at all</t>
        </is>
      </c>
      <c r="EG57" s="6" t="inlineStr">
        <is>
          <t>Don’t know or not applicable</t>
        </is>
      </c>
      <c r="EH57" s="6" t="inlineStr">
        <is>
          <t>Don’t know or not applicable</t>
        </is>
      </c>
      <c r="EI57" s="6" t="inlineStr">
        <is>
          <t>To a great extent</t>
        </is>
      </c>
      <c r="EJ57" s="6" t="inlineStr">
        <is>
          <t>To a great extent</t>
        </is>
      </c>
      <c r="EK57" s="6" t="inlineStr">
        <is>
          <t>To a great extent</t>
        </is>
      </c>
      <c r="EL57" s="6" t="inlineStr">
        <is>
          <t>To a great extent</t>
        </is>
      </c>
      <c r="EM57" s="6" t="inlineStr">
        <is>
          <t>To a moderate extent</t>
        </is>
      </c>
      <c r="EN57" s="6" t="inlineStr">
        <is>
          <t>To a great extent</t>
        </is>
      </c>
      <c r="EO57" s="6" t="inlineStr">
        <is>
          <t>To a slight extent</t>
        </is>
      </c>
      <c r="EP57" s="6" t="n"/>
      <c r="EQ57" s="6" t="inlineStr">
        <is>
          <t>To a moderate extent</t>
        </is>
      </c>
      <c r="ER57" s="6" t="inlineStr">
        <is>
          <t>To a moderate extent</t>
        </is>
      </c>
      <c r="ES57" s="6" t="n"/>
      <c r="ET57" s="6" t="inlineStr">
        <is>
          <t>Not at all</t>
        </is>
      </c>
      <c r="EU57" s="6" t="inlineStr">
        <is>
          <t>To a moderate extent</t>
        </is>
      </c>
      <c r="EV57" s="6" t="inlineStr">
        <is>
          <t>To a great extent</t>
        </is>
      </c>
      <c r="EW57" s="6" t="inlineStr">
        <is>
          <t>Don’t know or not applicable</t>
        </is>
      </c>
      <c r="EX57" s="6" t="n"/>
      <c r="EY57" s="6" t="inlineStr">
        <is>
          <t>Don’t know or not applicable</t>
        </is>
      </c>
      <c r="EZ57" s="6" t="inlineStr">
        <is>
          <t>Don’t know or not applicable</t>
        </is>
      </c>
      <c r="FA57" s="6" t="inlineStr">
        <is>
          <t>Don’t know or not applicable</t>
        </is>
      </c>
      <c r="FB57" s="6" t="inlineStr">
        <is>
          <t>Don’t know or not applicable</t>
        </is>
      </c>
      <c r="FC57" s="6" t="inlineStr">
        <is>
          <t>Don’t know or not applicable</t>
        </is>
      </c>
      <c r="FD57" s="6" t="inlineStr">
        <is>
          <t>Don’t know or not applicable</t>
        </is>
      </c>
      <c r="FE57" s="6" t="inlineStr">
        <is>
          <t>Don’t know or not applicable</t>
        </is>
      </c>
      <c r="FF57" s="6" t="inlineStr">
        <is>
          <t>Don’t know or not applicable</t>
        </is>
      </c>
      <c r="FG57" s="6" t="inlineStr">
        <is>
          <t>Don’t know or not applicable</t>
        </is>
      </c>
      <c r="FH57" s="6" t="inlineStr">
        <is>
          <t>Don’t know or not applicable</t>
        </is>
      </c>
      <c r="FI57" s="6" t="inlineStr">
        <is>
          <t>Don’t know or not applicable</t>
        </is>
      </c>
      <c r="FJ57" s="6" t="inlineStr">
        <is>
          <t>Don’t know or not applicable</t>
        </is>
      </c>
      <c r="FK57" s="6" t="inlineStr">
        <is>
          <t>Don’t know or not applicable</t>
        </is>
      </c>
      <c r="FL57" s="6" t="inlineStr">
        <is>
          <t>Don’t know or not applicable</t>
        </is>
      </c>
      <c r="FM57" s="6" t="inlineStr">
        <is>
          <t>Don’t know or not applicable</t>
        </is>
      </c>
      <c r="FN57" s="6" t="inlineStr">
        <is>
          <t>Don’t know or not applicable</t>
        </is>
      </c>
      <c r="FO57" s="6" t="inlineStr">
        <is>
          <t>Don’t know or not applicable</t>
        </is>
      </c>
      <c r="FP57" s="6" t="inlineStr">
        <is>
          <t>Don’t know or not applicable</t>
        </is>
      </c>
      <c r="FQ57" s="6" t="inlineStr">
        <is>
          <t>Don’t know or not applicable</t>
        </is>
      </c>
      <c r="FR57" s="6" t="inlineStr">
        <is>
          <t>To a moderate extent</t>
        </is>
      </c>
      <c r="FS57" s="6" t="inlineStr">
        <is>
          <t>To a moderate extent</t>
        </is>
      </c>
      <c r="FT57" s="6" t="inlineStr">
        <is>
          <t>Don’t know or not applicable</t>
        </is>
      </c>
      <c r="FU57" s="6" t="inlineStr">
        <is>
          <t>Don’t know or not applicable</t>
        </is>
      </c>
      <c r="FV57" s="6" t="n"/>
      <c r="FW57" s="6" t="inlineStr">
        <is>
          <t>The IMF dedicated the appropriate amount of resources</t>
        </is>
      </c>
      <c r="FX57" s="6" t="n"/>
      <c r="FY57" s="6" t="inlineStr">
        <is>
          <t>To a slight extent</t>
        </is>
      </c>
      <c r="FZ57" s="6" t="inlineStr">
        <is>
          <t>To a slight extent</t>
        </is>
      </c>
      <c r="GA57" s="6" t="inlineStr">
        <is>
          <t>To a slight extent</t>
        </is>
      </c>
      <c r="GB57" s="6" t="inlineStr">
        <is>
          <t>Not at all</t>
        </is>
      </c>
      <c r="GC57" s="6" t="inlineStr">
        <is>
          <t>Don’t know or not applicable</t>
        </is>
      </c>
      <c r="GD57" s="6" t="n"/>
      <c r="GE57" s="6" t="inlineStr">
        <is>
          <t>To a great extent</t>
        </is>
      </c>
      <c r="GF57" s="6" t="inlineStr">
        <is>
          <t>To a moderate extent</t>
        </is>
      </c>
      <c r="GG57" s="6" t="inlineStr">
        <is>
          <t>To a great extent</t>
        </is>
      </c>
      <c r="GH57" s="6" t="inlineStr">
        <is>
          <t>To a slight extent</t>
        </is>
      </c>
      <c r="GI57" s="6" t="inlineStr">
        <is>
          <t>To a slight extent</t>
        </is>
      </c>
      <c r="GJ57" s="6" t="inlineStr">
        <is>
          <t>To a moderate extent</t>
        </is>
      </c>
      <c r="GK57" s="6" t="n"/>
      <c r="GL57" s="7">
        <f>DATE(2025,6,10)+TIME(10,22,51)</f>
        <v/>
      </c>
    </row>
    <row r="58" ht="409.5" customHeight="1">
      <c r="A58" s="3" t="inlineStr">
        <is>
          <t>Felix</t>
        </is>
      </c>
      <c r="B58" s="3" t="inlineStr">
        <is>
          <t>Asante</t>
        </is>
      </c>
      <c r="C58" s="3" t="inlineStr">
        <is>
          <t>fasante@organization.org</t>
        </is>
      </c>
      <c r="D58" s="3" t="inlineStr">
        <is>
          <t>UG6RGZNWV</t>
        </is>
      </c>
      <c r="E58" s="3" t="n"/>
      <c r="F58" s="3" t="inlineStr">
        <is>
          <t>OEDBR</t>
        </is>
      </c>
      <c r="G58" s="3" t="n"/>
      <c r="H58" s="3" t="n"/>
      <c r="I58" s="3" t="n"/>
      <c r="J58" s="3" t="n"/>
      <c r="K58" s="3" t="n"/>
      <c r="L58" s="3" t="inlineStr">
        <is>
          <t>Ecuador</t>
        </is>
      </c>
      <c r="M58" s="3" t="n"/>
      <c r="N58" s="3" t="n"/>
      <c r="O58" s="3" t="n"/>
      <c r="P58" s="3" t="n"/>
      <c r="Q58" s="3" t="n"/>
      <c r="R58" s="3" t="n"/>
      <c r="S58" s="3" t="n"/>
      <c r="T58" s="3" t="n"/>
      <c r="U58" s="3" t="n"/>
      <c r="V58" s="3" t="n"/>
      <c r="W58" s="3" t="n"/>
      <c r="X58" s="3" t="n"/>
      <c r="Y58" s="3" t="n"/>
      <c r="Z58" s="3" t="n"/>
      <c r="AA58" s="3" t="n"/>
      <c r="AB58" s="3" t="n"/>
      <c r="AC58" s="3" t="n"/>
      <c r="AD58" s="3" t="n"/>
      <c r="AE58" s="3" t="n"/>
      <c r="AF58" s="4" t="inlineStr">
        <is>
          <t>Ecuador</t>
        </is>
      </c>
      <c r="AG58" s="3" t="inlineStr">
        <is>
          <t>The IMF should engage more on climate change-related issues</t>
        </is>
      </c>
      <c r="AH58" s="3" t="inlineStr">
        <is>
          <t>To a great extent</t>
        </is>
      </c>
      <c r="AI58" s="3" t="inlineStr">
        <is>
          <t>To a moderate extent</t>
        </is>
      </c>
      <c r="AJ58" s="3" t="inlineStr">
        <is>
          <t>To a great extent</t>
        </is>
      </c>
      <c r="AK58" s="3" t="inlineStr">
        <is>
          <t>To a great extent</t>
        </is>
      </c>
      <c r="AL58" s="3" t="inlineStr">
        <is>
          <t>To a slight extent</t>
        </is>
      </c>
      <c r="AM58" s="3" t="inlineStr">
        <is>
          <t>To a great extent</t>
        </is>
      </c>
      <c r="AN58" s="3" t="inlineStr">
        <is>
          <t>To a slight extent</t>
        </is>
      </c>
      <c r="AO58" s="3" t="inlineStr">
        <is>
          <t>To a slight extent</t>
        </is>
      </c>
      <c r="AP58" s="3" t="inlineStr">
        <is>
          <t>To a moderate extent</t>
        </is>
      </c>
      <c r="AQ58" s="3" t="inlineStr">
        <is>
          <t>Not at all</t>
        </is>
      </c>
      <c r="AR58" s="3" t="inlineStr">
        <is>
          <t>Not at all</t>
        </is>
      </c>
      <c r="AS58" s="3" t="n"/>
      <c r="AT58" s="3" t="inlineStr">
        <is>
          <t>Don’t know or not applicable</t>
        </is>
      </c>
      <c r="AU58" s="3" t="inlineStr">
        <is>
          <t>To a great extent</t>
        </is>
      </c>
      <c r="AV58" s="3" t="inlineStr">
        <is>
          <t>Not at all</t>
        </is>
      </c>
      <c r="AW58" s="3" t="inlineStr">
        <is>
          <t>To a great extent</t>
        </is>
      </c>
      <c r="AX58" s="3" t="inlineStr">
        <is>
          <t>To a moderate extent</t>
        </is>
      </c>
      <c r="AY58" s="3" t="inlineStr">
        <is>
          <t>Don’t know or not applicable</t>
        </is>
      </c>
      <c r="AZ58" s="3" t="inlineStr">
        <is>
          <t>To a moderate extent</t>
        </is>
      </c>
      <c r="BA58" s="3" t="inlineStr">
        <is>
          <t>Not at all</t>
        </is>
      </c>
      <c r="BB58" s="3" t="inlineStr">
        <is>
          <t>To a moderate extent</t>
        </is>
      </c>
      <c r="BC58" s="3" t="inlineStr">
        <is>
          <t>To a slight extent</t>
        </is>
      </c>
      <c r="BD58" s="3" t="inlineStr">
        <is>
          <t>To a moderate extent</t>
        </is>
      </c>
      <c r="BE58" s="3" t="inlineStr">
        <is>
          <t>Don’t know or not applicable</t>
        </is>
      </c>
      <c r="BF58" s="3" t="inlineStr">
        <is>
          <t>Not at all</t>
        </is>
      </c>
      <c r="BG58" s="3" t="inlineStr">
        <is>
          <t>To a great extent</t>
        </is>
      </c>
      <c r="BH58" s="3" t="inlineStr">
        <is>
          <t>To a moderate extent</t>
        </is>
      </c>
      <c r="BI58" s="3" t="inlineStr">
        <is>
          <t>To a moderate extent</t>
        </is>
      </c>
      <c r="BJ58" s="3" t="inlineStr">
        <is>
          <t>To a great extent</t>
        </is>
      </c>
      <c r="BK58" s="3" t="inlineStr">
        <is>
          <t>Not at all</t>
        </is>
      </c>
      <c r="BL58" s="3" t="inlineStr">
        <is>
          <t>To a great extent</t>
        </is>
      </c>
      <c r="BM58" s="3" t="inlineStr">
        <is>
          <t>To a great extent</t>
        </is>
      </c>
      <c r="BN58" s="3" t="inlineStr">
        <is>
          <t>To a great extent</t>
        </is>
      </c>
      <c r="BO58" s="3" t="inlineStr">
        <is>
          <t>To a great extent</t>
        </is>
      </c>
      <c r="BP58" s="3" t="inlineStr">
        <is>
          <t>To a moderate extent</t>
        </is>
      </c>
      <c r="BQ58" s="3" t="inlineStr">
        <is>
          <t>To a moderate extent</t>
        </is>
      </c>
      <c r="BR58" s="3" t="n"/>
      <c r="BS58" s="3" t="n"/>
      <c r="BT58" s="3" t="inlineStr">
        <is>
          <t>The IMF should have dedicated more resources</t>
        </is>
      </c>
      <c r="BU58" s="3" t="inlineStr">
        <is>
          <t>To a great extent</t>
        </is>
      </c>
      <c r="BV58" s="3" t="inlineStr">
        <is>
          <t>To a moderate extent</t>
        </is>
      </c>
      <c r="BW58" s="3" t="inlineStr">
        <is>
          <t>To a great extent</t>
        </is>
      </c>
      <c r="BX58" s="3" t="inlineStr">
        <is>
          <t>To a great extent</t>
        </is>
      </c>
      <c r="BY58" s="3" t="inlineStr">
        <is>
          <t>To a moderate extent</t>
        </is>
      </c>
      <c r="BZ58" s="3" t="inlineStr">
        <is>
          <t>To a great extent</t>
        </is>
      </c>
      <c r="CA58" s="3" t="inlineStr">
        <is>
          <t>To a great extent</t>
        </is>
      </c>
      <c r="CB58" s="3" t="inlineStr">
        <is>
          <t>To a moderate extent</t>
        </is>
      </c>
      <c r="CC58" s="3" t="inlineStr">
        <is>
          <t>To a great extent</t>
        </is>
      </c>
      <c r="CD58" s="3" t="inlineStr">
        <is>
          <t>To a great extent</t>
        </is>
      </c>
      <c r="CE58" s="3" t="inlineStr">
        <is>
          <t>To a moderate extent</t>
        </is>
      </c>
      <c r="CF58" s="3" t="inlineStr">
        <is>
          <t>To a great extent</t>
        </is>
      </c>
      <c r="CG58" s="3" t="n"/>
      <c r="CH58" s="3" t="inlineStr">
        <is>
          <t>No</t>
        </is>
      </c>
      <c r="CI58" s="3" t="inlineStr">
        <is>
          <t>Yes</t>
        </is>
      </c>
      <c r="CJ58" s="3" t="n"/>
      <c r="CK58" s="3" t="n"/>
      <c r="CL58" s="3" t="n"/>
      <c r="CM58" s="3" t="n"/>
      <c r="CN58" s="3" t="n"/>
      <c r="CO58" s="3" t="n"/>
      <c r="CP58" s="3" t="n"/>
      <c r="CQ58" s="3" t="n"/>
      <c r="CR58" s="3" t="n"/>
      <c r="CS58" s="3" t="n"/>
      <c r="CT58" s="3" t="n"/>
      <c r="CU58" s="3" t="n"/>
      <c r="CV58" s="3" t="n"/>
      <c r="CW58" s="3" t="n"/>
      <c r="CX58" s="3" t="n"/>
      <c r="CY58" s="3" t="n"/>
      <c r="CZ58" s="3" t="n"/>
      <c r="DA58" s="3" t="n"/>
      <c r="DB58" s="3" t="n"/>
      <c r="DC58" s="3" t="n"/>
      <c r="DD58" s="3" t="n"/>
      <c r="DE58" s="3" t="n"/>
      <c r="DF58" s="3" t="n"/>
      <c r="DG58" s="3" t="n"/>
      <c r="DH58" s="3" t="n"/>
      <c r="DI58" s="3" t="n"/>
      <c r="DJ58" s="3" t="n"/>
      <c r="DK58" s="3" t="n"/>
      <c r="DL58" s="3" t="n"/>
      <c r="DM58" s="3" t="n"/>
      <c r="DN58" s="3" t="n"/>
      <c r="DO58" s="3" t="n"/>
      <c r="DP58" s="3" t="inlineStr">
        <is>
          <t>My country is not eligible for an RSF arrangement</t>
        </is>
      </c>
      <c r="DQ58" s="3" t="n"/>
      <c r="DR58" s="3" t="n"/>
      <c r="DS58" s="3" t="n"/>
      <c r="DT58" s="3" t="n"/>
      <c r="DU58" s="3" t="n"/>
      <c r="DV58" s="3" t="n"/>
      <c r="DW58" s="3" t="inlineStr">
        <is>
          <t>Yes</t>
        </is>
      </c>
      <c r="DX58" s="3" t="n"/>
      <c r="DY58" s="3" t="inlineStr">
        <is>
          <t>Regional development banks</t>
        </is>
      </c>
      <c r="DZ58" s="3" t="inlineStr">
        <is>
          <t>Bilateral sources</t>
        </is>
      </c>
      <c r="EA58" s="3" t="n"/>
      <c r="EB58" s="3" t="n"/>
      <c r="EC58" s="3" t="inlineStr">
        <is>
          <t>To a great extent</t>
        </is>
      </c>
      <c r="ED58" s="3" t="inlineStr">
        <is>
          <t>To a moderate extent</t>
        </is>
      </c>
      <c r="EE58" s="3" t="inlineStr">
        <is>
          <t>To a moderate extent</t>
        </is>
      </c>
      <c r="EF58" s="3" t="inlineStr">
        <is>
          <t>To a moderate extent</t>
        </is>
      </c>
      <c r="EG58" s="3" t="inlineStr">
        <is>
          <t>To a moderate extent</t>
        </is>
      </c>
      <c r="EH58" s="3" t="inlineStr">
        <is>
          <t>To a moderate extent</t>
        </is>
      </c>
      <c r="EI58" s="3" t="inlineStr">
        <is>
          <t>To a moderate extent</t>
        </is>
      </c>
      <c r="EJ58" s="3" t="inlineStr">
        <is>
          <t>To a moderate extent</t>
        </is>
      </c>
      <c r="EK58" s="3" t="inlineStr">
        <is>
          <t>To a moderate extent</t>
        </is>
      </c>
      <c r="EL58" s="3" t="inlineStr">
        <is>
          <t>To a moderate extent</t>
        </is>
      </c>
      <c r="EM58" s="3" t="inlineStr">
        <is>
          <t>To a moderate extent</t>
        </is>
      </c>
      <c r="EN58" s="3" t="inlineStr">
        <is>
          <t>To a moderate extent</t>
        </is>
      </c>
      <c r="EO58" s="3" t="inlineStr">
        <is>
          <t>To a moderate extent</t>
        </is>
      </c>
      <c r="EP58" s="3" t="n"/>
      <c r="EQ58" s="3" t="inlineStr">
        <is>
          <t>To a slight extent</t>
        </is>
      </c>
      <c r="ER58" s="3" t="inlineStr">
        <is>
          <t>To a slight extent</t>
        </is>
      </c>
      <c r="ES58" s="3" t="n"/>
      <c r="ET58" s="3" t="inlineStr">
        <is>
          <t>To a slight extent</t>
        </is>
      </c>
      <c r="EU58" s="3" t="inlineStr">
        <is>
          <t>To a slight extent</t>
        </is>
      </c>
      <c r="EV58" s="3" t="inlineStr">
        <is>
          <t>To a slight extent</t>
        </is>
      </c>
      <c r="EW58" s="3" t="n"/>
      <c r="EX58" s="3" t="n"/>
      <c r="EY58" s="3" t="inlineStr">
        <is>
          <t>To a moderate extent</t>
        </is>
      </c>
      <c r="EZ58" s="3" t="inlineStr">
        <is>
          <t>Not at all</t>
        </is>
      </c>
      <c r="FA58" s="3" t="inlineStr">
        <is>
          <t>To a moderate extent</t>
        </is>
      </c>
      <c r="FB58" s="3" t="inlineStr">
        <is>
          <t>To a moderate extent</t>
        </is>
      </c>
      <c r="FC58" s="3" t="inlineStr">
        <is>
          <t>To a great extent</t>
        </is>
      </c>
      <c r="FD58" s="3" t="inlineStr">
        <is>
          <t>To a great extent</t>
        </is>
      </c>
      <c r="FE58" s="3" t="inlineStr">
        <is>
          <t>To a moderate extent</t>
        </is>
      </c>
      <c r="FF58" s="3" t="inlineStr">
        <is>
          <t>To a moderate extent</t>
        </is>
      </c>
      <c r="FG58" s="3" t="inlineStr">
        <is>
          <t>To a moderate extent</t>
        </is>
      </c>
      <c r="FH58" s="3" t="inlineStr">
        <is>
          <t>To a slight extent</t>
        </is>
      </c>
      <c r="FI58" s="3" t="inlineStr">
        <is>
          <t>To a slight extent</t>
        </is>
      </c>
      <c r="FJ58" s="3" t="inlineStr">
        <is>
          <t>Not at all</t>
        </is>
      </c>
      <c r="FK58" s="3" t="inlineStr">
        <is>
          <t>To a slight extent</t>
        </is>
      </c>
      <c r="FL58" s="3" t="inlineStr">
        <is>
          <t>To a slight extent</t>
        </is>
      </c>
      <c r="FM58" s="3" t="inlineStr">
        <is>
          <t>To a moderate extent</t>
        </is>
      </c>
      <c r="FN58" s="3" t="inlineStr">
        <is>
          <t>To a moderate extent</t>
        </is>
      </c>
      <c r="FO58" s="3" t="inlineStr">
        <is>
          <t>To a slight extent</t>
        </is>
      </c>
      <c r="FP58" s="3" t="inlineStr">
        <is>
          <t>To a slight extent</t>
        </is>
      </c>
      <c r="FQ58" s="3" t="inlineStr">
        <is>
          <t>To a slight extent</t>
        </is>
      </c>
      <c r="FR58" s="3" t="inlineStr">
        <is>
          <t>Not at all</t>
        </is>
      </c>
      <c r="FS58" s="3" t="inlineStr">
        <is>
          <t>Not at all</t>
        </is>
      </c>
      <c r="FT58" s="3" t="inlineStr">
        <is>
          <t>Not at all</t>
        </is>
      </c>
      <c r="FU58" s="3" t="n"/>
      <c r="FV58" s="3" t="n"/>
      <c r="FW58" s="3" t="inlineStr">
        <is>
          <t>The IMF should have dedicated more resources</t>
        </is>
      </c>
      <c r="FX58" s="3" t="n"/>
      <c r="FY58" s="3" t="inlineStr">
        <is>
          <t>To a moderate extent</t>
        </is>
      </c>
      <c r="FZ58" s="3" t="inlineStr">
        <is>
          <t>To a moderate extent</t>
        </is>
      </c>
      <c r="GA58" s="3" t="inlineStr">
        <is>
          <t>To a moderate extent</t>
        </is>
      </c>
      <c r="GB58" s="3" t="inlineStr">
        <is>
          <t>To a moderate extent</t>
        </is>
      </c>
      <c r="GC58" s="3" t="n"/>
      <c r="GD58" s="3" t="n"/>
      <c r="GE58" s="3" t="inlineStr">
        <is>
          <t>To a great extent</t>
        </is>
      </c>
      <c r="GF58" s="3" t="inlineStr">
        <is>
          <t>To a great extent</t>
        </is>
      </c>
      <c r="GG58" s="3" t="inlineStr">
        <is>
          <t>To a great extent</t>
        </is>
      </c>
      <c r="GH58" s="3" t="inlineStr">
        <is>
          <t>To a moderate extent</t>
        </is>
      </c>
      <c r="GI58" s="3" t="inlineStr">
        <is>
          <t>To a great extent</t>
        </is>
      </c>
      <c r="GJ58" s="3" t="inlineStr">
        <is>
          <t>To a great extent</t>
        </is>
      </c>
      <c r="GK58" s="3" t="inlineStr">
        <is>
          <t>Ecuador appreciates the IMF's growing focus on climate issues, particularly the analysis of physical vulnerabilities and technical support for innovative instruments such as debt-for-nature swaps. However, greater flexibility is needed in eligibility criteria for climate-specific facilities such as the RSF, considering that upper-middle-income countries like Ecuador face significant climate vulnerabilities but have limited access to concessional climate finance. We recommend strengthening independent climate-specific technical assistance and trainings and developing more robust climate fiscal and macroeconomic policy frameworks.</t>
        </is>
      </c>
      <c r="GL58" s="5">
        <f>DATE(2025,6,13)+TIME(16,6,14)</f>
        <v/>
      </c>
    </row>
    <row r="59" ht="47.25" customFormat="1" customHeight="1" s="9">
      <c r="A59" s="8" t="inlineStr">
        <is>
          <t>Hana</t>
        </is>
      </c>
      <c r="B59" s="8" t="inlineStr">
        <is>
          <t>Johansson</t>
        </is>
      </c>
      <c r="C59" s="8" t="inlineStr">
        <is>
          <t>hjohansson@organization.org</t>
        </is>
      </c>
      <c r="D59" s="8" t="inlineStr">
        <is>
          <t>UTYOS26WD</t>
        </is>
      </c>
      <c r="E59" s="8" t="n"/>
      <c r="F59" s="8" t="inlineStr">
        <is>
          <t>OEDCE</t>
        </is>
      </c>
      <c r="G59" s="6" t="n"/>
      <c r="H59" s="6" t="n"/>
      <c r="I59" s="6" t="n"/>
      <c r="J59" s="6" t="n"/>
      <c r="K59" s="6" t="n"/>
      <c r="L59" s="6" t="n"/>
      <c r="M59" s="6" t="n"/>
      <c r="N59" s="6" t="inlineStr">
        <is>
          <t>Mexico</t>
        </is>
      </c>
      <c r="O59" s="6" t="n"/>
      <c r="P59" s="6" t="n"/>
      <c r="Q59" s="6" t="n"/>
      <c r="R59" s="6" t="n"/>
      <c r="S59" s="6" t="n"/>
      <c r="T59" s="6" t="n"/>
      <c r="U59" s="6" t="n"/>
      <c r="V59" s="6" t="n"/>
      <c r="W59" s="6" t="n"/>
      <c r="X59" s="6" t="n"/>
      <c r="Y59" s="6" t="n"/>
      <c r="Z59" s="6" t="n"/>
      <c r="AA59" s="6" t="n"/>
      <c r="AB59" s="6" t="n"/>
      <c r="AC59" s="6" t="n"/>
      <c r="AD59" s="6" t="n"/>
      <c r="AE59" s="6" t="n"/>
      <c r="AF59" s="9" t="inlineStr">
        <is>
          <t>Mexico</t>
        </is>
      </c>
      <c r="AG59" s="8" t="inlineStr">
        <is>
          <t>The IMF should engage more on climate change-related issues</t>
        </is>
      </c>
      <c r="AH59" s="8" t="inlineStr">
        <is>
          <t>To a moderate extent</t>
        </is>
      </c>
      <c r="AI59" s="8" t="inlineStr">
        <is>
          <t>To a moderate extent</t>
        </is>
      </c>
      <c r="AJ59" s="8" t="inlineStr">
        <is>
          <t>To a slight extent</t>
        </is>
      </c>
      <c r="AK59" s="8" t="inlineStr">
        <is>
          <t>To a moderate extent</t>
        </is>
      </c>
      <c r="AL59" s="8" t="inlineStr">
        <is>
          <t>Not at all</t>
        </is>
      </c>
      <c r="AM59" s="8" t="inlineStr">
        <is>
          <t>Don’t know or not applicable</t>
        </is>
      </c>
      <c r="AN59" s="8" t="inlineStr">
        <is>
          <t>Don’t know or not applicable</t>
        </is>
      </c>
      <c r="AO59" s="8" t="inlineStr">
        <is>
          <t>Not at all</t>
        </is>
      </c>
      <c r="AP59" s="8" t="inlineStr">
        <is>
          <t>Not at all</t>
        </is>
      </c>
      <c r="AQ59" s="8" t="inlineStr">
        <is>
          <t>To a great extent</t>
        </is>
      </c>
      <c r="AR59" s="8" t="inlineStr">
        <is>
          <t>To a slight extent</t>
        </is>
      </c>
      <c r="AS59" s="8" t="n"/>
      <c r="AT59" s="8" t="inlineStr">
        <is>
          <t>Don’t know or not applicable</t>
        </is>
      </c>
      <c r="AU59" s="8" t="inlineStr">
        <is>
          <t>To a moderate extent</t>
        </is>
      </c>
      <c r="AV59" s="8" t="inlineStr">
        <is>
          <t>Not at all</t>
        </is>
      </c>
      <c r="AW59" s="8" t="inlineStr">
        <is>
          <t>To a slight extent</t>
        </is>
      </c>
      <c r="AX59" s="8" t="inlineStr">
        <is>
          <t>To a slight extent</t>
        </is>
      </c>
      <c r="AY59" s="8" t="inlineStr">
        <is>
          <t>Don’t know or not applicable</t>
        </is>
      </c>
      <c r="AZ59" s="8" t="inlineStr">
        <is>
          <t>To a moderate extent</t>
        </is>
      </c>
      <c r="BA59" s="8" t="inlineStr">
        <is>
          <t>Not at all</t>
        </is>
      </c>
      <c r="BB59" s="8" t="inlineStr">
        <is>
          <t>To a slight extent</t>
        </is>
      </c>
      <c r="BC59" s="8" t="inlineStr">
        <is>
          <t>To a slight extent</t>
        </is>
      </c>
      <c r="BD59" s="8" t="inlineStr">
        <is>
          <t>To a moderate extent</t>
        </is>
      </c>
      <c r="BE59" s="8" t="inlineStr">
        <is>
          <t>Don’t know or not applicable</t>
        </is>
      </c>
      <c r="BF59" s="8" t="inlineStr">
        <is>
          <t>Don’t know or not applicable</t>
        </is>
      </c>
      <c r="BG59" s="8" t="inlineStr">
        <is>
          <t>Don’t know or not applicable</t>
        </is>
      </c>
      <c r="BH59" s="8" t="inlineStr">
        <is>
          <t>Don’t know or not applicable</t>
        </is>
      </c>
      <c r="BI59" s="8" t="inlineStr">
        <is>
          <t>Don’t know or not applicable</t>
        </is>
      </c>
      <c r="BJ59" s="8" t="inlineStr">
        <is>
          <t>To a moderate extent</t>
        </is>
      </c>
      <c r="BK59" s="8" t="inlineStr">
        <is>
          <t>Not at all</t>
        </is>
      </c>
      <c r="BL59" s="8" t="inlineStr">
        <is>
          <t>To a moderate extent</t>
        </is>
      </c>
      <c r="BM59" s="8" t="inlineStr">
        <is>
          <t>To a slight extent</t>
        </is>
      </c>
      <c r="BN59" s="8" t="inlineStr">
        <is>
          <t>To a slight extent</t>
        </is>
      </c>
      <c r="BO59" s="8" t="inlineStr">
        <is>
          <t>To a great extent</t>
        </is>
      </c>
      <c r="BP59" s="8" t="inlineStr">
        <is>
          <t>To a slight extent</t>
        </is>
      </c>
      <c r="BQ59" s="8" t="inlineStr">
        <is>
          <t>Don’t know or not applicable</t>
        </is>
      </c>
      <c r="BR59" s="8" t="n"/>
      <c r="BS59" s="8" t="n"/>
      <c r="BT59" s="8" t="inlineStr">
        <is>
          <t>The IMF should have dedicated more resources</t>
        </is>
      </c>
      <c r="BU59" s="8" t="inlineStr">
        <is>
          <t>To a great extent</t>
        </is>
      </c>
      <c r="BV59" s="8" t="inlineStr">
        <is>
          <t>To a slight extent</t>
        </is>
      </c>
      <c r="BW59" s="8" t="inlineStr">
        <is>
          <t>To a moderate extent</t>
        </is>
      </c>
      <c r="BX59" s="8" t="inlineStr">
        <is>
          <t>To a great extent</t>
        </is>
      </c>
      <c r="BY59" s="8" t="inlineStr">
        <is>
          <t>To a slight extent</t>
        </is>
      </c>
      <c r="BZ59" s="8" t="inlineStr">
        <is>
          <t>To a moderate extent</t>
        </is>
      </c>
      <c r="CA59" s="8" t="inlineStr">
        <is>
          <t>To a great extent</t>
        </is>
      </c>
      <c r="CB59" s="8" t="inlineStr">
        <is>
          <t>To a moderate extent</t>
        </is>
      </c>
      <c r="CC59" s="8" t="inlineStr">
        <is>
          <t>To a great extent</t>
        </is>
      </c>
      <c r="CD59" s="8" t="inlineStr">
        <is>
          <t>To a great extent</t>
        </is>
      </c>
      <c r="CE59" s="8" t="inlineStr">
        <is>
          <t>To a slight extent</t>
        </is>
      </c>
      <c r="CF59" s="8" t="inlineStr">
        <is>
          <t>To a great extent</t>
        </is>
      </c>
      <c r="CG59" s="8" t="n"/>
      <c r="CH59" s="8" t="inlineStr">
        <is>
          <t>No</t>
        </is>
      </c>
      <c r="CI59" s="8" t="inlineStr">
        <is>
          <t>Yes</t>
        </is>
      </c>
      <c r="CJ59" s="8" t="n"/>
      <c r="CK59" s="8" t="n"/>
      <c r="CL59" s="8" t="n"/>
      <c r="CM59" s="8" t="n"/>
      <c r="CN59" s="8" t="n"/>
      <c r="CO59" s="8" t="n"/>
      <c r="CP59" s="8" t="n"/>
      <c r="CQ59" s="8" t="n"/>
      <c r="CR59" s="8" t="n"/>
      <c r="CS59" s="8" t="n"/>
      <c r="CT59" s="8" t="n"/>
      <c r="CU59" s="8" t="n"/>
      <c r="CV59" s="8" t="n"/>
      <c r="CW59" s="8" t="n"/>
      <c r="CX59" s="8" t="n"/>
      <c r="CY59" s="8" t="n"/>
      <c r="CZ59" s="8" t="n"/>
      <c r="DA59" s="8" t="n"/>
      <c r="DB59" s="8" t="n"/>
      <c r="DC59" s="8" t="n"/>
      <c r="DD59" s="8" t="n"/>
      <c r="DE59" s="8" t="n"/>
      <c r="DF59" s="8" t="n"/>
      <c r="DG59" s="8" t="n"/>
      <c r="DH59" s="8" t="n"/>
      <c r="DI59" s="8" t="n"/>
      <c r="DJ59" s="8" t="n"/>
      <c r="DK59" s="8" t="n"/>
      <c r="DL59" s="8" t="n"/>
      <c r="DM59" s="8" t="n"/>
      <c r="DN59" s="8" t="n"/>
      <c r="DO59" s="8" t="n"/>
      <c r="DP59" s="8" t="inlineStr">
        <is>
          <t>My country is not eligible for an RSF arrangement</t>
        </is>
      </c>
      <c r="DQ59" s="8" t="n"/>
      <c r="DR59" s="8" t="n"/>
      <c r="DS59" s="8" t="n"/>
      <c r="DT59" s="8" t="n"/>
      <c r="DU59" s="8" t="n"/>
      <c r="DV59" s="8" t="n"/>
      <c r="DW59" s="8" t="inlineStr">
        <is>
          <t>Yes</t>
        </is>
      </c>
      <c r="DX59" s="8" t="inlineStr">
        <is>
          <t>World Bank Group</t>
        </is>
      </c>
      <c r="DY59" s="8" t="inlineStr">
        <is>
          <t>Regional development banks</t>
        </is>
      </c>
      <c r="DZ59" s="8" t="inlineStr">
        <is>
          <t>Bilateral sources</t>
        </is>
      </c>
      <c r="EA59" s="8" t="n"/>
      <c r="EB59" s="8" t="n"/>
      <c r="EC59" s="8" t="inlineStr">
        <is>
          <t>Don’t know or not applicable</t>
        </is>
      </c>
      <c r="ED59" s="8" t="inlineStr">
        <is>
          <t>Don’t know or not applicable</t>
        </is>
      </c>
      <c r="EE59" s="8" t="inlineStr">
        <is>
          <t>Don’t know or not applicable</t>
        </is>
      </c>
      <c r="EF59" s="8" t="inlineStr">
        <is>
          <t>Don’t know or not applicable</t>
        </is>
      </c>
      <c r="EG59" s="8" t="inlineStr">
        <is>
          <t>Don’t know or not applicable</t>
        </is>
      </c>
      <c r="EH59" s="8" t="inlineStr">
        <is>
          <t>Don’t know or not applicable</t>
        </is>
      </c>
      <c r="EI59" s="8" t="inlineStr">
        <is>
          <t>Don’t know or not applicable</t>
        </is>
      </c>
      <c r="EJ59" s="8" t="inlineStr">
        <is>
          <t>Don’t know or not applicable</t>
        </is>
      </c>
      <c r="EK59" s="8" t="inlineStr">
        <is>
          <t>Don’t know or not applicable</t>
        </is>
      </c>
      <c r="EL59" s="8" t="inlineStr">
        <is>
          <t>Don’t know or not applicable</t>
        </is>
      </c>
      <c r="EM59" s="8" t="inlineStr">
        <is>
          <t>To a great extent</t>
        </is>
      </c>
      <c r="EN59" s="8" t="inlineStr">
        <is>
          <t>To a moderate extent</t>
        </is>
      </c>
      <c r="EO59" s="8" t="inlineStr">
        <is>
          <t>To a great extent</t>
        </is>
      </c>
      <c r="EP59" s="8" t="n"/>
      <c r="EQ59" s="8" t="inlineStr">
        <is>
          <t>Not at all</t>
        </is>
      </c>
      <c r="ER59" s="8" t="inlineStr">
        <is>
          <t>Not at all</t>
        </is>
      </c>
      <c r="ES59" s="8" t="n"/>
      <c r="ET59" s="8" t="n"/>
      <c r="EU59" s="8" t="n"/>
      <c r="EV59" s="8" t="n"/>
      <c r="EW59" s="8" t="n"/>
      <c r="EX59" s="8" t="n"/>
      <c r="EY59" s="8" t="n"/>
      <c r="EZ59" s="8" t="n"/>
      <c r="FA59" s="8" t="n"/>
      <c r="FB59" s="8" t="n"/>
      <c r="FC59" s="8" t="n"/>
      <c r="FD59" s="8" t="n"/>
      <c r="FE59" s="8" t="n"/>
      <c r="FF59" s="8" t="n"/>
      <c r="FG59" s="8" t="n"/>
      <c r="FH59" s="8" t="n"/>
      <c r="FI59" s="8" t="n"/>
      <c r="FJ59" s="8" t="n"/>
      <c r="FK59" s="8" t="n"/>
      <c r="FL59" s="8" t="n"/>
      <c r="FM59" s="8" t="n"/>
      <c r="FN59" s="8" t="n"/>
      <c r="FO59" s="8" t="n"/>
      <c r="FP59" s="8" t="n"/>
      <c r="FQ59" s="8" t="n"/>
      <c r="FR59" s="8" t="n"/>
      <c r="FS59" s="8" t="n"/>
      <c r="FT59" s="8" t="n"/>
      <c r="FU59" s="8" t="n"/>
      <c r="FV59" s="8" t="n"/>
      <c r="FW59" s="8" t="n"/>
      <c r="FX59" s="8" t="n"/>
      <c r="FY59" s="8" t="inlineStr">
        <is>
          <t>To a great extent</t>
        </is>
      </c>
      <c r="FZ59" s="8" t="inlineStr">
        <is>
          <t>To a great extent</t>
        </is>
      </c>
      <c r="GA59" s="8" t="inlineStr">
        <is>
          <t>To a great extent</t>
        </is>
      </c>
      <c r="GB59" s="8" t="inlineStr">
        <is>
          <t>To a great extent</t>
        </is>
      </c>
      <c r="GC59" s="8" t="inlineStr">
        <is>
          <t>Don’t know or not applicable</t>
        </is>
      </c>
      <c r="GD59" s="8" t="n"/>
      <c r="GE59" s="8" t="inlineStr">
        <is>
          <t>To a moderate extent</t>
        </is>
      </c>
      <c r="GF59" s="8" t="inlineStr">
        <is>
          <t>To a great extent</t>
        </is>
      </c>
      <c r="GG59" s="8" t="inlineStr">
        <is>
          <t>To a great extent</t>
        </is>
      </c>
      <c r="GH59" s="8" t="inlineStr">
        <is>
          <t>To a moderate extent</t>
        </is>
      </c>
      <c r="GI59" s="8" t="inlineStr">
        <is>
          <t>To a slight extent</t>
        </is>
      </c>
      <c r="GJ59" s="8" t="inlineStr">
        <is>
          <t>To a great extent</t>
        </is>
      </c>
      <c r="GK59" s="8" t="n"/>
      <c r="GL59" s="10">
        <f>DATE(2025,6,10)+TIME(13,16,18)</f>
        <v/>
      </c>
    </row>
    <row r="60" ht="47.25" customHeight="1">
      <c r="A60" s="3" t="inlineStr">
        <is>
          <t>Carlos</t>
        </is>
      </c>
      <c r="B60" s="3" t="inlineStr">
        <is>
          <t>Hassan</t>
        </is>
      </c>
      <c r="C60" s="3" t="inlineStr">
        <is>
          <t>chassan@organization.org</t>
        </is>
      </c>
      <c r="D60" s="3" t="inlineStr">
        <is>
          <t>SUZ8WLTNJ</t>
        </is>
      </c>
      <c r="E60" s="3" t="n"/>
      <c r="F60" s="3" t="inlineStr">
        <is>
          <t>OEDST</t>
        </is>
      </c>
      <c r="G60" s="3" t="n"/>
      <c r="H60" s="3" t="n"/>
      <c r="I60" s="3" t="n"/>
      <c r="J60" s="3" t="n"/>
      <c r="K60" s="3" t="n"/>
      <c r="L60" s="3" t="n"/>
      <c r="M60" s="3" t="n"/>
      <c r="N60" s="3" t="n"/>
      <c r="O60" s="3" t="n"/>
      <c r="P60" s="3" t="n"/>
      <c r="Q60" s="3" t="n"/>
      <c r="R60" s="3" t="n"/>
      <c r="S60" s="3" t="n"/>
      <c r="T60" s="3" t="n"/>
      <c r="U60" s="3" t="n"/>
      <c r="V60" s="3" t="n"/>
      <c r="W60" s="3" t="n"/>
      <c r="X60" s="3" t="n"/>
      <c r="Y60" s="3" t="n"/>
      <c r="Z60" s="3" t="n"/>
      <c r="AA60" s="3" t="n"/>
      <c r="AB60" s="3" t="inlineStr">
        <is>
          <t>Singapore</t>
        </is>
      </c>
      <c r="AC60" s="3" t="n"/>
      <c r="AD60" s="3" t="n"/>
      <c r="AE60" s="3" t="n"/>
      <c r="AF60" s="4" t="inlineStr">
        <is>
          <t>Singapore</t>
        </is>
      </c>
      <c r="AG60" s="3" t="inlineStr">
        <is>
          <t>The IMF should engage more on climate change-related issues</t>
        </is>
      </c>
      <c r="AH60" s="3" t="inlineStr">
        <is>
          <t>To a slight extent</t>
        </is>
      </c>
      <c r="AI60" s="3" t="inlineStr">
        <is>
          <t>To a moderate extent</t>
        </is>
      </c>
      <c r="AJ60" s="3" t="inlineStr">
        <is>
          <t>To a slight extent</t>
        </is>
      </c>
      <c r="AK60" s="3" t="inlineStr">
        <is>
          <t>To a moderate extent</t>
        </is>
      </c>
      <c r="AL60" s="3" t="inlineStr">
        <is>
          <t>To a moderate extent</t>
        </is>
      </c>
      <c r="AM60" s="3" t="inlineStr">
        <is>
          <t>Don’t know or not applicable</t>
        </is>
      </c>
      <c r="AN60" s="3" t="inlineStr">
        <is>
          <t>To a slight extent</t>
        </is>
      </c>
      <c r="AO60" s="3" t="inlineStr">
        <is>
          <t>Don’t know or not applicable</t>
        </is>
      </c>
      <c r="AP60" s="3" t="inlineStr">
        <is>
          <t>To a moderate extent</t>
        </is>
      </c>
      <c r="AQ60" s="3" t="inlineStr">
        <is>
          <t>To a moderate extent</t>
        </is>
      </c>
      <c r="AR60" s="3" t="inlineStr">
        <is>
          <t>To a moderate extent</t>
        </is>
      </c>
      <c r="AS60" s="3" t="n"/>
      <c r="AT60" s="3" t="inlineStr">
        <is>
          <t>To a slight extent</t>
        </is>
      </c>
      <c r="AU60" s="3" t="inlineStr">
        <is>
          <t>To a moderate extent</t>
        </is>
      </c>
      <c r="AV60" s="3" t="inlineStr">
        <is>
          <t>Not at all</t>
        </is>
      </c>
      <c r="AW60" s="3" t="inlineStr">
        <is>
          <t>To a moderate extent</t>
        </is>
      </c>
      <c r="AX60" s="3" t="inlineStr">
        <is>
          <t>To a slight extent</t>
        </is>
      </c>
      <c r="AY60" s="3" t="inlineStr">
        <is>
          <t>Don’t know or not applicable</t>
        </is>
      </c>
      <c r="AZ60" s="3" t="inlineStr">
        <is>
          <t>Don’t know or not applicable</t>
        </is>
      </c>
      <c r="BA60" s="3" t="inlineStr">
        <is>
          <t>Don’t know or not applicable</t>
        </is>
      </c>
      <c r="BB60" s="3" t="inlineStr">
        <is>
          <t>To a moderate extent</t>
        </is>
      </c>
      <c r="BC60" s="3" t="inlineStr">
        <is>
          <t>To a moderate extent</t>
        </is>
      </c>
      <c r="BD60" s="3" t="inlineStr">
        <is>
          <t>Don’t know or not applicable</t>
        </is>
      </c>
      <c r="BE60" s="3" t="inlineStr">
        <is>
          <t>To a slight extent</t>
        </is>
      </c>
      <c r="BF60" s="3" t="inlineStr">
        <is>
          <t>Don’t know or not applicable</t>
        </is>
      </c>
      <c r="BG60" s="3" t="inlineStr">
        <is>
          <t>To a slight extent</t>
        </is>
      </c>
      <c r="BH60" s="3" t="inlineStr">
        <is>
          <t>To a slight extent</t>
        </is>
      </c>
      <c r="BI60" s="3" t="inlineStr">
        <is>
          <t>Don’t know or not applicable</t>
        </is>
      </c>
      <c r="BJ60" s="3" t="inlineStr">
        <is>
          <t>To a moderate extent</t>
        </is>
      </c>
      <c r="BK60" s="3" t="inlineStr">
        <is>
          <t>Don’t know or not applicable</t>
        </is>
      </c>
      <c r="BL60" s="3" t="inlineStr">
        <is>
          <t>To a moderate extent</t>
        </is>
      </c>
      <c r="BM60" s="3" t="inlineStr">
        <is>
          <t>To a moderate extent</t>
        </is>
      </c>
      <c r="BN60" s="3" t="inlineStr">
        <is>
          <t>Don’t know or not applicable</t>
        </is>
      </c>
      <c r="BO60" s="3" t="inlineStr">
        <is>
          <t>Don’t know or not applicable</t>
        </is>
      </c>
      <c r="BP60" s="3" t="inlineStr">
        <is>
          <t>Don’t know or not applicable</t>
        </is>
      </c>
      <c r="BQ60" s="3" t="inlineStr">
        <is>
          <t>Don’t know or not applicable</t>
        </is>
      </c>
      <c r="BR60" s="3" t="inlineStr">
        <is>
          <t>Don’t know or not applicable</t>
        </is>
      </c>
      <c r="BS60" s="3" t="n"/>
      <c r="BT60" s="3" t="inlineStr">
        <is>
          <t>The IMF dedicated an appropriate amount of resources</t>
        </is>
      </c>
      <c r="BU60" s="3" t="inlineStr">
        <is>
          <t>To a great extent</t>
        </is>
      </c>
      <c r="BV60" s="3" t="inlineStr">
        <is>
          <t>To a great extent</t>
        </is>
      </c>
      <c r="BW60" s="3" t="inlineStr">
        <is>
          <t>To a great extent</t>
        </is>
      </c>
      <c r="BX60" s="3" t="inlineStr">
        <is>
          <t>To a great extent</t>
        </is>
      </c>
      <c r="BY60" s="3" t="inlineStr">
        <is>
          <t>To a great extent</t>
        </is>
      </c>
      <c r="BZ60" s="3" t="inlineStr">
        <is>
          <t>To a great extent</t>
        </is>
      </c>
      <c r="CA60" s="3" t="inlineStr">
        <is>
          <t>To a great extent</t>
        </is>
      </c>
      <c r="CB60" s="3" t="inlineStr">
        <is>
          <t>To a great extent</t>
        </is>
      </c>
      <c r="CC60" s="3" t="inlineStr">
        <is>
          <t>To a great extent</t>
        </is>
      </c>
      <c r="CD60" s="3" t="inlineStr">
        <is>
          <t>To a great extent</t>
        </is>
      </c>
      <c r="CE60" s="3" t="inlineStr">
        <is>
          <t>To a great extent</t>
        </is>
      </c>
      <c r="CF60" s="3" t="inlineStr">
        <is>
          <t>To a great extent</t>
        </is>
      </c>
      <c r="CG60" s="3" t="n"/>
      <c r="CH60" s="3" t="inlineStr">
        <is>
          <t>No</t>
        </is>
      </c>
      <c r="CI60" s="3" t="inlineStr">
        <is>
          <t>No</t>
        </is>
      </c>
      <c r="CJ60" s="3" t="n"/>
      <c r="CK60" s="3" t="n"/>
      <c r="CL60" s="3" t="n"/>
      <c r="CM60" s="3" t="n"/>
      <c r="CN60" s="3" t="n"/>
      <c r="CO60" s="3" t="n"/>
      <c r="CP60" s="3" t="n"/>
      <c r="CQ60" s="3" t="n"/>
      <c r="CR60" s="3" t="n"/>
      <c r="CS60" s="3" t="n"/>
      <c r="CT60" s="3" t="n"/>
      <c r="CU60" s="3" t="n"/>
      <c r="CV60" s="3" t="n"/>
      <c r="CW60" s="3" t="n"/>
      <c r="CX60" s="3" t="n"/>
      <c r="CY60" s="3" t="n"/>
      <c r="CZ60" s="3" t="n"/>
      <c r="DA60" s="3" t="n"/>
      <c r="DB60" s="3" t="n"/>
      <c r="DC60" s="3" t="n"/>
      <c r="DD60" s="3" t="n"/>
      <c r="DE60" s="3" t="n"/>
      <c r="DF60" s="3" t="n"/>
      <c r="DG60" s="3" t="n"/>
      <c r="DH60" s="3" t="n"/>
      <c r="DI60" s="3" t="n"/>
      <c r="DJ60" s="3" t="n"/>
      <c r="DK60" s="3" t="n"/>
      <c r="DL60" s="3" t="n"/>
      <c r="DM60" s="3" t="n"/>
      <c r="DN60" s="3" t="n"/>
      <c r="DO60" s="3" t="n"/>
      <c r="DP60" s="3" t="inlineStr">
        <is>
          <t>My country is not eligible for an RSF arrangement</t>
        </is>
      </c>
      <c r="DQ60" s="3" t="inlineStr">
        <is>
          <t>Climate change does not pose a major balance of payments risk in my country</t>
        </is>
      </c>
      <c r="DR60" s="3" t="n"/>
      <c r="DS60" s="3" t="n"/>
      <c r="DT60" s="3" t="n"/>
      <c r="DU60" s="3" t="n"/>
      <c r="DV60" s="3" t="n"/>
      <c r="DW60" s="3" t="inlineStr">
        <is>
          <t>No</t>
        </is>
      </c>
      <c r="DX60" s="3" t="n"/>
      <c r="DY60" s="3" t="n"/>
      <c r="DZ60" s="3" t="n"/>
      <c r="EA60" s="3" t="n"/>
      <c r="EB60" s="3" t="n"/>
      <c r="EC60" s="3" t="n"/>
      <c r="ED60" s="3" t="n"/>
      <c r="EE60" s="3" t="n"/>
      <c r="EF60" s="3" t="inlineStr">
        <is>
          <t>Don’t know or not applicable</t>
        </is>
      </c>
      <c r="EG60" s="3" t="inlineStr">
        <is>
          <t>Don’t know or not applicable</t>
        </is>
      </c>
      <c r="EH60" s="3" t="inlineStr">
        <is>
          <t>Don’t know or not applicable</t>
        </is>
      </c>
      <c r="EI60" s="3" t="inlineStr">
        <is>
          <t>Don’t know or not applicable</t>
        </is>
      </c>
      <c r="EJ60" s="3" t="inlineStr">
        <is>
          <t>Don’t know or not applicable</t>
        </is>
      </c>
      <c r="EK60" s="3" t="inlineStr">
        <is>
          <t>Not at all</t>
        </is>
      </c>
      <c r="EL60" s="3" t="inlineStr">
        <is>
          <t>Don’t know or not applicable</t>
        </is>
      </c>
      <c r="EM60" s="3" t="n"/>
      <c r="EN60" s="3" t="n"/>
      <c r="EO60" s="3" t="n"/>
      <c r="EP60" s="3" t="n"/>
      <c r="EQ60" s="3" t="inlineStr">
        <is>
          <t>Not at all</t>
        </is>
      </c>
      <c r="ER60" s="3" t="inlineStr">
        <is>
          <t>To a moderate extent</t>
        </is>
      </c>
      <c r="ES60" s="3" t="n"/>
      <c r="ET60" s="3" t="n"/>
      <c r="EU60" s="3" t="n"/>
      <c r="EV60" s="3" t="n"/>
      <c r="EW60" s="3" t="n"/>
      <c r="EX60" s="3" t="n"/>
      <c r="EY60" s="3" t="n"/>
      <c r="EZ60" s="3" t="n"/>
      <c r="FA60" s="3" t="n"/>
      <c r="FB60" s="3" t="n"/>
      <c r="FC60" s="3" t="n"/>
      <c r="FD60" s="3" t="n"/>
      <c r="FE60" s="3" t="n"/>
      <c r="FF60" s="3" t="n"/>
      <c r="FG60" s="3" t="n"/>
      <c r="FH60" s="3" t="inlineStr">
        <is>
          <t>To a great extent</t>
        </is>
      </c>
      <c r="FI60" s="3" t="inlineStr">
        <is>
          <t>To a great extent</t>
        </is>
      </c>
      <c r="FJ60" s="3" t="inlineStr">
        <is>
          <t>Not at all</t>
        </is>
      </c>
      <c r="FK60" s="3" t="inlineStr">
        <is>
          <t>To a great extent</t>
        </is>
      </c>
      <c r="FL60" s="3" t="inlineStr">
        <is>
          <t>To a great extent</t>
        </is>
      </c>
      <c r="FM60" s="3" t="inlineStr">
        <is>
          <t>Don’t know or not applicable</t>
        </is>
      </c>
      <c r="FN60" s="3" t="inlineStr">
        <is>
          <t>Don’t know or not applicable</t>
        </is>
      </c>
      <c r="FO60" s="3" t="inlineStr">
        <is>
          <t>Don’t know or not applicable</t>
        </is>
      </c>
      <c r="FP60" s="3" t="inlineStr">
        <is>
          <t>Don’t know or not applicable</t>
        </is>
      </c>
      <c r="FQ60" s="3" t="inlineStr">
        <is>
          <t>To a great extent</t>
        </is>
      </c>
      <c r="FR60" s="3" t="inlineStr">
        <is>
          <t>Don’t know or not applicable</t>
        </is>
      </c>
      <c r="FS60" s="3" t="inlineStr">
        <is>
          <t>Don’t know or not applicable</t>
        </is>
      </c>
      <c r="FT60" s="3" t="inlineStr">
        <is>
          <t>Don’t know or not applicable</t>
        </is>
      </c>
      <c r="FU60" s="3" t="inlineStr">
        <is>
          <t>Don’t know or not applicable</t>
        </is>
      </c>
      <c r="FV60" s="3" t="n"/>
      <c r="FW60" s="3" t="inlineStr">
        <is>
          <t>The IMF dedicated the appropriate amount of resources</t>
        </is>
      </c>
      <c r="FX60" s="3" t="n"/>
      <c r="FY60" s="3" t="inlineStr">
        <is>
          <t>To a moderate extent</t>
        </is>
      </c>
      <c r="FZ60" s="3" t="inlineStr">
        <is>
          <t>To a moderate extent</t>
        </is>
      </c>
      <c r="GA60" s="3" t="inlineStr">
        <is>
          <t>To a great extent</t>
        </is>
      </c>
      <c r="GB60" s="3" t="inlineStr">
        <is>
          <t>To a moderate extent</t>
        </is>
      </c>
      <c r="GC60" s="3" t="inlineStr">
        <is>
          <t>Don’t know or not applicable</t>
        </is>
      </c>
      <c r="GD60" s="3" t="n"/>
      <c r="GE60" s="3" t="inlineStr">
        <is>
          <t>To a slight extent</t>
        </is>
      </c>
      <c r="GF60" s="3" t="inlineStr">
        <is>
          <t>To a great extent</t>
        </is>
      </c>
      <c r="GG60" s="3" t="inlineStr">
        <is>
          <t>To a great extent</t>
        </is>
      </c>
      <c r="GH60" s="3" t="inlineStr">
        <is>
          <t>To a slight extent</t>
        </is>
      </c>
      <c r="GI60" s="3" t="inlineStr">
        <is>
          <t>To a slight extent</t>
        </is>
      </c>
      <c r="GJ60" s="3" t="inlineStr">
        <is>
          <t>To a moderate extent</t>
        </is>
      </c>
      <c r="GK60" s="3" t="n"/>
      <c r="GL60" s="5">
        <f>DATE(2025,6,6)+TIME(10,5,24)</f>
        <v/>
      </c>
    </row>
    <row r="61" ht="409.5" customHeight="1">
      <c r="A61" s="6" t="inlineStr">
        <is>
          <t>Zara</t>
        </is>
      </c>
      <c r="B61" s="6" t="inlineStr">
        <is>
          <t>Santos</t>
        </is>
      </c>
      <c r="C61" s="6" t="inlineStr">
        <is>
          <t>zsantos@organization.org</t>
        </is>
      </c>
      <c r="D61" s="6" t="inlineStr">
        <is>
          <t>WZ60FLBK0</t>
        </is>
      </c>
      <c r="E61" s="6" t="n"/>
      <c r="F61" s="6" t="inlineStr">
        <is>
          <t>OEDNO</t>
        </is>
      </c>
      <c r="G61" s="6" t="n"/>
      <c r="H61" s="6" t="n"/>
      <c r="I61" s="6" t="n"/>
      <c r="J61" s="6" t="n"/>
      <c r="K61" s="6" t="n"/>
      <c r="L61" s="6" t="n"/>
      <c r="M61" s="6" t="n"/>
      <c r="N61" s="6" t="n"/>
      <c r="O61" s="6" t="n"/>
      <c r="P61" s="6" t="n"/>
      <c r="Q61" s="6" t="n"/>
      <c r="R61" s="6" t="n"/>
      <c r="S61" s="6" t="n"/>
      <c r="T61" s="6" t="n"/>
      <c r="U61" s="6" t="n"/>
      <c r="V61" s="6" t="n"/>
      <c r="W61" s="6" t="n"/>
      <c r="X61" s="6" t="n"/>
      <c r="Y61" s="6" t="inlineStr">
        <is>
          <t>Denmark</t>
        </is>
      </c>
      <c r="Z61" s="6" t="n"/>
      <c r="AA61" s="6" t="n"/>
      <c r="AB61" s="6" t="n"/>
      <c r="AC61" s="6" t="n"/>
      <c r="AD61" s="6" t="n"/>
      <c r="AE61" s="6" t="n"/>
      <c r="AF61" s="4" t="inlineStr">
        <is>
          <t>Denmark</t>
        </is>
      </c>
      <c r="AG61" s="6" t="inlineStr">
        <is>
          <t>The IMF should engage a similar amount on climate change-related issues</t>
        </is>
      </c>
      <c r="AH61" s="6" t="inlineStr">
        <is>
          <t>To a slight extent</t>
        </is>
      </c>
      <c r="AI61" s="6" t="inlineStr">
        <is>
          <t>To a slight extent</t>
        </is>
      </c>
      <c r="AJ61" s="6" t="inlineStr">
        <is>
          <t>Don’t know or not applicable</t>
        </is>
      </c>
      <c r="AK61" s="6" t="inlineStr">
        <is>
          <t>To a moderate extent</t>
        </is>
      </c>
      <c r="AL61" s="6" t="inlineStr">
        <is>
          <t>To a moderate extent</t>
        </is>
      </c>
      <c r="AM61" s="6" t="inlineStr">
        <is>
          <t>Don’t know or not applicable</t>
        </is>
      </c>
      <c r="AN61" s="6" t="inlineStr">
        <is>
          <t>Don’t know or not applicable</t>
        </is>
      </c>
      <c r="AO61" s="6" t="inlineStr">
        <is>
          <t>Don’t know or not applicable</t>
        </is>
      </c>
      <c r="AP61" s="6" t="inlineStr">
        <is>
          <t>Don’t know or not applicable</t>
        </is>
      </c>
      <c r="AQ61" s="6" t="inlineStr">
        <is>
          <t>To a moderate extent</t>
        </is>
      </c>
      <c r="AR61" s="6" t="inlineStr">
        <is>
          <t>To a moderate extent</t>
        </is>
      </c>
      <c r="AS61" s="6" t="n"/>
      <c r="AT61" s="6" t="inlineStr">
        <is>
          <t>To a slight extent</t>
        </is>
      </c>
      <c r="AU61" s="6" t="inlineStr">
        <is>
          <t>To a slight extent</t>
        </is>
      </c>
      <c r="AV61" s="6" t="inlineStr">
        <is>
          <t>Not at all</t>
        </is>
      </c>
      <c r="AW61" s="6" t="inlineStr">
        <is>
          <t>To a slight extent</t>
        </is>
      </c>
      <c r="AX61" s="6" t="inlineStr">
        <is>
          <t>To a slight extent</t>
        </is>
      </c>
      <c r="AY61" s="6" t="inlineStr">
        <is>
          <t>To a moderate extent</t>
        </is>
      </c>
      <c r="AZ61" s="6" t="inlineStr">
        <is>
          <t>To a slight extent</t>
        </is>
      </c>
      <c r="BA61" s="6" t="inlineStr">
        <is>
          <t>To a slight extent</t>
        </is>
      </c>
      <c r="BB61" s="6" t="inlineStr">
        <is>
          <t>To a slight extent</t>
        </is>
      </c>
      <c r="BC61" s="6" t="inlineStr">
        <is>
          <t>To a slight extent</t>
        </is>
      </c>
      <c r="BD61" s="6" t="inlineStr">
        <is>
          <t>To a moderate extent</t>
        </is>
      </c>
      <c r="BE61" s="6" t="inlineStr">
        <is>
          <t>Don’t know or not applicable</t>
        </is>
      </c>
      <c r="BF61" s="6" t="inlineStr">
        <is>
          <t>Don’t know or not applicable</t>
        </is>
      </c>
      <c r="BG61" s="6" t="inlineStr">
        <is>
          <t>Don’t know or not applicable</t>
        </is>
      </c>
      <c r="BH61" s="6" t="inlineStr">
        <is>
          <t>Don’t know or not applicable</t>
        </is>
      </c>
      <c r="BI61" s="6" t="inlineStr">
        <is>
          <t>Don’t know or not applicable</t>
        </is>
      </c>
      <c r="BJ61" s="6" t="inlineStr">
        <is>
          <t>To a slight extent</t>
        </is>
      </c>
      <c r="BK61" s="6" t="inlineStr">
        <is>
          <t>To a slight extent</t>
        </is>
      </c>
      <c r="BL61" s="6" t="inlineStr">
        <is>
          <t>To a slight extent</t>
        </is>
      </c>
      <c r="BM61" s="6" t="inlineStr">
        <is>
          <t>To a slight extent</t>
        </is>
      </c>
      <c r="BN61" s="6" t="inlineStr">
        <is>
          <t>To a moderate extent</t>
        </is>
      </c>
      <c r="BO61" s="6" t="inlineStr">
        <is>
          <t>Don’t know or not applicable</t>
        </is>
      </c>
      <c r="BP61" s="6" t="inlineStr">
        <is>
          <t>Don’t know or not applicable</t>
        </is>
      </c>
      <c r="BQ61" s="6" t="inlineStr">
        <is>
          <t>Don’t know or not applicable</t>
        </is>
      </c>
      <c r="BR61" s="6" t="inlineStr">
        <is>
          <t>Don’t know or not applicable</t>
        </is>
      </c>
      <c r="BS61" s="6" t="n"/>
      <c r="BT61" s="6" t="inlineStr">
        <is>
          <t>The IMF dedicated an appropriate amount of resources</t>
        </is>
      </c>
      <c r="BU61" s="6" t="inlineStr">
        <is>
          <t>To a great extent</t>
        </is>
      </c>
      <c r="BV61" s="6" t="inlineStr">
        <is>
          <t>To a great extent</t>
        </is>
      </c>
      <c r="BW61" s="6" t="inlineStr">
        <is>
          <t>To a great extent</t>
        </is>
      </c>
      <c r="BX61" s="6" t="inlineStr">
        <is>
          <t>To a great extent</t>
        </is>
      </c>
      <c r="BY61" s="6" t="inlineStr">
        <is>
          <t>To a great extent</t>
        </is>
      </c>
      <c r="BZ61" s="6" t="inlineStr">
        <is>
          <t>To a great extent</t>
        </is>
      </c>
      <c r="CA61" s="6" t="inlineStr">
        <is>
          <t>To a great extent</t>
        </is>
      </c>
      <c r="CB61" s="6" t="inlineStr">
        <is>
          <t>Not at all</t>
        </is>
      </c>
      <c r="CC61" s="6" t="inlineStr">
        <is>
          <t>Not at all</t>
        </is>
      </c>
      <c r="CD61" s="6" t="inlineStr">
        <is>
          <t>To a moderate extent</t>
        </is>
      </c>
      <c r="CE61" s="6" t="inlineStr">
        <is>
          <t>To a moderate extent</t>
        </is>
      </c>
      <c r="CF61" s="6" t="inlineStr">
        <is>
          <t>To a moderate extent</t>
        </is>
      </c>
      <c r="CG61" s="6" t="n"/>
      <c r="CH61" s="6" t="inlineStr">
        <is>
          <t>No</t>
        </is>
      </c>
      <c r="CI61" s="6" t="inlineStr">
        <is>
          <t>No</t>
        </is>
      </c>
      <c r="CJ61" s="6" t="n"/>
      <c r="CK61" s="6" t="n"/>
      <c r="CL61" s="6" t="n"/>
      <c r="CM61" s="6" t="n"/>
      <c r="CN61" s="6" t="n"/>
      <c r="CO61" s="6" t="n"/>
      <c r="CP61" s="6" t="n"/>
      <c r="CQ61" s="6" t="n"/>
      <c r="CR61" s="6" t="n"/>
      <c r="CS61" s="6" t="n"/>
      <c r="CT61" s="6" t="n"/>
      <c r="CU61" s="6" t="n"/>
      <c r="CV61" s="6" t="n"/>
      <c r="CW61" s="6" t="n"/>
      <c r="CX61" s="6" t="n"/>
      <c r="CY61" s="6" t="n"/>
      <c r="CZ61" s="6" t="n"/>
      <c r="DA61" s="6" t="n"/>
      <c r="DB61" s="6" t="n"/>
      <c r="DC61" s="6" t="n"/>
      <c r="DD61" s="6" t="n"/>
      <c r="DE61" s="6" t="n"/>
      <c r="DF61" s="6" t="n"/>
      <c r="DG61" s="6" t="n"/>
      <c r="DH61" s="6" t="n"/>
      <c r="DI61" s="6" t="n"/>
      <c r="DJ61" s="6" t="n"/>
      <c r="DK61" s="6" t="n"/>
      <c r="DL61" s="6" t="n"/>
      <c r="DM61" s="6" t="n"/>
      <c r="DN61" s="6" t="n"/>
      <c r="DO61" s="6" t="n"/>
      <c r="DP61" s="6" t="inlineStr">
        <is>
          <t>My country is not eligible for an RSF arrangement</t>
        </is>
      </c>
      <c r="DQ61" s="6" t="inlineStr">
        <is>
          <t>Climate change does not pose a major balance of payments risk in my country</t>
        </is>
      </c>
      <c r="DR61" s="6" t="n"/>
      <c r="DS61" s="6" t="n"/>
      <c r="DT61" s="6" t="n"/>
      <c r="DU61" s="6" t="n"/>
      <c r="DV61" s="6" t="n"/>
      <c r="DW61" s="6" t="inlineStr">
        <is>
          <t>No</t>
        </is>
      </c>
      <c r="DX61" s="6" t="n"/>
      <c r="DY61" s="6" t="n"/>
      <c r="DZ61" s="6" t="n"/>
      <c r="EA61" s="6" t="n"/>
      <c r="EB61" s="6" t="n"/>
      <c r="EC61" s="6" t="n"/>
      <c r="ED61" s="6" t="n"/>
      <c r="EE61" s="6" t="n"/>
      <c r="EF61" s="6" t="inlineStr">
        <is>
          <t>To a great extent</t>
        </is>
      </c>
      <c r="EG61" s="6" t="inlineStr">
        <is>
          <t>Don’t know or not applicable</t>
        </is>
      </c>
      <c r="EH61" s="6" t="inlineStr">
        <is>
          <t>Don’t know or not applicable</t>
        </is>
      </c>
      <c r="EI61" s="6" t="inlineStr">
        <is>
          <t>To a great extent</t>
        </is>
      </c>
      <c r="EJ61" s="6" t="inlineStr">
        <is>
          <t>Don’t know or not applicable</t>
        </is>
      </c>
      <c r="EK61" s="6" t="inlineStr">
        <is>
          <t>Not at all</t>
        </is>
      </c>
      <c r="EL61" s="6" t="inlineStr">
        <is>
          <t>Not at all</t>
        </is>
      </c>
      <c r="EM61" s="6" t="n"/>
      <c r="EN61" s="6" t="n"/>
      <c r="EO61" s="6" t="n"/>
      <c r="EP61" s="6" t="n"/>
      <c r="EQ61" s="6" t="inlineStr">
        <is>
          <t>Not at all</t>
        </is>
      </c>
      <c r="ER61" s="6" t="inlineStr">
        <is>
          <t>Not at all</t>
        </is>
      </c>
      <c r="ES61" s="6" t="n"/>
      <c r="ET61" s="6" t="n"/>
      <c r="EU61" s="6" t="n"/>
      <c r="EV61" s="6" t="n"/>
      <c r="EW61" s="6" t="n"/>
      <c r="EX61" s="6" t="n"/>
      <c r="EY61" s="6" t="n"/>
      <c r="EZ61" s="6" t="n"/>
      <c r="FA61" s="6" t="n"/>
      <c r="FB61" s="6" t="n"/>
      <c r="FC61" s="6" t="n"/>
      <c r="FD61" s="6" t="n"/>
      <c r="FE61" s="6" t="n"/>
      <c r="FF61" s="6" t="n"/>
      <c r="FG61" s="6" t="n"/>
      <c r="FH61" s="6" t="n"/>
      <c r="FI61" s="6" t="n"/>
      <c r="FJ61" s="6" t="n"/>
      <c r="FK61" s="6" t="n"/>
      <c r="FL61" s="6" t="n"/>
      <c r="FM61" s="6" t="n"/>
      <c r="FN61" s="6" t="n"/>
      <c r="FO61" s="6" t="n"/>
      <c r="FP61" s="6" t="n"/>
      <c r="FQ61" s="6" t="n"/>
      <c r="FR61" s="6" t="n"/>
      <c r="FS61" s="6" t="n"/>
      <c r="FT61" s="6" t="n"/>
      <c r="FU61" s="6" t="n"/>
      <c r="FV61" s="6" t="n"/>
      <c r="FW61" s="6" t="n"/>
      <c r="FX61" s="6" t="n"/>
      <c r="FY61" s="6" t="inlineStr">
        <is>
          <t>To a moderate extent</t>
        </is>
      </c>
      <c r="FZ61" s="6" t="inlineStr">
        <is>
          <t>To a moderate extent</t>
        </is>
      </c>
      <c r="GA61" s="6" t="inlineStr">
        <is>
          <t>To a great extent</t>
        </is>
      </c>
      <c r="GB61" s="6" t="inlineStr">
        <is>
          <t>To a moderate extent</t>
        </is>
      </c>
      <c r="GC61" s="6" t="inlineStr">
        <is>
          <t>Don’t know or not applicable</t>
        </is>
      </c>
      <c r="GD61" s="6" t="n"/>
      <c r="GE61" s="6" t="inlineStr">
        <is>
          <t>To a moderate extent</t>
        </is>
      </c>
      <c r="GF61" s="6" t="inlineStr">
        <is>
          <t>To a great extent</t>
        </is>
      </c>
      <c r="GG61" s="6" t="inlineStr">
        <is>
          <t>To a moderate extent</t>
        </is>
      </c>
      <c r="GH61" s="6" t="inlineStr">
        <is>
          <t>To a moderate extent</t>
        </is>
      </c>
      <c r="GI61" s="6" t="inlineStr">
        <is>
          <t>To a great extent</t>
        </is>
      </c>
      <c r="GJ61" s="6" t="inlineStr">
        <is>
          <t>To a moderate extent</t>
        </is>
      </c>
      <c r="GK61" s="6" t="inlineStr">
        <is>
          <t>The Fund should engage in climate change in the same manner as other emerging policy issues, based on the concept of macrocriticality, that is, when and to the extent they explicitly are deemed critical to macroeconomic and financial stability.
Some of the questions in this survey were difficult to answer, as we consider ourselves to be a frontrunner on climate issues. As such, our climate efforts aim not only to benefit our own country but also to influence other countries, international organizations, and broader global efforts. Consequently, the IMF's direct impact on our country in relation to climate issues may be limited. However, this does not mean that we do not value the IMF's work in this area—on the contrary. It is crucial that an organization like the IMF remains among the leading actors on climate issues. Given that climate mitigation is a global public good, we believe it is important for the IMF to continue pushing all countries—particularly the largest emitters—to make substantial efforts to reduce greenhouse gas emissions.</t>
        </is>
      </c>
      <c r="GL61" s="7">
        <f>DATE(2025,6,6)+TIME(13,8,20)</f>
        <v/>
      </c>
    </row>
    <row r="62" ht="47.25" customHeight="1">
      <c r="A62" s="3" t="inlineStr">
        <is>
          <t>Felix</t>
        </is>
      </c>
      <c r="B62" s="3" t="inlineStr">
        <is>
          <t>Sato</t>
        </is>
      </c>
      <c r="C62" s="3" t="inlineStr">
        <is>
          <t>fsato@organization.org</t>
        </is>
      </c>
      <c r="D62" s="3" t="inlineStr">
        <is>
          <t>NGT76L0RT</t>
        </is>
      </c>
      <c r="E62" s="3" t="n"/>
      <c r="F62" s="3" t="inlineStr">
        <is>
          <t>OEDCO</t>
        </is>
      </c>
      <c r="G62" s="3" t="n"/>
      <c r="H62" s="3" t="n"/>
      <c r="I62" s="3" t="n"/>
      <c r="J62" s="3" t="n"/>
      <c r="K62" s="3" t="n"/>
      <c r="L62" s="3" t="n"/>
      <c r="M62" s="3" t="n"/>
      <c r="N62" s="3" t="n"/>
      <c r="O62" s="3" t="inlineStr">
        <is>
          <t>Canada</t>
        </is>
      </c>
      <c r="P62" s="3" t="n"/>
      <c r="Q62" s="3" t="n"/>
      <c r="R62" s="3" t="n"/>
      <c r="S62" s="3" t="n"/>
      <c r="T62" s="3" t="n"/>
      <c r="U62" s="3" t="n"/>
      <c r="V62" s="3" t="n"/>
      <c r="W62" s="3" t="n"/>
      <c r="X62" s="3" t="n"/>
      <c r="Y62" s="3" t="n"/>
      <c r="Z62" s="3" t="n"/>
      <c r="AA62" s="3" t="n"/>
      <c r="AB62" s="3" t="n"/>
      <c r="AC62" s="3" t="n"/>
      <c r="AD62" s="3" t="n"/>
      <c r="AE62" s="3" t="n"/>
      <c r="AF62" s="4" t="inlineStr">
        <is>
          <t>Canada</t>
        </is>
      </c>
      <c r="AG62" s="3" t="inlineStr">
        <is>
          <t>The IMF should engage more on climate change-related issues</t>
        </is>
      </c>
      <c r="AH62" s="3" t="inlineStr">
        <is>
          <t>To a slight extent</t>
        </is>
      </c>
      <c r="AI62" s="3" t="inlineStr">
        <is>
          <t>To a slight extent</t>
        </is>
      </c>
      <c r="AJ62" s="3" t="inlineStr">
        <is>
          <t>Don’t know or not applicable</t>
        </is>
      </c>
      <c r="AK62" s="3" t="inlineStr">
        <is>
          <t>To a moderate extent</t>
        </is>
      </c>
      <c r="AL62" s="3" t="inlineStr">
        <is>
          <t>To a slight extent</t>
        </is>
      </c>
      <c r="AM62" s="3" t="inlineStr">
        <is>
          <t>To a moderate extent</t>
        </is>
      </c>
      <c r="AN62" s="3" t="inlineStr">
        <is>
          <t>To a slight extent</t>
        </is>
      </c>
      <c r="AO62" s="3" t="inlineStr">
        <is>
          <t>To a moderate extent</t>
        </is>
      </c>
      <c r="AP62" s="3" t="inlineStr">
        <is>
          <t>To a slight extent</t>
        </is>
      </c>
      <c r="AQ62" s="3" t="inlineStr">
        <is>
          <t>To a slight extent</t>
        </is>
      </c>
      <c r="AR62" s="3" t="inlineStr">
        <is>
          <t>To a slight extent</t>
        </is>
      </c>
      <c r="AS62" s="3" t="n"/>
      <c r="AT62" s="3" t="inlineStr">
        <is>
          <t>To a moderate extent</t>
        </is>
      </c>
      <c r="AU62" s="3" t="inlineStr">
        <is>
          <t>To a moderate extent</t>
        </is>
      </c>
      <c r="AV62" s="3" t="inlineStr">
        <is>
          <t>Not at all</t>
        </is>
      </c>
      <c r="AW62" s="3" t="inlineStr">
        <is>
          <t>To a slight extent</t>
        </is>
      </c>
      <c r="AX62" s="3" t="inlineStr">
        <is>
          <t>To a slight extent</t>
        </is>
      </c>
      <c r="AY62" s="3" t="inlineStr">
        <is>
          <t>Don’t know or not applicable</t>
        </is>
      </c>
      <c r="AZ62" s="3" t="inlineStr">
        <is>
          <t>To a slight extent</t>
        </is>
      </c>
      <c r="BA62" s="3" t="inlineStr">
        <is>
          <t>Not at all</t>
        </is>
      </c>
      <c r="BB62" s="3" t="inlineStr">
        <is>
          <t>To a slight extent</t>
        </is>
      </c>
      <c r="BC62" s="3" t="inlineStr">
        <is>
          <t>To a slight extent</t>
        </is>
      </c>
      <c r="BD62" s="3" t="inlineStr">
        <is>
          <t>Don’t know or not applicable</t>
        </is>
      </c>
      <c r="BE62" s="3" t="inlineStr">
        <is>
          <t>Not at all</t>
        </is>
      </c>
      <c r="BF62" s="3" t="inlineStr">
        <is>
          <t>Not at all</t>
        </is>
      </c>
      <c r="BG62" s="3" t="inlineStr">
        <is>
          <t>To a slight extent</t>
        </is>
      </c>
      <c r="BH62" s="3" t="inlineStr">
        <is>
          <t>Don’t know or not applicable</t>
        </is>
      </c>
      <c r="BI62" s="3" t="inlineStr">
        <is>
          <t>Don’t know or not applicable</t>
        </is>
      </c>
      <c r="BJ62" s="3" t="inlineStr">
        <is>
          <t>To a moderate extent</t>
        </is>
      </c>
      <c r="BK62" s="3" t="inlineStr">
        <is>
          <t>Don’t know or not applicable</t>
        </is>
      </c>
      <c r="BL62" s="3" t="inlineStr">
        <is>
          <t>To a slight extent</t>
        </is>
      </c>
      <c r="BM62" s="3" t="inlineStr">
        <is>
          <t>To a slight extent</t>
        </is>
      </c>
      <c r="BN62" s="3" t="inlineStr">
        <is>
          <t>Don’t know or not applicable</t>
        </is>
      </c>
      <c r="BO62" s="3" t="inlineStr">
        <is>
          <t>Don’t know or not applicable</t>
        </is>
      </c>
      <c r="BP62" s="3" t="inlineStr">
        <is>
          <t>Don’t know or not applicable</t>
        </is>
      </c>
      <c r="BQ62" s="3" t="inlineStr">
        <is>
          <t>Don’t know or not applicable</t>
        </is>
      </c>
      <c r="BR62" s="3" t="inlineStr">
        <is>
          <t>Don’t know or not applicable</t>
        </is>
      </c>
      <c r="BS62" s="3" t="n"/>
      <c r="BT62" s="3" t="inlineStr">
        <is>
          <t>The IMF dedicated an appropriate amount of resources</t>
        </is>
      </c>
      <c r="BU62" s="3" t="inlineStr">
        <is>
          <t>To a great extent</t>
        </is>
      </c>
      <c r="BV62" s="3" t="inlineStr">
        <is>
          <t>To a great extent</t>
        </is>
      </c>
      <c r="BW62" s="3" t="inlineStr">
        <is>
          <t>To a great extent</t>
        </is>
      </c>
      <c r="BX62" s="3" t="inlineStr">
        <is>
          <t>To a great extent</t>
        </is>
      </c>
      <c r="BY62" s="3" t="inlineStr">
        <is>
          <t>To a great extent</t>
        </is>
      </c>
      <c r="BZ62" s="3" t="inlineStr">
        <is>
          <t>To a great extent</t>
        </is>
      </c>
      <c r="CA62" s="3" t="inlineStr">
        <is>
          <t>To a great extent</t>
        </is>
      </c>
      <c r="CB62" s="3" t="inlineStr">
        <is>
          <t>To a great extent</t>
        </is>
      </c>
      <c r="CC62" s="3" t="inlineStr">
        <is>
          <t>To a great extent</t>
        </is>
      </c>
      <c r="CD62" s="3" t="inlineStr">
        <is>
          <t>To a great extent</t>
        </is>
      </c>
      <c r="CE62" s="3" t="inlineStr">
        <is>
          <t>To a great extent</t>
        </is>
      </c>
      <c r="CF62" s="3" t="inlineStr">
        <is>
          <t>To a great extent</t>
        </is>
      </c>
      <c r="CG62" s="3" t="n"/>
      <c r="CH62" s="3" t="inlineStr">
        <is>
          <t>No</t>
        </is>
      </c>
      <c r="CI62" s="3" t="inlineStr">
        <is>
          <t>No</t>
        </is>
      </c>
      <c r="CJ62" s="3" t="n"/>
      <c r="CK62" s="3" t="n"/>
      <c r="CL62" s="3" t="n"/>
      <c r="CM62" s="3" t="n"/>
      <c r="CN62" s="3" t="n"/>
      <c r="CO62" s="3" t="n"/>
      <c r="CP62" s="3" t="n"/>
      <c r="CQ62" s="3" t="n"/>
      <c r="CR62" s="3" t="n"/>
      <c r="CS62" s="3" t="n"/>
      <c r="CT62" s="3" t="n"/>
      <c r="CU62" s="3" t="n"/>
      <c r="CV62" s="3" t="n"/>
      <c r="CW62" s="3" t="n"/>
      <c r="CX62" s="3" t="n"/>
      <c r="CY62" s="3" t="n"/>
      <c r="CZ62" s="3" t="n"/>
      <c r="DA62" s="3" t="n"/>
      <c r="DB62" s="3" t="n"/>
      <c r="DC62" s="3" t="n"/>
      <c r="DD62" s="3" t="n"/>
      <c r="DE62" s="3" t="n"/>
      <c r="DF62" s="3" t="n"/>
      <c r="DG62" s="3" t="n"/>
      <c r="DH62" s="3" t="n"/>
      <c r="DI62" s="3" t="n"/>
      <c r="DJ62" s="3" t="n"/>
      <c r="DK62" s="3" t="n"/>
      <c r="DL62" s="3" t="n"/>
      <c r="DM62" s="3" t="n"/>
      <c r="DN62" s="3" t="n"/>
      <c r="DO62" s="3" t="n"/>
      <c r="DP62" s="3" t="inlineStr">
        <is>
          <t>My country is not eligible for an RSF arrangement</t>
        </is>
      </c>
      <c r="DQ62" s="3" t="n"/>
      <c r="DR62" s="3" t="n"/>
      <c r="DS62" s="3" t="n"/>
      <c r="DT62" s="3" t="n"/>
      <c r="DU62" s="3" t="n"/>
      <c r="DV62" s="3" t="n"/>
      <c r="DW62" s="3" t="inlineStr">
        <is>
          <t>No</t>
        </is>
      </c>
      <c r="DX62" s="3" t="n"/>
      <c r="DY62" s="3" t="n"/>
      <c r="DZ62" s="3" t="n"/>
      <c r="EA62" s="3" t="n"/>
      <c r="EB62" s="3" t="n"/>
      <c r="EC62" s="3" t="n"/>
      <c r="ED62" s="3" t="n"/>
      <c r="EE62" s="3" t="n"/>
      <c r="EF62" s="3" t="inlineStr">
        <is>
          <t>To a moderate extent</t>
        </is>
      </c>
      <c r="EG62" s="3" t="inlineStr">
        <is>
          <t>To a moderate extent</t>
        </is>
      </c>
      <c r="EH62" s="3" t="inlineStr">
        <is>
          <t>Don’t know or not applicable</t>
        </is>
      </c>
      <c r="EI62" s="3" t="inlineStr">
        <is>
          <t>To a moderate extent</t>
        </is>
      </c>
      <c r="EJ62" s="3" t="inlineStr">
        <is>
          <t>To a great extent</t>
        </is>
      </c>
      <c r="EK62" s="3" t="inlineStr">
        <is>
          <t>Not at all</t>
        </is>
      </c>
      <c r="EL62" s="3" t="inlineStr">
        <is>
          <t>Don’t know or not applicable</t>
        </is>
      </c>
      <c r="EM62" s="3" t="n"/>
      <c r="EN62" s="3" t="n"/>
      <c r="EO62" s="3" t="n"/>
      <c r="EP62" s="3" t="n"/>
      <c r="EQ62" s="3" t="inlineStr">
        <is>
          <t>Not at all</t>
        </is>
      </c>
      <c r="ER62" s="3" t="inlineStr">
        <is>
          <t>Not at all</t>
        </is>
      </c>
      <c r="ES62" s="3" t="n"/>
      <c r="ET62" s="3" t="n"/>
      <c r="EU62" s="3" t="n"/>
      <c r="EV62" s="3" t="n"/>
      <c r="EW62" s="3" t="n"/>
      <c r="EX62" s="3" t="n"/>
      <c r="EY62" s="3" t="n"/>
      <c r="EZ62" s="3" t="n"/>
      <c r="FA62" s="3" t="n"/>
      <c r="FB62" s="3" t="n"/>
      <c r="FC62" s="3" t="n"/>
      <c r="FD62" s="3" t="n"/>
      <c r="FE62" s="3" t="n"/>
      <c r="FF62" s="3" t="n"/>
      <c r="FG62" s="3" t="n"/>
      <c r="FH62" s="3" t="n"/>
      <c r="FI62" s="3" t="n"/>
      <c r="FJ62" s="3" t="n"/>
      <c r="FK62" s="3" t="n"/>
      <c r="FL62" s="3" t="n"/>
      <c r="FM62" s="3" t="n"/>
      <c r="FN62" s="3" t="n"/>
      <c r="FO62" s="3" t="n"/>
      <c r="FP62" s="3" t="n"/>
      <c r="FQ62" s="3" t="n"/>
      <c r="FR62" s="3" t="n"/>
      <c r="FS62" s="3" t="n"/>
      <c r="FT62" s="3" t="n"/>
      <c r="FU62" s="3" t="n"/>
      <c r="FV62" s="3" t="n"/>
      <c r="FW62" s="3" t="n"/>
      <c r="FX62" s="3" t="n"/>
      <c r="FY62" s="3" t="inlineStr">
        <is>
          <t>To a great extent</t>
        </is>
      </c>
      <c r="FZ62" s="3" t="inlineStr">
        <is>
          <t>To a great extent</t>
        </is>
      </c>
      <c r="GA62" s="3" t="inlineStr">
        <is>
          <t>To a great extent</t>
        </is>
      </c>
      <c r="GB62" s="3" t="inlineStr">
        <is>
          <t>To a great extent</t>
        </is>
      </c>
      <c r="GC62" s="3" t="inlineStr">
        <is>
          <t>Don’t know or not applicable</t>
        </is>
      </c>
      <c r="GD62" s="3" t="n"/>
      <c r="GE62" s="3" t="inlineStr">
        <is>
          <t>To a moderate extent</t>
        </is>
      </c>
      <c r="GF62" s="3" t="inlineStr">
        <is>
          <t>To a great extent</t>
        </is>
      </c>
      <c r="GG62" s="3" t="inlineStr">
        <is>
          <t>To a slight extent</t>
        </is>
      </c>
      <c r="GH62" s="3" t="inlineStr">
        <is>
          <t>To a great extent</t>
        </is>
      </c>
      <c r="GI62" s="3" t="inlineStr">
        <is>
          <t>To a moderate extent</t>
        </is>
      </c>
      <c r="GJ62" s="3" t="inlineStr">
        <is>
          <t>To a great extent</t>
        </is>
      </c>
      <c r="GK62" s="3" t="n"/>
      <c r="GL62" s="5">
        <f>DATE(2025,5,23)+TIME(10,57,6)</f>
        <v/>
      </c>
    </row>
    <row r="63" ht="236.25" customFormat="1" customHeight="1" s="9">
      <c r="A63" s="8" t="inlineStr">
        <is>
          <t>Ahmed</t>
        </is>
      </c>
      <c r="B63" s="8" t="inlineStr">
        <is>
          <t>Costa</t>
        </is>
      </c>
      <c r="C63" s="8" t="inlineStr">
        <is>
          <t>acosta@organization.org</t>
        </is>
      </c>
      <c r="D63" s="8" t="inlineStr">
        <is>
          <t>T0DUIWIKK</t>
        </is>
      </c>
      <c r="E63" s="8" t="n"/>
      <c r="F63" s="8" t="inlineStr">
        <is>
          <t>OEDAW</t>
        </is>
      </c>
      <c r="G63" s="6" t="n"/>
      <c r="H63" s="6" t="n"/>
      <c r="I63" s="6" t="n"/>
      <c r="J63" s="6" t="n"/>
      <c r="K63" s="6" t="inlineStr">
        <is>
          <t>Nigeria</t>
        </is>
      </c>
      <c r="L63" s="6" t="n"/>
      <c r="M63" s="6" t="n"/>
      <c r="N63" s="6" t="n"/>
      <c r="O63" s="6" t="n"/>
      <c r="P63" s="6" t="n"/>
      <c r="Q63" s="6" t="n"/>
      <c r="R63" s="6" t="n"/>
      <c r="S63" s="6" t="n"/>
      <c r="T63" s="6" t="n"/>
      <c r="U63" s="6" t="n"/>
      <c r="V63" s="6" t="n"/>
      <c r="W63" s="6" t="n"/>
      <c r="X63" s="6" t="n"/>
      <c r="Y63" s="6" t="n"/>
      <c r="Z63" s="6" t="n"/>
      <c r="AA63" s="6" t="n"/>
      <c r="AB63" s="6" t="n"/>
      <c r="AC63" s="6" t="n"/>
      <c r="AD63" s="6" t="n"/>
      <c r="AE63" s="6" t="n"/>
      <c r="AF63" s="9" t="inlineStr">
        <is>
          <t>Nigeria</t>
        </is>
      </c>
      <c r="AG63" s="8" t="inlineStr">
        <is>
          <t>The IMF should engage more on climate change-related issues</t>
        </is>
      </c>
      <c r="AH63" s="8" t="inlineStr">
        <is>
          <t>To a great extent</t>
        </is>
      </c>
      <c r="AI63" s="8" t="inlineStr">
        <is>
          <t>To a great extent</t>
        </is>
      </c>
      <c r="AJ63" s="8" t="inlineStr">
        <is>
          <t>To a moderate extent</t>
        </is>
      </c>
      <c r="AK63" s="8" t="inlineStr">
        <is>
          <t>To a great extent</t>
        </is>
      </c>
      <c r="AL63" s="8" t="inlineStr">
        <is>
          <t>To a great extent</t>
        </is>
      </c>
      <c r="AM63" s="8" t="inlineStr">
        <is>
          <t>To a great extent</t>
        </is>
      </c>
      <c r="AN63" s="8" t="inlineStr">
        <is>
          <t>To a moderate extent</t>
        </is>
      </c>
      <c r="AO63" s="8" t="inlineStr">
        <is>
          <t>To a great extent</t>
        </is>
      </c>
      <c r="AP63" s="8" t="inlineStr">
        <is>
          <t>To a great extent</t>
        </is>
      </c>
      <c r="AQ63" s="8" t="inlineStr">
        <is>
          <t>To a great extent</t>
        </is>
      </c>
      <c r="AR63" s="8" t="inlineStr">
        <is>
          <t>To a great extent</t>
        </is>
      </c>
      <c r="AS63" s="8" t="n"/>
      <c r="AT63" s="8" t="inlineStr">
        <is>
          <t>To a moderate extent</t>
        </is>
      </c>
      <c r="AU63" s="8" t="inlineStr">
        <is>
          <t>To a moderate extent</t>
        </is>
      </c>
      <c r="AV63" s="8" t="inlineStr">
        <is>
          <t>To a moderate extent</t>
        </is>
      </c>
      <c r="AW63" s="8" t="inlineStr">
        <is>
          <t>To a great extent</t>
        </is>
      </c>
      <c r="AX63" s="8" t="inlineStr">
        <is>
          <t>To a great extent</t>
        </is>
      </c>
      <c r="AY63" s="8" t="inlineStr">
        <is>
          <t>To a moderate extent</t>
        </is>
      </c>
      <c r="AZ63" s="8" t="inlineStr">
        <is>
          <t>To a moderate extent</t>
        </is>
      </c>
      <c r="BA63" s="8" t="inlineStr">
        <is>
          <t>To a moderate extent</t>
        </is>
      </c>
      <c r="BB63" s="8" t="inlineStr">
        <is>
          <t>To a great extent</t>
        </is>
      </c>
      <c r="BC63" s="8" t="inlineStr">
        <is>
          <t>To a great extent</t>
        </is>
      </c>
      <c r="BD63" s="8" t="inlineStr">
        <is>
          <t>To a moderate extent</t>
        </is>
      </c>
      <c r="BE63" s="8" t="inlineStr">
        <is>
          <t>To a slight extent</t>
        </is>
      </c>
      <c r="BF63" s="8" t="inlineStr">
        <is>
          <t>To a moderate extent</t>
        </is>
      </c>
      <c r="BG63" s="8" t="inlineStr">
        <is>
          <t>To a great extent</t>
        </is>
      </c>
      <c r="BH63" s="8" t="inlineStr">
        <is>
          <t>To a great extent</t>
        </is>
      </c>
      <c r="BI63" s="8" t="inlineStr">
        <is>
          <t>To a moderate extent</t>
        </is>
      </c>
      <c r="BJ63" s="8" t="inlineStr">
        <is>
          <t>To a great extent</t>
        </is>
      </c>
      <c r="BK63" s="8" t="inlineStr">
        <is>
          <t>To a slight extent</t>
        </is>
      </c>
      <c r="BL63" s="8" t="inlineStr">
        <is>
          <t>To a great extent</t>
        </is>
      </c>
      <c r="BM63" s="8" t="inlineStr">
        <is>
          <t>To a great extent</t>
        </is>
      </c>
      <c r="BN63" s="8" t="inlineStr">
        <is>
          <t>To a slight extent</t>
        </is>
      </c>
      <c r="BO63" s="8" t="inlineStr">
        <is>
          <t>To a great extent</t>
        </is>
      </c>
      <c r="BP63" s="8" t="inlineStr">
        <is>
          <t>To a moderate extent</t>
        </is>
      </c>
      <c r="BQ63" s="8" t="inlineStr">
        <is>
          <t>To a moderate extent</t>
        </is>
      </c>
      <c r="BR63" s="8" t="inlineStr">
        <is>
          <t>Don’t know or not applicable</t>
        </is>
      </c>
      <c r="BS63" s="8" t="n"/>
      <c r="BT63" s="8" t="inlineStr">
        <is>
          <t>The IMF should have dedicated more resources</t>
        </is>
      </c>
      <c r="BU63" s="8" t="inlineStr">
        <is>
          <t>To a moderate extent</t>
        </is>
      </c>
      <c r="BV63" s="8" t="inlineStr">
        <is>
          <t>To a great extent</t>
        </is>
      </c>
      <c r="BW63" s="8" t="inlineStr">
        <is>
          <t>To a great extent</t>
        </is>
      </c>
      <c r="BX63" s="8" t="inlineStr">
        <is>
          <t>To a moderate extent</t>
        </is>
      </c>
      <c r="BY63" s="8" t="inlineStr">
        <is>
          <t>To a great extent</t>
        </is>
      </c>
      <c r="BZ63" s="8" t="inlineStr">
        <is>
          <t>To a great extent</t>
        </is>
      </c>
      <c r="CA63" s="8" t="inlineStr">
        <is>
          <t>To a moderate extent</t>
        </is>
      </c>
      <c r="CB63" s="8" t="inlineStr">
        <is>
          <t>To a great extent</t>
        </is>
      </c>
      <c r="CC63" s="8" t="inlineStr">
        <is>
          <t>To a great extent</t>
        </is>
      </c>
      <c r="CD63" s="8" t="inlineStr">
        <is>
          <t>To a moderate extent</t>
        </is>
      </c>
      <c r="CE63" s="8" t="inlineStr">
        <is>
          <t>To a great extent</t>
        </is>
      </c>
      <c r="CF63" s="8" t="inlineStr">
        <is>
          <t>To a great extent</t>
        </is>
      </c>
      <c r="CG63" s="8" t="n"/>
      <c r="CH63" s="8" t="inlineStr">
        <is>
          <t>No</t>
        </is>
      </c>
      <c r="CI63" s="8" t="inlineStr">
        <is>
          <t>No</t>
        </is>
      </c>
      <c r="CJ63" s="8" t="n"/>
      <c r="CK63" s="8" t="n"/>
      <c r="CL63" s="8" t="n"/>
      <c r="CM63" s="8" t="n"/>
      <c r="CN63" s="8" t="n"/>
      <c r="CO63" s="8" t="n"/>
      <c r="CP63" s="8" t="n"/>
      <c r="CQ63" s="8" t="n"/>
      <c r="CR63" s="8" t="n"/>
      <c r="CS63" s="8" t="n"/>
      <c r="CT63" s="8" t="n"/>
      <c r="CU63" s="8" t="n"/>
      <c r="CV63" s="8" t="n"/>
      <c r="CW63" s="8" t="n"/>
      <c r="CX63" s="8" t="n"/>
      <c r="CY63" s="8" t="n"/>
      <c r="CZ63" s="8" t="n"/>
      <c r="DA63" s="8" t="n"/>
      <c r="DB63" s="8" t="n"/>
      <c r="DC63" s="8" t="n"/>
      <c r="DD63" s="8" t="n"/>
      <c r="DE63" s="8" t="n"/>
      <c r="DF63" s="8" t="n"/>
      <c r="DG63" s="8" t="n"/>
      <c r="DH63" s="8" t="n"/>
      <c r="DI63" s="8" t="n"/>
      <c r="DJ63" s="8" t="n"/>
      <c r="DK63" s="8" t="n"/>
      <c r="DL63" s="8" t="n"/>
      <c r="DM63" s="8" t="n"/>
      <c r="DN63" s="8" t="n"/>
      <c r="DO63" s="8" t="n"/>
      <c r="DP63" s="8" t="n"/>
      <c r="DQ63" s="8" t="n"/>
      <c r="DR63" s="8" t="n"/>
      <c r="DS63" s="8" t="inlineStr">
        <is>
          <t>More convenient alternative financing options</t>
        </is>
      </c>
      <c r="DT63" s="8" t="n"/>
      <c r="DU63" s="8" t="n"/>
      <c r="DV63" s="8" t="n"/>
      <c r="DW63" s="8" t="inlineStr">
        <is>
          <t>Yes</t>
        </is>
      </c>
      <c r="DX63" s="8" t="inlineStr">
        <is>
          <t>World Bank Group</t>
        </is>
      </c>
      <c r="DY63" s="8" t="n"/>
      <c r="DZ63" s="8" t="n"/>
      <c r="EA63" s="8" t="n"/>
      <c r="EB63" s="8" t="n"/>
      <c r="EC63" s="8" t="inlineStr">
        <is>
          <t>To a slight extent</t>
        </is>
      </c>
      <c r="ED63" s="8" t="inlineStr">
        <is>
          <t>To a slight extent</t>
        </is>
      </c>
      <c r="EE63" s="8" t="inlineStr">
        <is>
          <t>To a slight extent</t>
        </is>
      </c>
      <c r="EF63" s="8" t="inlineStr">
        <is>
          <t>To a slight extent</t>
        </is>
      </c>
      <c r="EG63" s="8" t="inlineStr">
        <is>
          <t>To a slight extent</t>
        </is>
      </c>
      <c r="EH63" s="8" t="inlineStr">
        <is>
          <t>To a slight extent</t>
        </is>
      </c>
      <c r="EI63" s="8" t="inlineStr">
        <is>
          <t>To a slight extent</t>
        </is>
      </c>
      <c r="EJ63" s="8" t="inlineStr">
        <is>
          <t>To a moderate extent</t>
        </is>
      </c>
      <c r="EK63" s="8" t="inlineStr">
        <is>
          <t>To a great extent</t>
        </is>
      </c>
      <c r="EL63" s="8" t="inlineStr">
        <is>
          <t>To a great extent</t>
        </is>
      </c>
      <c r="EM63" s="8" t="n"/>
      <c r="EN63" s="8" t="n"/>
      <c r="EO63" s="8" t="n"/>
      <c r="EP63" s="8" t="n"/>
      <c r="EQ63" s="8" t="inlineStr">
        <is>
          <t>To a slight extent</t>
        </is>
      </c>
      <c r="ER63" s="8" t="inlineStr">
        <is>
          <t>To a slight extent</t>
        </is>
      </c>
      <c r="ES63" s="8" t="n"/>
      <c r="ET63" s="8" t="inlineStr">
        <is>
          <t>To a slight extent</t>
        </is>
      </c>
      <c r="EU63" s="8" t="inlineStr">
        <is>
          <t>Not at all</t>
        </is>
      </c>
      <c r="EV63" s="8" t="inlineStr">
        <is>
          <t>Not at all</t>
        </is>
      </c>
      <c r="EW63" s="8" t="inlineStr">
        <is>
          <t>Not at all</t>
        </is>
      </c>
      <c r="EX63" s="8" t="n"/>
      <c r="EY63" s="8" t="inlineStr">
        <is>
          <t>To a slight extent</t>
        </is>
      </c>
      <c r="EZ63" s="8" t="inlineStr">
        <is>
          <t>Not at all</t>
        </is>
      </c>
      <c r="FA63" s="8" t="inlineStr">
        <is>
          <t>To a slight extent</t>
        </is>
      </c>
      <c r="FB63" s="8" t="inlineStr">
        <is>
          <t>To a slight extent</t>
        </is>
      </c>
      <c r="FC63" s="8" t="inlineStr">
        <is>
          <t>To a slight extent</t>
        </is>
      </c>
      <c r="FD63" s="8" t="inlineStr">
        <is>
          <t>Don’t know or not applicable</t>
        </is>
      </c>
      <c r="FE63" s="8" t="inlineStr">
        <is>
          <t>To a slight extent</t>
        </is>
      </c>
      <c r="FF63" s="8" t="inlineStr">
        <is>
          <t>To a slight extent</t>
        </is>
      </c>
      <c r="FG63" s="8" t="inlineStr">
        <is>
          <t>To a slight extent</t>
        </is>
      </c>
      <c r="FH63" s="8" t="inlineStr">
        <is>
          <t>To a moderate extent</t>
        </is>
      </c>
      <c r="FI63" s="8" t="inlineStr">
        <is>
          <t>To a moderate extent</t>
        </is>
      </c>
      <c r="FJ63" s="8" t="inlineStr">
        <is>
          <t>Not at all</t>
        </is>
      </c>
      <c r="FK63" s="8" t="inlineStr">
        <is>
          <t>Not at all</t>
        </is>
      </c>
      <c r="FL63" s="8" t="inlineStr">
        <is>
          <t>To a slight extent</t>
        </is>
      </c>
      <c r="FM63" s="8" t="inlineStr">
        <is>
          <t>To a slight extent</t>
        </is>
      </c>
      <c r="FN63" s="8" t="inlineStr">
        <is>
          <t>Don’t know or not applicable</t>
        </is>
      </c>
      <c r="FO63" s="8" t="inlineStr">
        <is>
          <t>To a slight extent</t>
        </is>
      </c>
      <c r="FP63" s="8" t="inlineStr">
        <is>
          <t>To a slight extent</t>
        </is>
      </c>
      <c r="FQ63" s="8" t="inlineStr">
        <is>
          <t>To a slight extent</t>
        </is>
      </c>
      <c r="FR63" s="8" t="inlineStr">
        <is>
          <t>To a moderate extent</t>
        </is>
      </c>
      <c r="FS63" s="8" t="inlineStr">
        <is>
          <t>To a moderate extent</t>
        </is>
      </c>
      <c r="FT63" s="8" t="inlineStr">
        <is>
          <t>To a moderate extent</t>
        </is>
      </c>
      <c r="FU63" s="8" t="inlineStr">
        <is>
          <t>Don’t know or not applicable</t>
        </is>
      </c>
      <c r="FV63" s="8" t="n"/>
      <c r="FW63" s="8" t="inlineStr">
        <is>
          <t>The IMF should have dedicated more resources</t>
        </is>
      </c>
      <c r="FX63" s="8" t="n"/>
      <c r="FY63" s="8" t="inlineStr">
        <is>
          <t>To a moderate extent</t>
        </is>
      </c>
      <c r="FZ63" s="8" t="inlineStr">
        <is>
          <t>To a great extent</t>
        </is>
      </c>
      <c r="GA63" s="8" t="inlineStr">
        <is>
          <t>To a great extent</t>
        </is>
      </c>
      <c r="GB63" s="8" t="inlineStr">
        <is>
          <t>To a great extent</t>
        </is>
      </c>
      <c r="GC63" s="8" t="inlineStr">
        <is>
          <t>Don’t know or not applicable</t>
        </is>
      </c>
      <c r="GD63" s="8" t="n"/>
      <c r="GE63" s="8" t="inlineStr">
        <is>
          <t>To a great extent</t>
        </is>
      </c>
      <c r="GF63" s="8" t="inlineStr">
        <is>
          <t>To a great extent</t>
        </is>
      </c>
      <c r="GG63" s="8" t="inlineStr">
        <is>
          <t>To a great extent</t>
        </is>
      </c>
      <c r="GH63" s="8" t="inlineStr">
        <is>
          <t>To a great extent</t>
        </is>
      </c>
      <c r="GI63" s="8" t="inlineStr">
        <is>
          <t>To a great extent</t>
        </is>
      </c>
      <c r="GJ63" s="8" t="inlineStr">
        <is>
          <t>To a great extent</t>
        </is>
      </c>
      <c r="GK63" s="8" t="inlineStr">
        <is>
          <t>The IMF should be more intentional and country specific driven needs to build capacity on climate issues  to help address the rising climate change issues. When capacity is strengthen, funds mobilize will be well utilize and impact evident in the system. Therefore, aside effort to mobilize funds for climate change, capacity development should be prioritize.</t>
        </is>
      </c>
      <c r="GL63" s="10">
        <f>DATE(2025,7,12)+TIME(9,41,33)</f>
        <v/>
      </c>
    </row>
    <row r="64" ht="409.5" customHeight="1">
      <c r="A64" s="3" t="inlineStr">
        <is>
          <t>Olga</t>
        </is>
      </c>
      <c r="B64" s="3" t="inlineStr">
        <is>
          <t>Chen</t>
        </is>
      </c>
      <c r="C64" s="3" t="inlineStr">
        <is>
          <t>ochen@organization.org</t>
        </is>
      </c>
      <c r="D64" s="3" t="inlineStr">
        <is>
          <t>IH4WQ9FQL</t>
        </is>
      </c>
      <c r="E64" s="3" t="n"/>
      <c r="F64" s="3" t="inlineStr">
        <is>
          <t>OEDMI</t>
        </is>
      </c>
      <c r="G64" s="3" t="n"/>
      <c r="H64" s="3" t="n"/>
      <c r="I64" s="3" t="n"/>
      <c r="J64" s="3" t="n"/>
      <c r="K64" s="3" t="n"/>
      <c r="L64" s="3" t="n"/>
      <c r="M64" s="3" t="n"/>
      <c r="N64" s="3" t="n"/>
      <c r="O64" s="3" t="n"/>
      <c r="P64" s="3" t="n"/>
      <c r="Q64" s="3" t="n"/>
      <c r="R64" s="3" t="n"/>
      <c r="S64" s="3" t="n"/>
      <c r="T64" s="3" t="n"/>
      <c r="U64" s="3" t="n"/>
      <c r="V64" s="3" t="n"/>
      <c r="W64" s="3" t="inlineStr">
        <is>
          <t>Oman</t>
        </is>
      </c>
      <c r="X64" s="3" t="n"/>
      <c r="Y64" s="3" t="n"/>
      <c r="Z64" s="3" t="n"/>
      <c r="AA64" s="3" t="n"/>
      <c r="AB64" s="3" t="n"/>
      <c r="AC64" s="3" t="n"/>
      <c r="AD64" s="3" t="n"/>
      <c r="AE64" s="3" t="n"/>
      <c r="AF64" s="4" t="inlineStr">
        <is>
          <t>Oman</t>
        </is>
      </c>
      <c r="AG64" s="3" t="inlineStr">
        <is>
          <t>The IMF should engage less on climate change-related issues</t>
        </is>
      </c>
      <c r="AH64" s="3" t="inlineStr">
        <is>
          <t>To a slight extent</t>
        </is>
      </c>
      <c r="AI64" s="3" t="inlineStr">
        <is>
          <t>To a slight extent</t>
        </is>
      </c>
      <c r="AJ64" s="3" t="inlineStr">
        <is>
          <t>To a slight extent</t>
        </is>
      </c>
      <c r="AK64" s="3" t="inlineStr">
        <is>
          <t>To a slight extent</t>
        </is>
      </c>
      <c r="AL64" s="3" t="inlineStr">
        <is>
          <t>To a slight extent</t>
        </is>
      </c>
      <c r="AM64" s="3" t="inlineStr">
        <is>
          <t>Don’t know or not applicable</t>
        </is>
      </c>
      <c r="AN64" s="3" t="inlineStr">
        <is>
          <t>Not at all</t>
        </is>
      </c>
      <c r="AO64" s="3" t="inlineStr">
        <is>
          <t>To a slight extent</t>
        </is>
      </c>
      <c r="AP64" s="3" t="inlineStr">
        <is>
          <t>To a slight extent</t>
        </is>
      </c>
      <c r="AQ64" s="3" t="inlineStr">
        <is>
          <t>To a slight extent</t>
        </is>
      </c>
      <c r="AR64" s="3" t="inlineStr">
        <is>
          <t>To a slight extent</t>
        </is>
      </c>
      <c r="AS64" s="3" t="n"/>
      <c r="AT64" s="3" t="inlineStr">
        <is>
          <t>To a slight extent</t>
        </is>
      </c>
      <c r="AU64" s="3" t="inlineStr">
        <is>
          <t>To a slight extent</t>
        </is>
      </c>
      <c r="AV64" s="3" t="inlineStr">
        <is>
          <t>To a slight extent</t>
        </is>
      </c>
      <c r="AW64" s="3" t="inlineStr">
        <is>
          <t>To a slight extent</t>
        </is>
      </c>
      <c r="AX64" s="3" t="inlineStr">
        <is>
          <t>To a slight extent</t>
        </is>
      </c>
      <c r="AY64" s="3" t="inlineStr">
        <is>
          <t>To a slight extent</t>
        </is>
      </c>
      <c r="AZ64" s="3" t="inlineStr">
        <is>
          <t>To a slight extent</t>
        </is>
      </c>
      <c r="BA64" s="3" t="inlineStr">
        <is>
          <t>To a moderate extent</t>
        </is>
      </c>
      <c r="BB64" s="3" t="inlineStr">
        <is>
          <t>To a slight extent</t>
        </is>
      </c>
      <c r="BC64" s="3" t="inlineStr">
        <is>
          <t>To a slight extent</t>
        </is>
      </c>
      <c r="BD64" s="3" t="inlineStr">
        <is>
          <t>To a slight extent</t>
        </is>
      </c>
      <c r="BE64" s="3" t="inlineStr">
        <is>
          <t>To a slight extent</t>
        </is>
      </c>
      <c r="BF64" s="3" t="inlineStr">
        <is>
          <t>To a moderate extent</t>
        </is>
      </c>
      <c r="BG64" s="3" t="inlineStr">
        <is>
          <t>To a slight extent</t>
        </is>
      </c>
      <c r="BH64" s="3" t="inlineStr">
        <is>
          <t>To a slight extent</t>
        </is>
      </c>
      <c r="BI64" s="3" t="inlineStr">
        <is>
          <t>To a slight extent</t>
        </is>
      </c>
      <c r="BJ64" s="3" t="inlineStr">
        <is>
          <t>To a slight extent</t>
        </is>
      </c>
      <c r="BK64" s="3" t="inlineStr">
        <is>
          <t>To a moderate extent</t>
        </is>
      </c>
      <c r="BL64" s="3" t="inlineStr">
        <is>
          <t>To a slight extent</t>
        </is>
      </c>
      <c r="BM64" s="3" t="inlineStr">
        <is>
          <t>To a slight extent</t>
        </is>
      </c>
      <c r="BN64" s="3" t="inlineStr">
        <is>
          <t>To a slight extent</t>
        </is>
      </c>
      <c r="BO64" s="3" t="inlineStr">
        <is>
          <t>To a slight extent</t>
        </is>
      </c>
      <c r="BP64" s="3" t="inlineStr">
        <is>
          <t>Not at all</t>
        </is>
      </c>
      <c r="BQ64" s="3" t="inlineStr">
        <is>
          <t>Not at all</t>
        </is>
      </c>
      <c r="BR64" s="3" t="inlineStr">
        <is>
          <t>Not at all</t>
        </is>
      </c>
      <c r="BS64" s="3" t="n"/>
      <c r="BT64" s="3" t="inlineStr">
        <is>
          <t>The IMF should have dedicated less resources</t>
        </is>
      </c>
      <c r="BU64" s="3" t="inlineStr">
        <is>
          <t>To a slight extent</t>
        </is>
      </c>
      <c r="BV64" s="3" t="inlineStr">
        <is>
          <t>Not at all</t>
        </is>
      </c>
      <c r="BW64" s="3" t="inlineStr">
        <is>
          <t>To a slight extent</t>
        </is>
      </c>
      <c r="BX64" s="3" t="inlineStr">
        <is>
          <t>To a moderate extent</t>
        </is>
      </c>
      <c r="BY64" s="3" t="inlineStr">
        <is>
          <t>Not at all</t>
        </is>
      </c>
      <c r="BZ64" s="3" t="inlineStr">
        <is>
          <t>To a moderate extent</t>
        </is>
      </c>
      <c r="CA64" s="3" t="inlineStr">
        <is>
          <t>To a slight extent</t>
        </is>
      </c>
      <c r="CB64" s="3" t="inlineStr">
        <is>
          <t>Not at all</t>
        </is>
      </c>
      <c r="CC64" s="3" t="inlineStr">
        <is>
          <t>To a slight extent</t>
        </is>
      </c>
      <c r="CD64" s="3" t="inlineStr">
        <is>
          <t>To a slight extent</t>
        </is>
      </c>
      <c r="CE64" s="3" t="inlineStr">
        <is>
          <t>Not at all</t>
        </is>
      </c>
      <c r="CF64" s="3" t="inlineStr">
        <is>
          <t>To a slight extent</t>
        </is>
      </c>
      <c r="CG64" s="3" t="n"/>
      <c r="CH64" s="3" t="inlineStr">
        <is>
          <t>No</t>
        </is>
      </c>
      <c r="CI64" s="3" t="inlineStr">
        <is>
          <t>No</t>
        </is>
      </c>
      <c r="CJ64" s="3" t="n"/>
      <c r="CK64" s="3" t="n"/>
      <c r="CL64" s="3" t="n"/>
      <c r="CM64" s="3" t="n"/>
      <c r="CN64" s="3" t="n"/>
      <c r="CO64" s="3" t="n"/>
      <c r="CP64" s="3" t="n"/>
      <c r="CQ64" s="3" t="n"/>
      <c r="CR64" s="3" t="n"/>
      <c r="CS64" s="3" t="n"/>
      <c r="CT64" s="3" t="n"/>
      <c r="CU64" s="3" t="n"/>
      <c r="CV64" s="3" t="n"/>
      <c r="CW64" s="3" t="n"/>
      <c r="CX64" s="3" t="n"/>
      <c r="CY64" s="3" t="n"/>
      <c r="CZ64" s="3" t="n"/>
      <c r="DA64" s="3" t="n"/>
      <c r="DB64" s="3" t="n"/>
      <c r="DC64" s="3" t="n"/>
      <c r="DD64" s="3" t="n"/>
      <c r="DE64" s="3" t="n"/>
      <c r="DF64" s="3" t="n"/>
      <c r="DG64" s="3" t="n"/>
      <c r="DH64" s="3" t="n"/>
      <c r="DI64" s="3" t="n"/>
      <c r="DJ64" s="3" t="n"/>
      <c r="DK64" s="3" t="n"/>
      <c r="DL64" s="3" t="n"/>
      <c r="DM64" s="3" t="n"/>
      <c r="DN64" s="3" t="n"/>
      <c r="DO64" s="3" t="n"/>
      <c r="DP64" s="3" t="inlineStr">
        <is>
          <t>My country is not eligible for an RSF arrangement</t>
        </is>
      </c>
      <c r="DQ64" s="3" t="inlineStr">
        <is>
          <t>Climate change does not pose a major balance of payments risk in my country</t>
        </is>
      </c>
      <c r="DR64" s="3" t="n"/>
      <c r="DS64" s="3" t="n"/>
      <c r="DT64" s="3" t="n"/>
      <c r="DU64" s="3" t="n"/>
      <c r="DV64" s="3" t="inlineStr">
        <is>
          <t>Other (please specify) : Does not need financing</t>
        </is>
      </c>
      <c r="DW64" s="3" t="inlineStr">
        <is>
          <t>No</t>
        </is>
      </c>
      <c r="DX64" s="3" t="n"/>
      <c r="DY64" s="3" t="n"/>
      <c r="DZ64" s="3" t="n"/>
      <c r="EA64" s="3" t="n"/>
      <c r="EB64" s="3" t="n"/>
      <c r="EC64" s="3" t="n"/>
      <c r="ED64" s="3" t="n"/>
      <c r="EE64" s="3" t="n"/>
      <c r="EF64" s="3" t="inlineStr">
        <is>
          <t>To a great extent</t>
        </is>
      </c>
      <c r="EG64" s="3" t="inlineStr">
        <is>
          <t>To a slight extent</t>
        </is>
      </c>
      <c r="EH64" s="3" t="inlineStr">
        <is>
          <t>To a slight extent</t>
        </is>
      </c>
      <c r="EI64" s="3" t="inlineStr">
        <is>
          <t>To a great extent</t>
        </is>
      </c>
      <c r="EJ64" s="3" t="inlineStr">
        <is>
          <t>To a great extent</t>
        </is>
      </c>
      <c r="EK64" s="3" t="inlineStr">
        <is>
          <t>To a great extent</t>
        </is>
      </c>
      <c r="EL64" s="3" t="inlineStr">
        <is>
          <t>To a moderate extent</t>
        </is>
      </c>
      <c r="EM64" s="3" t="n"/>
      <c r="EN64" s="3" t="n"/>
      <c r="EO64" s="3" t="n"/>
      <c r="EP64" s="3" t="n"/>
      <c r="EQ64" s="3" t="inlineStr">
        <is>
          <t>To a slight extent</t>
        </is>
      </c>
      <c r="ER64" s="3" t="inlineStr">
        <is>
          <t>To a slight extent</t>
        </is>
      </c>
      <c r="ES64" s="3" t="n"/>
      <c r="ET64" s="3" t="inlineStr">
        <is>
          <t>Not at all</t>
        </is>
      </c>
      <c r="EU64" s="3" t="inlineStr">
        <is>
          <t>Not at all</t>
        </is>
      </c>
      <c r="EV64" s="3" t="inlineStr">
        <is>
          <t>Not at all</t>
        </is>
      </c>
      <c r="EW64" s="3" t="inlineStr">
        <is>
          <t>Not at all</t>
        </is>
      </c>
      <c r="EX64" s="3" t="n"/>
      <c r="EY64" s="3" t="inlineStr">
        <is>
          <t>To a slight extent</t>
        </is>
      </c>
      <c r="EZ64" s="3" t="inlineStr">
        <is>
          <t>To a slight extent</t>
        </is>
      </c>
      <c r="FA64" s="3" t="inlineStr">
        <is>
          <t>To a moderate extent</t>
        </is>
      </c>
      <c r="FB64" s="3" t="inlineStr">
        <is>
          <t>To a slight extent</t>
        </is>
      </c>
      <c r="FC64" s="3" t="inlineStr">
        <is>
          <t>To a slight extent</t>
        </is>
      </c>
      <c r="FD64" s="3" t="inlineStr">
        <is>
          <t>To a slight extent</t>
        </is>
      </c>
      <c r="FE64" s="3" t="inlineStr">
        <is>
          <t>Don’t know or not applicable</t>
        </is>
      </c>
      <c r="FF64" s="3" t="inlineStr">
        <is>
          <t>Don’t know or not applicable</t>
        </is>
      </c>
      <c r="FG64" s="3" t="inlineStr">
        <is>
          <t>Don’t know or not applicable</t>
        </is>
      </c>
      <c r="FH64" s="3" t="inlineStr">
        <is>
          <t>Not at all</t>
        </is>
      </c>
      <c r="FI64" s="3" t="inlineStr">
        <is>
          <t>To a slight extent</t>
        </is>
      </c>
      <c r="FJ64" s="3" t="inlineStr">
        <is>
          <t>To a slight extent</t>
        </is>
      </c>
      <c r="FK64" s="3" t="inlineStr">
        <is>
          <t>Not at all</t>
        </is>
      </c>
      <c r="FL64" s="3" t="inlineStr">
        <is>
          <t>To a slight extent</t>
        </is>
      </c>
      <c r="FM64" s="3" t="inlineStr">
        <is>
          <t>Not at all</t>
        </is>
      </c>
      <c r="FN64" s="3" t="inlineStr">
        <is>
          <t>Not at all</t>
        </is>
      </c>
      <c r="FO64" s="3" t="inlineStr">
        <is>
          <t>Not at all</t>
        </is>
      </c>
      <c r="FP64" s="3" t="inlineStr">
        <is>
          <t>Not at all</t>
        </is>
      </c>
      <c r="FQ64" s="3" t="inlineStr">
        <is>
          <t>Not at all</t>
        </is>
      </c>
      <c r="FR64" s="3" t="inlineStr">
        <is>
          <t>Not at all</t>
        </is>
      </c>
      <c r="FS64" s="3" t="inlineStr">
        <is>
          <t>Not at all</t>
        </is>
      </c>
      <c r="FT64" s="3" t="inlineStr">
        <is>
          <t>Not at all</t>
        </is>
      </c>
      <c r="FU64" s="3" t="inlineStr">
        <is>
          <t>Not at all</t>
        </is>
      </c>
      <c r="FV64" s="3" t="n"/>
      <c r="FW64" s="3" t="inlineStr">
        <is>
          <t>The IMF should have dedicated less resources</t>
        </is>
      </c>
      <c r="FX64" s="3" t="n"/>
      <c r="FY64" s="3" t="inlineStr">
        <is>
          <t>To a slight extent</t>
        </is>
      </c>
      <c r="FZ64" s="3" t="inlineStr">
        <is>
          <t>To a slight extent</t>
        </is>
      </c>
      <c r="GA64" s="3" t="inlineStr">
        <is>
          <t>To a slight extent</t>
        </is>
      </c>
      <c r="GB64" s="3" t="inlineStr">
        <is>
          <t>Not at all</t>
        </is>
      </c>
      <c r="GC64" s="3" t="inlineStr">
        <is>
          <t>Not at all</t>
        </is>
      </c>
      <c r="GD64" s="3" t="n"/>
      <c r="GE64" s="3" t="inlineStr">
        <is>
          <t>To a moderate extent</t>
        </is>
      </c>
      <c r="GF64" s="3" t="inlineStr">
        <is>
          <t>To a slight extent</t>
        </is>
      </c>
      <c r="GG64" s="3" t="inlineStr">
        <is>
          <t>To a slight extent</t>
        </is>
      </c>
      <c r="GH64" s="3" t="inlineStr">
        <is>
          <t>To a slight extent</t>
        </is>
      </c>
      <c r="GI64" s="3" t="inlineStr">
        <is>
          <t>To a moderate extent</t>
        </is>
      </c>
      <c r="GJ64" s="3" t="inlineStr">
        <is>
          <t>To a moderate extent</t>
        </is>
      </c>
      <c r="GK64" s="3" t="inlineStr">
        <is>
          <t>The Comprehensive Surveillance Review (CSR) should determine the
Fund's engagement in non-core areas, mindful of the need to
prioritize the core mandate.
Such engagement should be conditional on macro-criticality, which
needs to be carefully defined in the context of the CSR.
This applies to the Fund's work on climate change-related issues.
When carried out, the Fund's work on climate change-related issues
should pay close attention to adaptation and transition challenges,
especially in countries facing heightened vulnerabilities.</t>
        </is>
      </c>
      <c r="GL64" s="5">
        <f>DATE(2025,6,6)+TIME(12,48,52)</f>
        <v/>
      </c>
    </row>
    <row r="65" ht="346.5" customHeight="1">
      <c r="A65" s="6" t="inlineStr">
        <is>
          <t>Ahmed</t>
        </is>
      </c>
      <c r="B65" s="6" t="inlineStr">
        <is>
          <t>Gupta</t>
        </is>
      </c>
      <c r="C65" s="6" t="inlineStr">
        <is>
          <t>agupta@organization.org</t>
        </is>
      </c>
      <c r="D65" s="6" t="inlineStr">
        <is>
          <t>C73ANMPX0</t>
        </is>
      </c>
      <c r="E65" s="6" t="n"/>
      <c r="F65" s="6" t="inlineStr">
        <is>
          <t>OEDGR</t>
        </is>
      </c>
      <c r="G65" s="6" t="n"/>
      <c r="H65" s="6" t="n"/>
      <c r="I65" s="6" t="n"/>
      <c r="J65" s="6" t="n"/>
      <c r="K65" s="6" t="n"/>
      <c r="L65" s="6" t="n"/>
      <c r="M65" s="6" t="n"/>
      <c r="N65" s="6" t="n"/>
      <c r="O65" s="6" t="n"/>
      <c r="P65" s="6" t="n"/>
      <c r="Q65" s="6" t="n"/>
      <c r="R65" s="6" t="inlineStr">
        <is>
          <t>Germany</t>
        </is>
      </c>
      <c r="S65" s="6" t="n"/>
      <c r="T65" s="6" t="n"/>
      <c r="U65" s="6" t="n"/>
      <c r="V65" s="6" t="n"/>
      <c r="W65" s="6" t="n"/>
      <c r="X65" s="6" t="n"/>
      <c r="Y65" s="6" t="n"/>
      <c r="Z65" s="6" t="n"/>
      <c r="AA65" s="6" t="n"/>
      <c r="AB65" s="6" t="n"/>
      <c r="AC65" s="6" t="n"/>
      <c r="AD65" s="6" t="n"/>
      <c r="AE65" s="6" t="n"/>
      <c r="AF65" s="4" t="inlineStr">
        <is>
          <t>Germany</t>
        </is>
      </c>
      <c r="AG65" s="6" t="inlineStr">
        <is>
          <t>The IMF should engage a similar amount on climate change-related issues</t>
        </is>
      </c>
      <c r="AH65" s="6" t="inlineStr">
        <is>
          <t>To a moderate extent</t>
        </is>
      </c>
      <c r="AI65" s="6" t="inlineStr">
        <is>
          <t>To a moderate extent</t>
        </is>
      </c>
      <c r="AJ65" s="6" t="inlineStr">
        <is>
          <t>To a moderate extent</t>
        </is>
      </c>
      <c r="AK65" s="6" t="inlineStr">
        <is>
          <t>To a moderate extent</t>
        </is>
      </c>
      <c r="AL65" s="6" t="inlineStr">
        <is>
          <t>Don’t know or not applicable</t>
        </is>
      </c>
      <c r="AM65" s="6" t="inlineStr">
        <is>
          <t>Don’t know or not applicable</t>
        </is>
      </c>
      <c r="AN65" s="6" t="inlineStr">
        <is>
          <t>To a moderate extent</t>
        </is>
      </c>
      <c r="AO65" s="6" t="inlineStr">
        <is>
          <t>Don’t know or not applicable</t>
        </is>
      </c>
      <c r="AP65" s="6" t="inlineStr">
        <is>
          <t>Don’t know or not applicable</t>
        </is>
      </c>
      <c r="AQ65" s="6" t="inlineStr">
        <is>
          <t>To a moderate extent</t>
        </is>
      </c>
      <c r="AR65" s="6" t="inlineStr">
        <is>
          <t>To a great extent</t>
        </is>
      </c>
      <c r="AS65" s="6" t="n"/>
      <c r="AT65" s="6" t="inlineStr">
        <is>
          <t>Don’t know or not applicable</t>
        </is>
      </c>
      <c r="AU65" s="6" t="inlineStr">
        <is>
          <t>To a moderate extent</t>
        </is>
      </c>
      <c r="AV65" s="6" t="inlineStr">
        <is>
          <t>Not at all</t>
        </is>
      </c>
      <c r="AW65" s="6" t="inlineStr">
        <is>
          <t>To a slight extent</t>
        </is>
      </c>
      <c r="AX65" s="6" t="inlineStr">
        <is>
          <t>To a slight extent</t>
        </is>
      </c>
      <c r="AY65" s="6" t="inlineStr">
        <is>
          <t>To a great extent</t>
        </is>
      </c>
      <c r="AZ65" s="6" t="inlineStr">
        <is>
          <t>To a moderate extent</t>
        </is>
      </c>
      <c r="BA65" s="6" t="inlineStr">
        <is>
          <t>To a slight extent</t>
        </is>
      </c>
      <c r="BB65" s="6" t="inlineStr">
        <is>
          <t>To a moderate extent</t>
        </is>
      </c>
      <c r="BC65" s="6" t="inlineStr">
        <is>
          <t>To a moderate extent</t>
        </is>
      </c>
      <c r="BD65" s="6" t="inlineStr">
        <is>
          <t>To a moderate extent</t>
        </is>
      </c>
      <c r="BE65" s="6" t="inlineStr">
        <is>
          <t>Not at all</t>
        </is>
      </c>
      <c r="BF65" s="6" t="inlineStr">
        <is>
          <t>Not at all</t>
        </is>
      </c>
      <c r="BG65" s="6" t="inlineStr">
        <is>
          <t>To a moderate extent</t>
        </is>
      </c>
      <c r="BH65" s="6" t="inlineStr">
        <is>
          <t>Don’t know or not applicable</t>
        </is>
      </c>
      <c r="BI65" s="6" t="inlineStr">
        <is>
          <t>To a great extent</t>
        </is>
      </c>
      <c r="BJ65" s="6" t="inlineStr">
        <is>
          <t>To a moderate extent</t>
        </is>
      </c>
      <c r="BK65" s="6" t="inlineStr">
        <is>
          <t>To a slight extent</t>
        </is>
      </c>
      <c r="BL65" s="6" t="inlineStr">
        <is>
          <t>To a moderate extent</t>
        </is>
      </c>
      <c r="BM65" s="6" t="inlineStr">
        <is>
          <t>To a moderate extent</t>
        </is>
      </c>
      <c r="BN65" s="6" t="inlineStr">
        <is>
          <t>To a moderate extent</t>
        </is>
      </c>
      <c r="BO65" s="6" t="inlineStr">
        <is>
          <t>To a moderate extent</t>
        </is>
      </c>
      <c r="BP65" s="6" t="inlineStr">
        <is>
          <t>Don’t know or not applicable</t>
        </is>
      </c>
      <c r="BQ65" s="6" t="inlineStr">
        <is>
          <t>Don’t know or not applicable</t>
        </is>
      </c>
      <c r="BR65" s="6" t="inlineStr">
        <is>
          <t>Don’t know or not applicable</t>
        </is>
      </c>
      <c r="BS65" s="6" t="n"/>
      <c r="BT65" s="6" t="inlineStr">
        <is>
          <t>The IMF dedicated an appropriate amount of resources</t>
        </is>
      </c>
      <c r="BU65" s="6" t="inlineStr">
        <is>
          <t>To a great extent</t>
        </is>
      </c>
      <c r="BV65" s="6" t="inlineStr">
        <is>
          <t>To a great extent</t>
        </is>
      </c>
      <c r="BW65" s="6" t="inlineStr">
        <is>
          <t>To a great extent</t>
        </is>
      </c>
      <c r="BX65" s="6" t="inlineStr">
        <is>
          <t>To a moderate extent</t>
        </is>
      </c>
      <c r="BY65" s="6" t="inlineStr">
        <is>
          <t>To a moderate extent</t>
        </is>
      </c>
      <c r="BZ65" s="6" t="inlineStr">
        <is>
          <t>To a moderate extent</t>
        </is>
      </c>
      <c r="CA65" s="6" t="inlineStr">
        <is>
          <t>To a moderate extent</t>
        </is>
      </c>
      <c r="CB65" s="6" t="inlineStr">
        <is>
          <t>To a moderate extent</t>
        </is>
      </c>
      <c r="CC65" s="6" t="inlineStr">
        <is>
          <t>To a moderate extent</t>
        </is>
      </c>
      <c r="CD65" s="6" t="inlineStr">
        <is>
          <t>To a moderate extent</t>
        </is>
      </c>
      <c r="CE65" s="6" t="inlineStr">
        <is>
          <t>To a moderate extent</t>
        </is>
      </c>
      <c r="CF65" s="6" t="inlineStr">
        <is>
          <t>To a moderate extent</t>
        </is>
      </c>
      <c r="CG65" s="6" t="n"/>
      <c r="CH65" s="6" t="inlineStr">
        <is>
          <t>No</t>
        </is>
      </c>
      <c r="CI65" s="6" t="inlineStr">
        <is>
          <t>No</t>
        </is>
      </c>
      <c r="CJ65" s="6" t="n"/>
      <c r="CK65" s="6" t="n"/>
      <c r="CL65" s="6" t="n"/>
      <c r="CM65" s="6" t="n"/>
      <c r="CN65" s="6" t="n"/>
      <c r="CO65" s="6" t="n"/>
      <c r="CP65" s="6" t="n"/>
      <c r="CQ65" s="6" t="n"/>
      <c r="CR65" s="6" t="n"/>
      <c r="CS65" s="6" t="n"/>
      <c r="CT65" s="6" t="n"/>
      <c r="CU65" s="6" t="n"/>
      <c r="CV65" s="6" t="n"/>
      <c r="CW65" s="6" t="n"/>
      <c r="CX65" s="6" t="n"/>
      <c r="CY65" s="6" t="n"/>
      <c r="CZ65" s="6" t="n"/>
      <c r="DA65" s="6" t="n"/>
      <c r="DB65" s="6" t="n"/>
      <c r="DC65" s="6" t="n"/>
      <c r="DD65" s="6" t="n"/>
      <c r="DE65" s="6" t="n"/>
      <c r="DF65" s="6" t="n"/>
      <c r="DG65" s="6" t="n"/>
      <c r="DH65" s="6" t="n"/>
      <c r="DI65" s="6" t="n"/>
      <c r="DJ65" s="6" t="n"/>
      <c r="DK65" s="6" t="n"/>
      <c r="DL65" s="6" t="n"/>
      <c r="DM65" s="6" t="n"/>
      <c r="DN65" s="6" t="n"/>
      <c r="DO65" s="6" t="n"/>
      <c r="DP65" s="6" t="inlineStr">
        <is>
          <t>My country is not eligible for an RSF arrangement</t>
        </is>
      </c>
      <c r="DQ65" s="6" t="n"/>
      <c r="DR65" s="6" t="n"/>
      <c r="DS65" s="6" t="n"/>
      <c r="DT65" s="6" t="n"/>
      <c r="DU65" s="6" t="n"/>
      <c r="DV65" s="6" t="n"/>
      <c r="DW65" s="6" t="inlineStr">
        <is>
          <t>No</t>
        </is>
      </c>
      <c r="DX65" s="6" t="n"/>
      <c r="DY65" s="6" t="n"/>
      <c r="DZ65" s="6" t="n"/>
      <c r="EA65" s="6" t="n"/>
      <c r="EB65" s="6" t="n"/>
      <c r="EC65" s="6" t="n"/>
      <c r="ED65" s="6" t="n"/>
      <c r="EE65" s="6" t="n"/>
      <c r="EF65" s="6" t="inlineStr">
        <is>
          <t>To a great extent</t>
        </is>
      </c>
      <c r="EG65" s="6" t="inlineStr">
        <is>
          <t>To a slight extent</t>
        </is>
      </c>
      <c r="EH65" s="6" t="inlineStr">
        <is>
          <t>To a slight extent</t>
        </is>
      </c>
      <c r="EI65" s="6" t="inlineStr">
        <is>
          <t>To a great extent</t>
        </is>
      </c>
      <c r="EJ65" s="6" t="inlineStr">
        <is>
          <t>Not at all</t>
        </is>
      </c>
      <c r="EK65" s="6" t="inlineStr">
        <is>
          <t>Not at all</t>
        </is>
      </c>
      <c r="EL65" s="6" t="inlineStr">
        <is>
          <t>Not at all</t>
        </is>
      </c>
      <c r="EM65" s="6" t="n"/>
      <c r="EN65" s="6" t="n"/>
      <c r="EO65" s="6" t="n"/>
      <c r="EP65" s="6" t="n"/>
      <c r="EQ65" s="6" t="inlineStr">
        <is>
          <t>Not at all</t>
        </is>
      </c>
      <c r="ER65" s="6" t="inlineStr">
        <is>
          <t>Not at all</t>
        </is>
      </c>
      <c r="ES65" s="6" t="n"/>
      <c r="ET65" s="6" t="n"/>
      <c r="EU65" s="6" t="n"/>
      <c r="EV65" s="6" t="n"/>
      <c r="EW65" s="6" t="n"/>
      <c r="EX65" s="6" t="n"/>
      <c r="EY65" s="6" t="n"/>
      <c r="EZ65" s="6" t="n"/>
      <c r="FA65" s="6" t="n"/>
      <c r="FB65" s="6" t="n"/>
      <c r="FC65" s="6" t="n"/>
      <c r="FD65" s="6" t="n"/>
      <c r="FE65" s="6" t="n"/>
      <c r="FF65" s="6" t="n"/>
      <c r="FG65" s="6" t="n"/>
      <c r="FH65" s="6" t="n"/>
      <c r="FI65" s="6" t="n"/>
      <c r="FJ65" s="6" t="n"/>
      <c r="FK65" s="6" t="n"/>
      <c r="FL65" s="6" t="n"/>
      <c r="FM65" s="6" t="n"/>
      <c r="FN65" s="6" t="n"/>
      <c r="FO65" s="6" t="n"/>
      <c r="FP65" s="6" t="n"/>
      <c r="FQ65" s="6" t="n"/>
      <c r="FR65" s="6" t="n"/>
      <c r="FS65" s="6" t="n"/>
      <c r="FT65" s="6" t="n"/>
      <c r="FU65" s="6" t="n"/>
      <c r="FV65" s="6" t="n"/>
      <c r="FW65" s="6" t="n"/>
      <c r="FX65" s="6" t="n"/>
      <c r="FY65" s="6" t="inlineStr">
        <is>
          <t>To a slight extent</t>
        </is>
      </c>
      <c r="FZ65" s="6" t="inlineStr">
        <is>
          <t>To a moderate extent</t>
        </is>
      </c>
      <c r="GA65" s="6" t="inlineStr">
        <is>
          <t>To a great extent</t>
        </is>
      </c>
      <c r="GB65" s="6" t="inlineStr">
        <is>
          <t>To a moderate extent</t>
        </is>
      </c>
      <c r="GC65" s="6" t="n"/>
      <c r="GD65" s="6" t="n"/>
      <c r="GE65" s="6" t="inlineStr">
        <is>
          <t>Don’t know or not applicable</t>
        </is>
      </c>
      <c r="GF65" s="6" t="inlineStr">
        <is>
          <t>Don’t know or not applicable</t>
        </is>
      </c>
      <c r="GG65" s="6" t="inlineStr">
        <is>
          <t>Don’t know or not applicable</t>
        </is>
      </c>
      <c r="GH65" s="6" t="inlineStr">
        <is>
          <t>Don’t know or not applicable</t>
        </is>
      </c>
      <c r="GI65" s="6" t="inlineStr">
        <is>
          <t>Don’t know or not applicable</t>
        </is>
      </c>
      <c r="GJ65" s="6" t="inlineStr">
        <is>
          <t>Don’t know or not applicable</t>
        </is>
      </c>
      <c r="GK65" s="6" t="inlineStr">
        <is>
          <t>We highly value IMF’s climate change-related analyses, and have long advocated for mandatory inclusion of macro-critical climate-related aspects in Article IV consultations with large greenhouse gas emitters. We see some need to increase the coverage and include these issues more systematically. This also includes reflecting the implications of climate change in DSAs consistently (e.g. incorporate higher frequency of natural disasters in baseline/macro framework as well as stress tests to account for materialization of risks).</t>
        </is>
      </c>
      <c r="GL65" s="7">
        <f>DATE(2025,6,4)+TIME(14,5,14)</f>
        <v/>
      </c>
    </row>
    <row r="66" ht="110.25" customFormat="1" customHeight="1" s="9">
      <c r="A66" s="8" t="inlineStr">
        <is>
          <t>Chloe</t>
        </is>
      </c>
      <c r="B66" s="8" t="inlineStr">
        <is>
          <t>Alvarez</t>
        </is>
      </c>
      <c r="C66" s="8" t="inlineStr">
        <is>
          <t>calvarez@organization.org</t>
        </is>
      </c>
      <c r="D66" s="8" t="inlineStr">
        <is>
          <t>ULSKHU80R</t>
        </is>
      </c>
      <c r="E66" s="8" t="n"/>
      <c r="F66" s="8" t="inlineStr">
        <is>
          <t>OEDBR</t>
        </is>
      </c>
      <c r="G66" s="3" t="n"/>
      <c r="H66" s="3" t="n"/>
      <c r="I66" s="3" t="n"/>
      <c r="J66" s="3" t="n"/>
      <c r="K66" s="3" t="n"/>
      <c r="L66" s="3" t="inlineStr">
        <is>
          <t>Brazil</t>
        </is>
      </c>
      <c r="M66" s="3" t="n"/>
      <c r="N66" s="3" t="n"/>
      <c r="O66" s="3" t="n"/>
      <c r="P66" s="3" t="n"/>
      <c r="Q66" s="3" t="n"/>
      <c r="R66" s="3" t="n"/>
      <c r="S66" s="3" t="n"/>
      <c r="T66" s="3" t="n"/>
      <c r="U66" s="3" t="n"/>
      <c r="V66" s="3" t="n"/>
      <c r="W66" s="3" t="n"/>
      <c r="X66" s="3" t="n"/>
      <c r="Y66" s="3" t="n"/>
      <c r="Z66" s="3" t="n"/>
      <c r="AA66" s="3" t="n"/>
      <c r="AB66" s="3" t="n"/>
      <c r="AC66" s="3" t="n"/>
      <c r="AD66" s="3" t="n"/>
      <c r="AE66" s="3" t="n"/>
      <c r="AF66" s="9" t="inlineStr">
        <is>
          <t>Brazil</t>
        </is>
      </c>
      <c r="AG66" s="8" t="inlineStr">
        <is>
          <t>The IMF should engage a similar amount on climate change-related issues</t>
        </is>
      </c>
      <c r="AH66" s="8" t="inlineStr">
        <is>
          <t>To a moderate extent</t>
        </is>
      </c>
      <c r="AI66" s="8" t="inlineStr">
        <is>
          <t>To a slight extent</t>
        </is>
      </c>
      <c r="AJ66" s="8" t="inlineStr">
        <is>
          <t>Don’t know or not applicable</t>
        </is>
      </c>
      <c r="AK66" s="8" t="inlineStr">
        <is>
          <t>To a moderate extent</t>
        </is>
      </c>
      <c r="AL66" s="8" t="inlineStr">
        <is>
          <t>To a moderate extent</t>
        </is>
      </c>
      <c r="AM66" s="8" t="inlineStr">
        <is>
          <t>Don’t know or not applicable</t>
        </is>
      </c>
      <c r="AN66" s="8" t="inlineStr">
        <is>
          <t>Don’t know or not applicable</t>
        </is>
      </c>
      <c r="AO66" s="8" t="inlineStr">
        <is>
          <t>To a slight extent</t>
        </is>
      </c>
      <c r="AP66" s="8" t="inlineStr">
        <is>
          <t>To a slight extent</t>
        </is>
      </c>
      <c r="AQ66" s="8" t="inlineStr">
        <is>
          <t>Don’t know or not applicable</t>
        </is>
      </c>
      <c r="AR66" s="8" t="inlineStr">
        <is>
          <t>To a moderate extent</t>
        </is>
      </c>
      <c r="AS66" s="8" t="n"/>
      <c r="AT66" s="8" t="inlineStr">
        <is>
          <t>Not at all</t>
        </is>
      </c>
      <c r="AU66" s="8" t="inlineStr">
        <is>
          <t>To a slight extent</t>
        </is>
      </c>
      <c r="AV66" s="8" t="inlineStr">
        <is>
          <t>To a slight extent</t>
        </is>
      </c>
      <c r="AW66" s="8" t="inlineStr">
        <is>
          <t>To a moderate extent</t>
        </is>
      </c>
      <c r="AX66" s="8" t="inlineStr">
        <is>
          <t>To a slight extent</t>
        </is>
      </c>
      <c r="AY66" s="8" t="inlineStr">
        <is>
          <t>Don’t know or not applicable</t>
        </is>
      </c>
      <c r="AZ66" s="8" t="inlineStr">
        <is>
          <t>To a moderate extent</t>
        </is>
      </c>
      <c r="BA66" s="8" t="inlineStr">
        <is>
          <t>To a slight extent</t>
        </is>
      </c>
      <c r="BB66" s="8" t="inlineStr">
        <is>
          <t>To a slight extent</t>
        </is>
      </c>
      <c r="BC66" s="8" t="inlineStr">
        <is>
          <t>Not at all</t>
        </is>
      </c>
      <c r="BD66" s="8" t="inlineStr">
        <is>
          <t>To a slight extent</t>
        </is>
      </c>
      <c r="BE66" s="8" t="inlineStr">
        <is>
          <t>Don’t know or not applicable</t>
        </is>
      </c>
      <c r="BF66" s="8" t="inlineStr">
        <is>
          <t>Don’t know or not applicable</t>
        </is>
      </c>
      <c r="BG66" s="8" t="inlineStr">
        <is>
          <t>Don’t know or not applicable</t>
        </is>
      </c>
      <c r="BH66" s="8" t="inlineStr">
        <is>
          <t>Don’t know or not applicable</t>
        </is>
      </c>
      <c r="BI66" s="8" t="inlineStr">
        <is>
          <t>Don’t know or not applicable</t>
        </is>
      </c>
      <c r="BJ66" s="8" t="inlineStr">
        <is>
          <t>To a slight extent</t>
        </is>
      </c>
      <c r="BK66" s="8" t="inlineStr">
        <is>
          <t>Not at all</t>
        </is>
      </c>
      <c r="BL66" s="8" t="inlineStr">
        <is>
          <t>To a slight extent</t>
        </is>
      </c>
      <c r="BM66" s="8" t="inlineStr">
        <is>
          <t>Not at all</t>
        </is>
      </c>
      <c r="BN66" s="8" t="inlineStr">
        <is>
          <t>Don’t know or not applicable</t>
        </is>
      </c>
      <c r="BO66" s="8" t="inlineStr">
        <is>
          <t>To a moderate extent</t>
        </is>
      </c>
      <c r="BP66" s="8" t="inlineStr">
        <is>
          <t>To a moderate extent</t>
        </is>
      </c>
      <c r="BQ66" s="8" t="inlineStr">
        <is>
          <t>Don’t know or not applicable</t>
        </is>
      </c>
      <c r="BR66" s="8" t="inlineStr">
        <is>
          <t>Don’t know or not applicable</t>
        </is>
      </c>
      <c r="BS66" s="8" t="n"/>
      <c r="BT66" s="8" t="inlineStr">
        <is>
          <t>The IMF dedicated an appropriate amount of resources</t>
        </is>
      </c>
      <c r="BU66" s="8" t="inlineStr">
        <is>
          <t>To a great extent</t>
        </is>
      </c>
      <c r="BV66" s="8" t="inlineStr">
        <is>
          <t>To a moderate extent</t>
        </is>
      </c>
      <c r="BW66" s="8" t="inlineStr">
        <is>
          <t>To a great extent</t>
        </is>
      </c>
      <c r="BX66" s="8" t="inlineStr">
        <is>
          <t>To a moderate extent</t>
        </is>
      </c>
      <c r="BY66" s="8" t="inlineStr">
        <is>
          <t>To a moderate extent</t>
        </is>
      </c>
      <c r="BZ66" s="8" t="inlineStr">
        <is>
          <t>To a moderate extent</t>
        </is>
      </c>
      <c r="CA66" s="8" t="inlineStr">
        <is>
          <t>To a moderate extent</t>
        </is>
      </c>
      <c r="CB66" s="8" t="inlineStr">
        <is>
          <t>To a slight extent</t>
        </is>
      </c>
      <c r="CC66" s="8" t="inlineStr">
        <is>
          <t>To a moderate extent</t>
        </is>
      </c>
      <c r="CD66" s="8" t="inlineStr">
        <is>
          <t>To a moderate extent</t>
        </is>
      </c>
      <c r="CE66" s="8" t="inlineStr">
        <is>
          <t>To a moderate extent</t>
        </is>
      </c>
      <c r="CF66" s="8" t="inlineStr">
        <is>
          <t>To a moderate extent</t>
        </is>
      </c>
      <c r="CG66" s="8" t="n"/>
      <c r="CH66" s="8" t="inlineStr">
        <is>
          <t>No</t>
        </is>
      </c>
      <c r="CI66" s="8" t="inlineStr">
        <is>
          <t>No</t>
        </is>
      </c>
      <c r="CJ66" s="8" t="n"/>
      <c r="CK66" s="8" t="n"/>
      <c r="CL66" s="8" t="n"/>
      <c r="CM66" s="8" t="n"/>
      <c r="CN66" s="8" t="n"/>
      <c r="CO66" s="8" t="n"/>
      <c r="CP66" s="8" t="n"/>
      <c r="CQ66" s="8" t="n"/>
      <c r="CR66" s="8" t="n"/>
      <c r="CS66" s="8" t="n"/>
      <c r="CT66" s="8" t="n"/>
      <c r="CU66" s="8" t="n"/>
      <c r="CV66" s="8" t="n"/>
      <c r="CW66" s="8" t="n"/>
      <c r="CX66" s="8" t="n"/>
      <c r="CY66" s="8" t="n"/>
      <c r="CZ66" s="8" t="n"/>
      <c r="DA66" s="8" t="n"/>
      <c r="DB66" s="8" t="n"/>
      <c r="DC66" s="8" t="n"/>
      <c r="DD66" s="8" t="n"/>
      <c r="DE66" s="8" t="n"/>
      <c r="DF66" s="8" t="n"/>
      <c r="DG66" s="8" t="n"/>
      <c r="DH66" s="8" t="n"/>
      <c r="DI66" s="8" t="n"/>
      <c r="DJ66" s="8" t="n"/>
      <c r="DK66" s="8" t="n"/>
      <c r="DL66" s="8" t="n"/>
      <c r="DM66" s="8" t="n"/>
      <c r="DN66" s="8" t="n"/>
      <c r="DO66" s="8" t="n"/>
      <c r="DP66" s="8" t="n"/>
      <c r="DQ66" s="8" t="n"/>
      <c r="DR66" s="8" t="n"/>
      <c r="DS66" s="8" t="inlineStr">
        <is>
          <t>More convenient alternative financing options</t>
        </is>
      </c>
      <c r="DT66" s="8" t="n"/>
      <c r="DU66" s="8" t="inlineStr">
        <is>
          <t>An RSF arrangement would have been useful, but my country had no balance of payments issues/did not need/was not willing to commit to the underlying UCT program</t>
        </is>
      </c>
      <c r="DV66" s="8" t="n"/>
      <c r="DW66" s="8" t="inlineStr">
        <is>
          <t>Don't know</t>
        </is>
      </c>
      <c r="DX66" s="8" t="n"/>
      <c r="DY66" s="8" t="n"/>
      <c r="DZ66" s="8" t="n"/>
      <c r="EA66" s="8" t="n"/>
      <c r="EB66" s="8" t="n"/>
      <c r="EC66" s="8" t="n"/>
      <c r="ED66" s="8" t="n"/>
      <c r="EE66" s="8" t="n"/>
      <c r="EF66" s="8" t="inlineStr">
        <is>
          <t>Don’t know or not applicable</t>
        </is>
      </c>
      <c r="EG66" s="8" t="inlineStr">
        <is>
          <t>To a moderate extent</t>
        </is>
      </c>
      <c r="EH66" s="8" t="inlineStr">
        <is>
          <t>Don’t know or not applicable</t>
        </is>
      </c>
      <c r="EI66" s="8" t="inlineStr">
        <is>
          <t>To a great extent</t>
        </is>
      </c>
      <c r="EJ66" s="8" t="inlineStr">
        <is>
          <t>To a moderate extent</t>
        </is>
      </c>
      <c r="EK66" s="8" t="inlineStr">
        <is>
          <t>To a great extent</t>
        </is>
      </c>
      <c r="EL66" s="8" t="inlineStr">
        <is>
          <t>To a moderate extent</t>
        </is>
      </c>
      <c r="EM66" s="8" t="n"/>
      <c r="EN66" s="8" t="n"/>
      <c r="EO66" s="8" t="n"/>
      <c r="EP66" s="8" t="n"/>
      <c r="EQ66" s="8" t="inlineStr">
        <is>
          <t>To a slight extent</t>
        </is>
      </c>
      <c r="ER66" s="8" t="inlineStr">
        <is>
          <t>To a slight extent</t>
        </is>
      </c>
      <c r="ES66" s="8" t="n"/>
      <c r="ET66" s="8" t="inlineStr">
        <is>
          <t>To a moderate extent</t>
        </is>
      </c>
      <c r="EU66" s="8" t="inlineStr">
        <is>
          <t>Don’t know or not applicable</t>
        </is>
      </c>
      <c r="EV66" s="8" t="inlineStr">
        <is>
          <t>Don’t know or not applicable</t>
        </is>
      </c>
      <c r="EW66" s="8" t="inlineStr">
        <is>
          <t>Don’t know or not applicable</t>
        </is>
      </c>
      <c r="EX66" s="8" t="n"/>
      <c r="EY66" s="8" t="inlineStr">
        <is>
          <t>To a moderate extent</t>
        </is>
      </c>
      <c r="EZ66" s="8" t="inlineStr">
        <is>
          <t>Not at all</t>
        </is>
      </c>
      <c r="FA66" s="8" t="inlineStr">
        <is>
          <t>To a moderate extent</t>
        </is>
      </c>
      <c r="FB66" s="8" t="inlineStr">
        <is>
          <t>Don’t know or not applicable</t>
        </is>
      </c>
      <c r="FC66" s="8" t="inlineStr">
        <is>
          <t>Don’t know or not applicable</t>
        </is>
      </c>
      <c r="FD66" s="8" t="inlineStr">
        <is>
          <t>Don’t know or not applicable</t>
        </is>
      </c>
      <c r="FE66" s="8" t="inlineStr">
        <is>
          <t>Don’t know or not applicable</t>
        </is>
      </c>
      <c r="FF66" s="8" t="inlineStr">
        <is>
          <t>Don’t know or not applicable</t>
        </is>
      </c>
      <c r="FG66" s="8" t="inlineStr">
        <is>
          <t>Don’t know or not applicable</t>
        </is>
      </c>
      <c r="FH66" s="8" t="inlineStr">
        <is>
          <t>Don’t know or not applicable</t>
        </is>
      </c>
      <c r="FI66" s="8" t="inlineStr">
        <is>
          <t>Don’t know or not applicable</t>
        </is>
      </c>
      <c r="FJ66" s="8" t="inlineStr">
        <is>
          <t>Don’t know or not applicable</t>
        </is>
      </c>
      <c r="FK66" s="8" t="inlineStr">
        <is>
          <t>Don’t know or not applicable</t>
        </is>
      </c>
      <c r="FL66" s="8" t="inlineStr">
        <is>
          <t>Don’t know or not applicable</t>
        </is>
      </c>
      <c r="FM66" s="8" t="inlineStr">
        <is>
          <t>Don’t know or not applicable</t>
        </is>
      </c>
      <c r="FN66" s="8" t="inlineStr">
        <is>
          <t>Don’t know or not applicable</t>
        </is>
      </c>
      <c r="FO66" s="8" t="inlineStr">
        <is>
          <t>Don’t know or not applicable</t>
        </is>
      </c>
      <c r="FP66" s="8" t="inlineStr">
        <is>
          <t>Don’t know or not applicable</t>
        </is>
      </c>
      <c r="FQ66" s="8" t="inlineStr">
        <is>
          <t>Don’t know or not applicable</t>
        </is>
      </c>
      <c r="FR66" s="8" t="inlineStr">
        <is>
          <t>Don’t know or not applicable</t>
        </is>
      </c>
      <c r="FS66" s="8" t="inlineStr">
        <is>
          <t>Don’t know or not applicable</t>
        </is>
      </c>
      <c r="FT66" s="8" t="inlineStr">
        <is>
          <t>Don’t know or not applicable</t>
        </is>
      </c>
      <c r="FU66" s="8" t="inlineStr">
        <is>
          <t>Don’t know or not applicable</t>
        </is>
      </c>
      <c r="FV66" s="8" t="n"/>
      <c r="FW66" s="8" t="inlineStr">
        <is>
          <t>The IMF dedicated the appropriate amount of resources</t>
        </is>
      </c>
      <c r="FX66" s="8" t="n"/>
      <c r="FY66" s="8" t="inlineStr">
        <is>
          <t>To a moderate extent</t>
        </is>
      </c>
      <c r="FZ66" s="8" t="inlineStr">
        <is>
          <t>To a moderate extent</t>
        </is>
      </c>
      <c r="GA66" s="8" t="inlineStr">
        <is>
          <t>To a great extent</t>
        </is>
      </c>
      <c r="GB66" s="8" t="inlineStr">
        <is>
          <t>To a slight extent</t>
        </is>
      </c>
      <c r="GC66" s="8" t="n"/>
      <c r="GD66" s="8" t="n"/>
      <c r="GE66" s="8" t="inlineStr">
        <is>
          <t>To a moderate extent</t>
        </is>
      </c>
      <c r="GF66" s="8" t="inlineStr">
        <is>
          <t>To a great extent</t>
        </is>
      </c>
      <c r="GG66" s="8" t="inlineStr">
        <is>
          <t>To a moderate extent</t>
        </is>
      </c>
      <c r="GH66" s="8" t="inlineStr">
        <is>
          <t>To a great extent</t>
        </is>
      </c>
      <c r="GI66" s="8" t="inlineStr">
        <is>
          <t>To a moderate extent</t>
        </is>
      </c>
      <c r="GJ66" s="8" t="inlineStr">
        <is>
          <t>To a great extent</t>
        </is>
      </c>
      <c r="GK66" s="8" t="n"/>
      <c r="GL66" s="10">
        <f>DATE(2025,6,12)+TIME(15,18,0)</f>
        <v/>
      </c>
    </row>
    <row r="67" ht="220.5" customHeight="1">
      <c r="A67" s="6" t="inlineStr">
        <is>
          <t>Zara</t>
        </is>
      </c>
      <c r="B67" s="6" t="inlineStr">
        <is>
          <t>Watanabe</t>
        </is>
      </c>
      <c r="C67" s="6" t="inlineStr">
        <is>
          <t>zwatanabe@organization.org</t>
        </is>
      </c>
      <c r="D67" s="6" t="inlineStr">
        <is>
          <t>D0JBPSM5R</t>
        </is>
      </c>
      <c r="E67" s="6" t="n"/>
      <c r="F67" s="6" t="inlineStr">
        <is>
          <t>OEDUS</t>
        </is>
      </c>
      <c r="G67" s="6" t="n"/>
      <c r="H67" s="6" t="n"/>
      <c r="I67" s="6" t="n"/>
      <c r="J67" s="6" t="n"/>
      <c r="K67" s="6" t="n"/>
      <c r="L67" s="6" t="n"/>
      <c r="M67" s="6" t="n"/>
      <c r="N67" s="6" t="n"/>
      <c r="O67" s="6" t="n"/>
      <c r="P67" s="6" t="n"/>
      <c r="Q67" s="6" t="n"/>
      <c r="R67" s="6" t="n"/>
      <c r="S67" s="6" t="n"/>
      <c r="T67" s="6" t="n"/>
      <c r="U67" s="6" t="n"/>
      <c r="V67" s="6" t="n"/>
      <c r="W67" s="6" t="n"/>
      <c r="X67" s="6" t="n"/>
      <c r="Y67" s="6" t="n"/>
      <c r="Z67" s="6" t="n"/>
      <c r="AA67" s="6" t="n"/>
      <c r="AB67" s="6" t="n"/>
      <c r="AC67" s="6" t="n"/>
      <c r="AD67" s="6" t="n"/>
      <c r="AE67" s="6" t="inlineStr">
        <is>
          <t>United States</t>
        </is>
      </c>
      <c r="AF67" s="4" t="inlineStr">
        <is>
          <t>United States</t>
        </is>
      </c>
      <c r="AG67" s="6" t="inlineStr">
        <is>
          <t>The IMF should engage less on climate change-related issues</t>
        </is>
      </c>
      <c r="AH67" s="6" t="inlineStr">
        <is>
          <t>Not at all</t>
        </is>
      </c>
      <c r="AI67" s="6" t="inlineStr">
        <is>
          <t>Not at all</t>
        </is>
      </c>
      <c r="AJ67" s="6" t="inlineStr">
        <is>
          <t>Don’t know or not applicable</t>
        </is>
      </c>
      <c r="AK67" s="6" t="inlineStr">
        <is>
          <t>Don’t know or not applicable</t>
        </is>
      </c>
      <c r="AL67" s="6" t="inlineStr">
        <is>
          <t>Don’t know or not applicable</t>
        </is>
      </c>
      <c r="AM67" s="6" t="inlineStr">
        <is>
          <t>Don’t know or not applicable</t>
        </is>
      </c>
      <c r="AN67" s="6" t="inlineStr">
        <is>
          <t>Don’t know or not applicable</t>
        </is>
      </c>
      <c r="AO67" s="6" t="inlineStr">
        <is>
          <t>Don’t know or not applicable</t>
        </is>
      </c>
      <c r="AP67" s="6" t="inlineStr">
        <is>
          <t>Don’t know or not applicable</t>
        </is>
      </c>
      <c r="AQ67" s="6" t="inlineStr">
        <is>
          <t>Don’t know or not applicable</t>
        </is>
      </c>
      <c r="AR67" s="6" t="inlineStr">
        <is>
          <t>Not at all</t>
        </is>
      </c>
      <c r="AS67" s="6" t="n"/>
      <c r="AT67" s="6" t="inlineStr">
        <is>
          <t>To a slight extent</t>
        </is>
      </c>
      <c r="AU67" s="6" t="inlineStr">
        <is>
          <t>To a slight extent</t>
        </is>
      </c>
      <c r="AV67" s="6" t="inlineStr">
        <is>
          <t>To a slight extent</t>
        </is>
      </c>
      <c r="AW67" s="6" t="inlineStr">
        <is>
          <t>Not at all</t>
        </is>
      </c>
      <c r="AX67" s="6" t="inlineStr">
        <is>
          <t>Not at all</t>
        </is>
      </c>
      <c r="AY67" s="6" t="inlineStr">
        <is>
          <t>Don’t know or not applicable</t>
        </is>
      </c>
      <c r="AZ67" s="6" t="inlineStr">
        <is>
          <t>To a slight extent</t>
        </is>
      </c>
      <c r="BA67" s="6" t="inlineStr">
        <is>
          <t>To a moderate extent</t>
        </is>
      </c>
      <c r="BB67" s="6" t="inlineStr">
        <is>
          <t>Not at all</t>
        </is>
      </c>
      <c r="BC67" s="6" t="inlineStr">
        <is>
          <t>Not at all</t>
        </is>
      </c>
      <c r="BD67" s="6" t="inlineStr">
        <is>
          <t>Don’t know or not applicable</t>
        </is>
      </c>
      <c r="BE67" s="6" t="inlineStr">
        <is>
          <t>Don’t know or not applicable</t>
        </is>
      </c>
      <c r="BF67" s="6" t="inlineStr">
        <is>
          <t>Don’t know or not applicable</t>
        </is>
      </c>
      <c r="BG67" s="6" t="inlineStr">
        <is>
          <t>Don’t know or not applicable</t>
        </is>
      </c>
      <c r="BH67" s="6" t="inlineStr">
        <is>
          <t>Don’t know or not applicable</t>
        </is>
      </c>
      <c r="BI67" s="6" t="inlineStr">
        <is>
          <t>Don’t know or not applicable</t>
        </is>
      </c>
      <c r="BJ67" s="6" t="inlineStr">
        <is>
          <t>To a slight extent</t>
        </is>
      </c>
      <c r="BK67" s="6" t="inlineStr">
        <is>
          <t>To a moderate extent</t>
        </is>
      </c>
      <c r="BL67" s="6" t="inlineStr">
        <is>
          <t>Not at all</t>
        </is>
      </c>
      <c r="BM67" s="6" t="inlineStr">
        <is>
          <t>Not at all</t>
        </is>
      </c>
      <c r="BN67" s="6" t="inlineStr">
        <is>
          <t>Don’t know or not applicable</t>
        </is>
      </c>
      <c r="BO67" s="6" t="inlineStr">
        <is>
          <t>Not at all</t>
        </is>
      </c>
      <c r="BP67" s="6" t="inlineStr">
        <is>
          <t>Not at all</t>
        </is>
      </c>
      <c r="BQ67" s="6" t="inlineStr">
        <is>
          <t>Don’t know or not applicable</t>
        </is>
      </c>
      <c r="BR67" s="6" t="inlineStr">
        <is>
          <t>Not at all</t>
        </is>
      </c>
      <c r="BS67" s="6" t="n"/>
      <c r="BT67" s="6" t="inlineStr">
        <is>
          <t>The IMF should have dedicated less resources</t>
        </is>
      </c>
      <c r="BU67" s="6" t="inlineStr">
        <is>
          <t>To a slight extent</t>
        </is>
      </c>
      <c r="BV67" s="6" t="inlineStr">
        <is>
          <t>Not at all</t>
        </is>
      </c>
      <c r="BW67" s="6" t="inlineStr">
        <is>
          <t>To a slight extent</t>
        </is>
      </c>
      <c r="BX67" s="6" t="inlineStr">
        <is>
          <t>To a slight extent</t>
        </is>
      </c>
      <c r="BY67" s="6" t="inlineStr">
        <is>
          <t>Not at all</t>
        </is>
      </c>
      <c r="BZ67" s="6" t="inlineStr">
        <is>
          <t>To a slight extent</t>
        </is>
      </c>
      <c r="CA67" s="6" t="inlineStr">
        <is>
          <t>To a slight extent</t>
        </is>
      </c>
      <c r="CB67" s="6" t="inlineStr">
        <is>
          <t>Not at all</t>
        </is>
      </c>
      <c r="CC67" s="6" t="inlineStr">
        <is>
          <t>To a slight extent</t>
        </is>
      </c>
      <c r="CD67" s="6" t="inlineStr">
        <is>
          <t>To a slight extent</t>
        </is>
      </c>
      <c r="CE67" s="6" t="inlineStr">
        <is>
          <t>Not at all</t>
        </is>
      </c>
      <c r="CF67" s="6" t="inlineStr">
        <is>
          <t>To a slight extent</t>
        </is>
      </c>
      <c r="CG67" s="6" t="n"/>
      <c r="CH67" s="6" t="inlineStr">
        <is>
          <t>No</t>
        </is>
      </c>
      <c r="CI67" s="6" t="inlineStr">
        <is>
          <t>No</t>
        </is>
      </c>
      <c r="CJ67" s="6" t="n"/>
      <c r="CK67" s="6" t="n"/>
      <c r="CL67" s="6" t="n"/>
      <c r="CM67" s="6" t="n"/>
      <c r="CN67" s="6" t="n"/>
      <c r="CO67" s="6" t="n"/>
      <c r="CP67" s="6" t="n"/>
      <c r="CQ67" s="6" t="n"/>
      <c r="CR67" s="6" t="n"/>
      <c r="CS67" s="6" t="n"/>
      <c r="CT67" s="6" t="n"/>
      <c r="CU67" s="6" t="n"/>
      <c r="CV67" s="6" t="n"/>
      <c r="CW67" s="6" t="n"/>
      <c r="CX67" s="6" t="n"/>
      <c r="CY67" s="6" t="n"/>
      <c r="CZ67" s="6" t="n"/>
      <c r="DA67" s="6" t="n"/>
      <c r="DB67" s="6" t="n"/>
      <c r="DC67" s="6" t="n"/>
      <c r="DD67" s="6" t="n"/>
      <c r="DE67" s="6" t="n"/>
      <c r="DF67" s="6" t="n"/>
      <c r="DG67" s="6" t="n"/>
      <c r="DH67" s="6" t="n"/>
      <c r="DI67" s="6" t="n"/>
      <c r="DJ67" s="6" t="n"/>
      <c r="DK67" s="6" t="n"/>
      <c r="DL67" s="6" t="n"/>
      <c r="DM67" s="6" t="n"/>
      <c r="DN67" s="6" t="n"/>
      <c r="DO67" s="6" t="n"/>
      <c r="DP67" s="6" t="inlineStr">
        <is>
          <t>My country is not eligible for an RSF arrangement</t>
        </is>
      </c>
      <c r="DQ67" s="6" t="n"/>
      <c r="DR67" s="6" t="n"/>
      <c r="DS67" s="6" t="n"/>
      <c r="DT67" s="6" t="n"/>
      <c r="DU67" s="6" t="n"/>
      <c r="DV67" s="6" t="n"/>
      <c r="DW67" s="6" t="inlineStr">
        <is>
          <t>No</t>
        </is>
      </c>
      <c r="DX67" s="6" t="n"/>
      <c r="DY67" s="6" t="n"/>
      <c r="DZ67" s="6" t="n"/>
      <c r="EA67" s="6" t="n"/>
      <c r="EB67" s="6" t="n"/>
      <c r="EC67" s="6" t="n"/>
      <c r="ED67" s="6" t="n"/>
      <c r="EE67" s="6" t="n"/>
      <c r="EF67" s="6" t="inlineStr">
        <is>
          <t>To a great extent</t>
        </is>
      </c>
      <c r="EG67" s="6" t="inlineStr">
        <is>
          <t>To a slight extent</t>
        </is>
      </c>
      <c r="EH67" s="6" t="inlineStr">
        <is>
          <t>Not at all</t>
        </is>
      </c>
      <c r="EI67" s="6" t="inlineStr">
        <is>
          <t>To a great extent</t>
        </is>
      </c>
      <c r="EJ67" s="6" t="inlineStr">
        <is>
          <t>Not at all</t>
        </is>
      </c>
      <c r="EK67" s="6" t="inlineStr">
        <is>
          <t>Not at all</t>
        </is>
      </c>
      <c r="EL67" s="6" t="inlineStr">
        <is>
          <t>Not at all</t>
        </is>
      </c>
      <c r="EM67" s="6" t="n"/>
      <c r="EN67" s="6" t="n"/>
      <c r="EO67" s="6" t="n"/>
      <c r="EP67" s="6" t="n"/>
      <c r="EQ67" s="6" t="inlineStr">
        <is>
          <t>Not at all</t>
        </is>
      </c>
      <c r="ER67" s="6" t="inlineStr">
        <is>
          <t>Not at all</t>
        </is>
      </c>
      <c r="ES67" s="6" t="n"/>
      <c r="ET67" s="6" t="n"/>
      <c r="EU67" s="6" t="n"/>
      <c r="EV67" s="6" t="n"/>
      <c r="EW67" s="6" t="n"/>
      <c r="EX67" s="6" t="n"/>
      <c r="EY67" s="6" t="n"/>
      <c r="EZ67" s="6" t="n"/>
      <c r="FA67" s="6" t="n"/>
      <c r="FB67" s="6" t="n"/>
      <c r="FC67" s="6" t="n"/>
      <c r="FD67" s="6" t="n"/>
      <c r="FE67" s="6" t="n"/>
      <c r="FF67" s="6" t="n"/>
      <c r="FG67" s="6" t="n"/>
      <c r="FH67" s="6" t="n"/>
      <c r="FI67" s="6" t="n"/>
      <c r="FJ67" s="6" t="n"/>
      <c r="FK67" s="6" t="n"/>
      <c r="FL67" s="6" t="n"/>
      <c r="FM67" s="6" t="n"/>
      <c r="FN67" s="6" t="n"/>
      <c r="FO67" s="6" t="n"/>
      <c r="FP67" s="6" t="n"/>
      <c r="FQ67" s="6" t="n"/>
      <c r="FR67" s="6" t="n"/>
      <c r="FS67" s="6" t="n"/>
      <c r="FT67" s="6" t="n"/>
      <c r="FU67" s="6" t="n"/>
      <c r="FV67" s="6" t="n"/>
      <c r="FW67" s="6" t="n"/>
      <c r="FX67" s="6" t="n"/>
      <c r="FY67" s="6" t="inlineStr">
        <is>
          <t>Not at all</t>
        </is>
      </c>
      <c r="FZ67" s="6" t="inlineStr">
        <is>
          <t>Not at all</t>
        </is>
      </c>
      <c r="GA67" s="6" t="inlineStr">
        <is>
          <t>To a moderate extent</t>
        </is>
      </c>
      <c r="GB67" s="6" t="inlineStr">
        <is>
          <t>Not at all</t>
        </is>
      </c>
      <c r="GC67" s="6" t="inlineStr">
        <is>
          <t>Not at all</t>
        </is>
      </c>
      <c r="GD67" s="6" t="n"/>
      <c r="GE67" s="6" t="inlineStr">
        <is>
          <t>To a slight extent</t>
        </is>
      </c>
      <c r="GF67" s="6" t="inlineStr">
        <is>
          <t>To a slight extent</t>
        </is>
      </c>
      <c r="GG67" s="6" t="inlineStr">
        <is>
          <t>To a slight extent</t>
        </is>
      </c>
      <c r="GH67" s="6" t="inlineStr">
        <is>
          <t>Not at all</t>
        </is>
      </c>
      <c r="GI67" s="6" t="inlineStr">
        <is>
          <t>To a great extent</t>
        </is>
      </c>
      <c r="GJ67" s="6" t="inlineStr">
        <is>
          <t>To a moderate extent</t>
        </is>
      </c>
      <c r="GK67" s="6" t="inlineStr">
        <is>
          <t>The IMF needs to carefully access its climate work and make sure it's rooted in its core mandate to address BOP needs, while also in areas where the IMF has expertise.  IMF climate work should be driven by analysis of financial or macro risks and the Fund should not be providing normative advice on mitigation or other climate-related policies.</t>
        </is>
      </c>
      <c r="GL67" s="7">
        <f>DATE(2025,6,6)+TIME(12,45,24)</f>
        <v/>
      </c>
    </row>
    <row r="68" ht="47.25" customFormat="1" customHeight="1" s="9">
      <c r="A68" s="8" t="inlineStr">
        <is>
          <t>Leo</t>
        </is>
      </c>
      <c r="B68" s="8" t="inlineStr">
        <is>
          <t>Sato</t>
        </is>
      </c>
      <c r="C68" s="8" t="inlineStr">
        <is>
          <t>lsato@organization.org</t>
        </is>
      </c>
      <c r="D68" s="8" t="inlineStr">
        <is>
          <t>TAVGYW6FJ</t>
        </is>
      </c>
      <c r="E68" s="8" t="n"/>
      <c r="F68" s="8" t="inlineStr">
        <is>
          <t>OEDST</t>
        </is>
      </c>
      <c r="G68" s="3" t="n"/>
      <c r="H68" s="3" t="n"/>
      <c r="I68" s="3" t="n"/>
      <c r="J68" s="3" t="n"/>
      <c r="K68" s="3" t="n"/>
      <c r="L68" s="3" t="n"/>
      <c r="M68" s="3" t="n"/>
      <c r="N68" s="3" t="n"/>
      <c r="O68" s="3" t="n"/>
      <c r="P68" s="3" t="n"/>
      <c r="Q68" s="3" t="n"/>
      <c r="R68" s="3" t="n"/>
      <c r="S68" s="3" t="n"/>
      <c r="T68" s="3" t="n"/>
      <c r="U68" s="3" t="n"/>
      <c r="V68" s="3" t="n"/>
      <c r="W68" s="3" t="n"/>
      <c r="X68" s="3" t="n"/>
      <c r="Y68" s="3" t="n"/>
      <c r="Z68" s="3" t="n"/>
      <c r="AA68" s="3" t="n"/>
      <c r="AB68" s="3" t="inlineStr">
        <is>
          <t>Thailand</t>
        </is>
      </c>
      <c r="AC68" s="3" t="n"/>
      <c r="AD68" s="3" t="n"/>
      <c r="AE68" s="3" t="n"/>
      <c r="AF68" s="9" t="inlineStr">
        <is>
          <t>Thailand</t>
        </is>
      </c>
      <c r="AG68" s="8" t="inlineStr">
        <is>
          <t>The IMF should engage a similar amount on climate change-related issues</t>
        </is>
      </c>
      <c r="AH68" s="8" t="inlineStr">
        <is>
          <t>To a moderate extent</t>
        </is>
      </c>
      <c r="AI68" s="8" t="inlineStr">
        <is>
          <t>To a slight extent</t>
        </is>
      </c>
      <c r="AJ68" s="8" t="inlineStr">
        <is>
          <t>To a slight extent</t>
        </is>
      </c>
      <c r="AK68" s="8" t="inlineStr">
        <is>
          <t>To a slight extent</t>
        </is>
      </c>
      <c r="AL68" s="8" t="inlineStr">
        <is>
          <t>To a moderate extent</t>
        </is>
      </c>
      <c r="AM68" s="8" t="inlineStr">
        <is>
          <t>Not at all</t>
        </is>
      </c>
      <c r="AN68" s="8" t="inlineStr">
        <is>
          <t>Not at all</t>
        </is>
      </c>
      <c r="AO68" s="8" t="inlineStr">
        <is>
          <t>To a slight extent</t>
        </is>
      </c>
      <c r="AP68" s="8" t="inlineStr">
        <is>
          <t>To a moderate extent</t>
        </is>
      </c>
      <c r="AQ68" s="8" t="inlineStr">
        <is>
          <t>To a slight extent</t>
        </is>
      </c>
      <c r="AR68" s="8" t="inlineStr">
        <is>
          <t>To a slight extent</t>
        </is>
      </c>
      <c r="AS68" s="8" t="n"/>
      <c r="AT68" s="8" t="inlineStr">
        <is>
          <t>Not at all</t>
        </is>
      </c>
      <c r="AU68" s="8" t="inlineStr">
        <is>
          <t>To a slight extent</t>
        </is>
      </c>
      <c r="AV68" s="8" t="inlineStr">
        <is>
          <t>To a slight extent</t>
        </is>
      </c>
      <c r="AW68" s="8" t="inlineStr">
        <is>
          <t>To a moderate extent</t>
        </is>
      </c>
      <c r="AX68" s="8" t="inlineStr">
        <is>
          <t>To a moderate extent</t>
        </is>
      </c>
      <c r="AY68" s="8" t="inlineStr">
        <is>
          <t>To a great extent</t>
        </is>
      </c>
      <c r="AZ68" s="8" t="inlineStr">
        <is>
          <t>To a moderate extent</t>
        </is>
      </c>
      <c r="BA68" s="8" t="inlineStr">
        <is>
          <t>To a slight extent</t>
        </is>
      </c>
      <c r="BB68" s="8" t="inlineStr">
        <is>
          <t>To a slight extent</t>
        </is>
      </c>
      <c r="BC68" s="8" t="inlineStr">
        <is>
          <t>To a slight extent</t>
        </is>
      </c>
      <c r="BD68" s="8" t="inlineStr">
        <is>
          <t>To a moderate extent</t>
        </is>
      </c>
      <c r="BE68" s="8" t="inlineStr">
        <is>
          <t>Don’t know or not applicable</t>
        </is>
      </c>
      <c r="BF68" s="8" t="inlineStr">
        <is>
          <t>Don’t know or not applicable</t>
        </is>
      </c>
      <c r="BG68" s="8" t="inlineStr">
        <is>
          <t>Don’t know or not applicable</t>
        </is>
      </c>
      <c r="BH68" s="8" t="inlineStr">
        <is>
          <t>Don’t know or not applicable</t>
        </is>
      </c>
      <c r="BI68" s="8" t="inlineStr">
        <is>
          <t>Don’t know or not applicable</t>
        </is>
      </c>
      <c r="BJ68" s="8" t="inlineStr">
        <is>
          <t>To a moderate extent</t>
        </is>
      </c>
      <c r="BK68" s="8" t="inlineStr">
        <is>
          <t>To a slight extent</t>
        </is>
      </c>
      <c r="BL68" s="8" t="inlineStr">
        <is>
          <t>To a moderate extent</t>
        </is>
      </c>
      <c r="BM68" s="8" t="inlineStr">
        <is>
          <t>To a slight extent</t>
        </is>
      </c>
      <c r="BN68" s="8" t="inlineStr">
        <is>
          <t>To a moderate extent</t>
        </is>
      </c>
      <c r="BO68" s="8" t="inlineStr">
        <is>
          <t>To a moderate extent</t>
        </is>
      </c>
      <c r="BP68" s="8" t="inlineStr">
        <is>
          <t>To a slight extent</t>
        </is>
      </c>
      <c r="BQ68" s="8" t="inlineStr">
        <is>
          <t>To a moderate extent</t>
        </is>
      </c>
      <c r="BR68" s="8" t="n"/>
      <c r="BS68" s="8" t="n"/>
      <c r="BT68" s="8" t="inlineStr">
        <is>
          <t>The IMF dedicated an appropriate amount of resources</t>
        </is>
      </c>
      <c r="BU68" s="8" t="inlineStr">
        <is>
          <t>To a moderate extent</t>
        </is>
      </c>
      <c r="BV68" s="8" t="inlineStr">
        <is>
          <t>To a moderate extent</t>
        </is>
      </c>
      <c r="BW68" s="8" t="inlineStr">
        <is>
          <t>To a great extent</t>
        </is>
      </c>
      <c r="BX68" s="8" t="inlineStr">
        <is>
          <t>To a slight extent</t>
        </is>
      </c>
      <c r="BY68" s="8" t="inlineStr">
        <is>
          <t>To a slight extent</t>
        </is>
      </c>
      <c r="BZ68" s="8" t="inlineStr">
        <is>
          <t>To a great extent</t>
        </is>
      </c>
      <c r="CA68" s="8" t="inlineStr">
        <is>
          <t>To a moderate extent</t>
        </is>
      </c>
      <c r="CB68" s="8" t="inlineStr">
        <is>
          <t>To a moderate extent</t>
        </is>
      </c>
      <c r="CC68" s="8" t="inlineStr">
        <is>
          <t>To a moderate extent</t>
        </is>
      </c>
      <c r="CD68" s="8" t="inlineStr">
        <is>
          <t>To a moderate extent</t>
        </is>
      </c>
      <c r="CE68" s="8" t="inlineStr">
        <is>
          <t>To a moderate extent</t>
        </is>
      </c>
      <c r="CF68" s="8" t="inlineStr">
        <is>
          <t>To a great extent</t>
        </is>
      </c>
      <c r="CG68" s="8" t="n"/>
      <c r="CH68" s="8" t="inlineStr">
        <is>
          <t>No</t>
        </is>
      </c>
      <c r="CI68" s="8" t="inlineStr">
        <is>
          <t>No</t>
        </is>
      </c>
      <c r="CJ68" s="8" t="n"/>
      <c r="CK68" s="8" t="n"/>
      <c r="CL68" s="8" t="n"/>
      <c r="CM68" s="8" t="n"/>
      <c r="CN68" s="8" t="n"/>
      <c r="CO68" s="8" t="n"/>
      <c r="CP68" s="8" t="n"/>
      <c r="CQ68" s="8" t="n"/>
      <c r="CR68" s="8" t="n"/>
      <c r="CS68" s="8" t="n"/>
      <c r="CT68" s="8" t="n"/>
      <c r="CU68" s="8" t="n"/>
      <c r="CV68" s="8" t="n"/>
      <c r="CW68" s="8" t="n"/>
      <c r="CX68" s="8" t="n"/>
      <c r="CY68" s="8" t="n"/>
      <c r="CZ68" s="8" t="n"/>
      <c r="DA68" s="8" t="n"/>
      <c r="DB68" s="8" t="n"/>
      <c r="DC68" s="8" t="n"/>
      <c r="DD68" s="8" t="n"/>
      <c r="DE68" s="8" t="n"/>
      <c r="DF68" s="8" t="n"/>
      <c r="DG68" s="8" t="n"/>
      <c r="DH68" s="8" t="n"/>
      <c r="DI68" s="8" t="n"/>
      <c r="DJ68" s="8" t="n"/>
      <c r="DK68" s="8" t="n"/>
      <c r="DL68" s="8" t="n"/>
      <c r="DM68" s="8" t="n"/>
      <c r="DN68" s="8" t="n"/>
      <c r="DO68" s="8" t="n"/>
      <c r="DP68" s="8" t="inlineStr">
        <is>
          <t>My country is not eligible for an RSF arrangement</t>
        </is>
      </c>
      <c r="DQ68" s="8" t="inlineStr">
        <is>
          <t>Climate change does not pose a major balance of payments risk in my country</t>
        </is>
      </c>
      <c r="DR68" s="8" t="n"/>
      <c r="DS68" s="8" t="n"/>
      <c r="DT68" s="8" t="n"/>
      <c r="DU68" s="8" t="n"/>
      <c r="DV68" s="8" t="n"/>
      <c r="DW68" s="8" t="inlineStr">
        <is>
          <t>Don't know</t>
        </is>
      </c>
      <c r="DX68" s="8" t="n"/>
      <c r="DY68" s="8" t="n"/>
      <c r="DZ68" s="8" t="n"/>
      <c r="EA68" s="8" t="n"/>
      <c r="EB68" s="8" t="n"/>
      <c r="EC68" s="8" t="n"/>
      <c r="ED68" s="8" t="n"/>
      <c r="EE68" s="8" t="n"/>
      <c r="EF68" s="8" t="inlineStr">
        <is>
          <t>To a moderate extent</t>
        </is>
      </c>
      <c r="EG68" s="8" t="inlineStr">
        <is>
          <t>To a moderate extent</t>
        </is>
      </c>
      <c r="EH68" s="8" t="inlineStr">
        <is>
          <t>To a moderate extent</t>
        </is>
      </c>
      <c r="EI68" s="8" t="inlineStr">
        <is>
          <t>To a slight extent</t>
        </is>
      </c>
      <c r="EJ68" s="8" t="inlineStr">
        <is>
          <t>To a slight extent</t>
        </is>
      </c>
      <c r="EK68" s="8" t="inlineStr">
        <is>
          <t>Not at all</t>
        </is>
      </c>
      <c r="EL68" s="8" t="inlineStr">
        <is>
          <t>To a slight extent</t>
        </is>
      </c>
      <c r="EM68" s="8" t="n"/>
      <c r="EN68" s="8" t="n"/>
      <c r="EO68" s="8" t="n"/>
      <c r="EP68" s="8" t="n"/>
      <c r="EQ68" s="8" t="inlineStr">
        <is>
          <t>To a slight extent</t>
        </is>
      </c>
      <c r="ER68" s="8" t="inlineStr">
        <is>
          <t>To a moderate extent</t>
        </is>
      </c>
      <c r="ES68" s="8" t="n"/>
      <c r="ET68" s="8" t="inlineStr">
        <is>
          <t>Don’t know or not applicable</t>
        </is>
      </c>
      <c r="EU68" s="8" t="inlineStr">
        <is>
          <t>Don’t know or not applicable</t>
        </is>
      </c>
      <c r="EV68" s="8" t="inlineStr">
        <is>
          <t>Don’t know or not applicable</t>
        </is>
      </c>
      <c r="EW68" s="8" t="n"/>
      <c r="EX68" s="8" t="n"/>
      <c r="EY68" s="8" t="inlineStr">
        <is>
          <t>Don’t know or not applicable</t>
        </is>
      </c>
      <c r="EZ68" s="8" t="inlineStr">
        <is>
          <t>Don’t know or not applicable</t>
        </is>
      </c>
      <c r="FA68" s="8" t="inlineStr">
        <is>
          <t>Don’t know or not applicable</t>
        </is>
      </c>
      <c r="FB68" s="8" t="inlineStr">
        <is>
          <t>Don’t know or not applicable</t>
        </is>
      </c>
      <c r="FC68" s="8" t="inlineStr">
        <is>
          <t>Don’t know or not applicable</t>
        </is>
      </c>
      <c r="FD68" s="8" t="inlineStr">
        <is>
          <t>Don’t know or not applicable</t>
        </is>
      </c>
      <c r="FE68" s="8" t="inlineStr">
        <is>
          <t>Don’t know or not applicable</t>
        </is>
      </c>
      <c r="FF68" s="8" t="inlineStr">
        <is>
          <t>Don’t know or not applicable</t>
        </is>
      </c>
      <c r="FG68" s="8" t="inlineStr">
        <is>
          <t>Don’t know or not applicable</t>
        </is>
      </c>
      <c r="FH68" s="8" t="inlineStr">
        <is>
          <t>To a slight extent</t>
        </is>
      </c>
      <c r="FI68" s="8" t="inlineStr">
        <is>
          <t>To a slight extent</t>
        </is>
      </c>
      <c r="FJ68" s="8" t="inlineStr">
        <is>
          <t>Not at all</t>
        </is>
      </c>
      <c r="FK68" s="8" t="inlineStr">
        <is>
          <t>To a slight extent</t>
        </is>
      </c>
      <c r="FL68" s="8" t="inlineStr">
        <is>
          <t>To a slight extent</t>
        </is>
      </c>
      <c r="FM68" s="8" t="inlineStr">
        <is>
          <t>To a slight extent</t>
        </is>
      </c>
      <c r="FN68" s="8" t="inlineStr">
        <is>
          <t>Don’t know or not applicable</t>
        </is>
      </c>
      <c r="FO68" s="8" t="inlineStr">
        <is>
          <t>Don’t know or not applicable</t>
        </is>
      </c>
      <c r="FP68" s="8" t="inlineStr">
        <is>
          <t>Don’t know or not applicable</t>
        </is>
      </c>
      <c r="FQ68" s="8" t="inlineStr">
        <is>
          <t>Don’t know or not applicable</t>
        </is>
      </c>
      <c r="FR68" s="8" t="inlineStr">
        <is>
          <t>Don’t know or not applicable</t>
        </is>
      </c>
      <c r="FS68" s="8" t="inlineStr">
        <is>
          <t>Don’t know or not applicable</t>
        </is>
      </c>
      <c r="FT68" s="8" t="inlineStr">
        <is>
          <t>Don’t know or not applicable</t>
        </is>
      </c>
      <c r="FU68" s="8" t="n"/>
      <c r="FV68" s="8" t="n"/>
      <c r="FW68" s="8" t="inlineStr">
        <is>
          <t>The IMF dedicated the appropriate amount of resources</t>
        </is>
      </c>
      <c r="FX68" s="8" t="n"/>
      <c r="FY68" s="8" t="inlineStr">
        <is>
          <t>To a moderate extent</t>
        </is>
      </c>
      <c r="FZ68" s="8" t="inlineStr">
        <is>
          <t>To a slight extent</t>
        </is>
      </c>
      <c r="GA68" s="8" t="inlineStr">
        <is>
          <t>To a slight extent</t>
        </is>
      </c>
      <c r="GB68" s="8" t="inlineStr">
        <is>
          <t>To a great extent</t>
        </is>
      </c>
      <c r="GC68" s="8" t="n"/>
      <c r="GD68" s="8" t="n"/>
      <c r="GE68" s="8" t="inlineStr">
        <is>
          <t>To a moderate extent</t>
        </is>
      </c>
      <c r="GF68" s="8" t="inlineStr">
        <is>
          <t>To a slight extent</t>
        </is>
      </c>
      <c r="GG68" s="8" t="inlineStr">
        <is>
          <t>To a great extent</t>
        </is>
      </c>
      <c r="GH68" s="8" t="inlineStr">
        <is>
          <t>Not at all</t>
        </is>
      </c>
      <c r="GI68" s="8" t="inlineStr">
        <is>
          <t>To a moderate extent</t>
        </is>
      </c>
      <c r="GJ68" s="8" t="inlineStr">
        <is>
          <t>To a slight extent</t>
        </is>
      </c>
      <c r="GK68" s="8" t="n"/>
      <c r="GL68" s="10">
        <f>DATE(2025,6,17)+TIME(10,26,53)</f>
        <v/>
      </c>
    </row>
    <row r="69" ht="47.25" customHeight="1">
      <c r="A69" s="6" t="inlineStr">
        <is>
          <t>Oscar</t>
        </is>
      </c>
      <c r="B69" s="6" t="inlineStr">
        <is>
          <t>Sharma</t>
        </is>
      </c>
      <c r="C69" s="6" t="inlineStr">
        <is>
          <t>osharma@organization.org</t>
        </is>
      </c>
      <c r="D69" s="6" t="inlineStr">
        <is>
          <t>9W9N1KCKR</t>
        </is>
      </c>
      <c r="E69" s="6" t="n"/>
      <c r="F69" s="6" t="inlineStr">
        <is>
          <t>OEDSZ</t>
        </is>
      </c>
      <c r="G69" s="6" t="n"/>
      <c r="H69" s="6" t="n"/>
      <c r="I69" s="6" t="n"/>
      <c r="J69" s="6" t="n"/>
      <c r="K69" s="6" t="n"/>
      <c r="L69" s="6" t="n"/>
      <c r="M69" s="6" t="n"/>
      <c r="N69" s="6" t="n"/>
      <c r="O69" s="6" t="n"/>
      <c r="P69" s="6" t="n"/>
      <c r="Q69" s="6" t="n"/>
      <c r="R69" s="6" t="n"/>
      <c r="S69" s="6" t="n"/>
      <c r="T69" s="6" t="n"/>
      <c r="U69" s="6" t="n"/>
      <c r="V69" s="6" t="n"/>
      <c r="W69" s="6" t="n"/>
      <c r="X69" s="6" t="n"/>
      <c r="Y69" s="6" t="n"/>
      <c r="Z69" s="6" t="n"/>
      <c r="AA69" s="6" t="n"/>
      <c r="AB69" s="6" t="n"/>
      <c r="AC69" s="6" t="inlineStr">
        <is>
          <t>Switzerland</t>
        </is>
      </c>
      <c r="AD69" s="6" t="n"/>
      <c r="AE69" s="6" t="n"/>
      <c r="AF69" s="4" t="inlineStr">
        <is>
          <t>Switzerland</t>
        </is>
      </c>
      <c r="AG69" s="6" t="inlineStr">
        <is>
          <t>The IMF should engage a similar amount on climate change-related issues</t>
        </is>
      </c>
      <c r="AH69" s="6" t="inlineStr">
        <is>
          <t>To a slight extent</t>
        </is>
      </c>
      <c r="AI69" s="6" t="inlineStr">
        <is>
          <t>To a great extent</t>
        </is>
      </c>
      <c r="AJ69" s="6" t="inlineStr">
        <is>
          <t>To a moderate extent</t>
        </is>
      </c>
      <c r="AK69" s="6" t="inlineStr">
        <is>
          <t>To a moderate extent</t>
        </is>
      </c>
      <c r="AL69" s="6" t="inlineStr">
        <is>
          <t>To a great extent</t>
        </is>
      </c>
      <c r="AM69" s="6" t="inlineStr">
        <is>
          <t>Don’t know or not applicable</t>
        </is>
      </c>
      <c r="AN69" s="6" t="inlineStr">
        <is>
          <t>Don’t know or not applicable</t>
        </is>
      </c>
      <c r="AO69" s="6" t="inlineStr">
        <is>
          <t>To a slight extent</t>
        </is>
      </c>
      <c r="AP69" s="6" t="inlineStr">
        <is>
          <t>To a moderate extent</t>
        </is>
      </c>
      <c r="AQ69" s="6" t="inlineStr">
        <is>
          <t>To a moderate extent</t>
        </is>
      </c>
      <c r="AR69" s="6" t="inlineStr">
        <is>
          <t>To a moderate extent</t>
        </is>
      </c>
      <c r="AS69" s="6" t="n"/>
      <c r="AT69" s="6" t="inlineStr">
        <is>
          <t>To a slight extent</t>
        </is>
      </c>
      <c r="AU69" s="6" t="inlineStr">
        <is>
          <t>To a slight extent</t>
        </is>
      </c>
      <c r="AV69" s="6" t="inlineStr">
        <is>
          <t>To a moderate extent</t>
        </is>
      </c>
      <c r="AW69" s="6" t="inlineStr">
        <is>
          <t>To a moderate extent</t>
        </is>
      </c>
      <c r="AX69" s="6" t="inlineStr">
        <is>
          <t>Don’t know or not applicable</t>
        </is>
      </c>
      <c r="AY69" s="6" t="inlineStr">
        <is>
          <t>To a moderate extent</t>
        </is>
      </c>
      <c r="AZ69" s="6" t="inlineStr">
        <is>
          <t>To a great extent</t>
        </is>
      </c>
      <c r="BA69" s="6" t="inlineStr">
        <is>
          <t>To a moderate extent</t>
        </is>
      </c>
      <c r="BB69" s="6" t="inlineStr">
        <is>
          <t>To a great extent</t>
        </is>
      </c>
      <c r="BC69" s="6" t="inlineStr">
        <is>
          <t>Don’t know or not applicable</t>
        </is>
      </c>
      <c r="BD69" s="6" t="inlineStr">
        <is>
          <t>Don’t know or not applicable</t>
        </is>
      </c>
      <c r="BE69" s="6" t="inlineStr">
        <is>
          <t>Not at all</t>
        </is>
      </c>
      <c r="BF69" s="6" t="inlineStr">
        <is>
          <t>To a moderate extent</t>
        </is>
      </c>
      <c r="BG69" s="6" t="inlineStr">
        <is>
          <t>To a slight extent</t>
        </is>
      </c>
      <c r="BH69" s="6" t="inlineStr">
        <is>
          <t>To a slight extent</t>
        </is>
      </c>
      <c r="BI69" s="6" t="inlineStr">
        <is>
          <t>Don’t know or not applicable</t>
        </is>
      </c>
      <c r="BJ69" s="6" t="inlineStr">
        <is>
          <t>To a moderate extent</t>
        </is>
      </c>
      <c r="BK69" s="6" t="inlineStr">
        <is>
          <t>To a moderate extent</t>
        </is>
      </c>
      <c r="BL69" s="6" t="inlineStr">
        <is>
          <t>To a moderate extent</t>
        </is>
      </c>
      <c r="BM69" s="6" t="inlineStr">
        <is>
          <t>To a slight extent</t>
        </is>
      </c>
      <c r="BN69" s="6" t="inlineStr">
        <is>
          <t>To a great extent</t>
        </is>
      </c>
      <c r="BO69" s="6" t="inlineStr">
        <is>
          <t>To a slight extent</t>
        </is>
      </c>
      <c r="BP69" s="6" t="inlineStr">
        <is>
          <t>Don’t know or not applicable</t>
        </is>
      </c>
      <c r="BQ69" s="6" t="inlineStr">
        <is>
          <t>Don’t know or not applicable</t>
        </is>
      </c>
      <c r="BR69" s="6" t="inlineStr">
        <is>
          <t>To a slight extent</t>
        </is>
      </c>
      <c r="BS69" s="6" t="inlineStr">
        <is>
          <t>CFMA</t>
        </is>
      </c>
      <c r="BT69" s="6" t="inlineStr">
        <is>
          <t>The IMF dedicated an appropriate amount of resources</t>
        </is>
      </c>
      <c r="BU69" s="6" t="inlineStr">
        <is>
          <t>To a moderate extent</t>
        </is>
      </c>
      <c r="BV69" s="6" t="inlineStr">
        <is>
          <t>To a slight extent</t>
        </is>
      </c>
      <c r="BW69" s="6" t="inlineStr">
        <is>
          <t>To a moderate extent</t>
        </is>
      </c>
      <c r="BX69" s="6" t="inlineStr">
        <is>
          <t>To a moderate extent</t>
        </is>
      </c>
      <c r="BY69" s="6" t="inlineStr">
        <is>
          <t>To a moderate extent</t>
        </is>
      </c>
      <c r="BZ69" s="6" t="inlineStr">
        <is>
          <t>To a moderate extent</t>
        </is>
      </c>
      <c r="CA69" s="6" t="inlineStr">
        <is>
          <t>To a slight extent</t>
        </is>
      </c>
      <c r="CB69" s="6" t="inlineStr">
        <is>
          <t>To a slight extent</t>
        </is>
      </c>
      <c r="CC69" s="6" t="inlineStr">
        <is>
          <t>To a moderate extent</t>
        </is>
      </c>
      <c r="CD69" s="6" t="inlineStr">
        <is>
          <t>To a great extent</t>
        </is>
      </c>
      <c r="CE69" s="6" t="inlineStr">
        <is>
          <t>To a moderate extent</t>
        </is>
      </c>
      <c r="CF69" s="6" t="inlineStr">
        <is>
          <t>To a moderate extent</t>
        </is>
      </c>
      <c r="CG69" s="6" t="n"/>
      <c r="CH69" s="6" t="inlineStr">
        <is>
          <t>No</t>
        </is>
      </c>
      <c r="CI69" s="6" t="inlineStr">
        <is>
          <t>No</t>
        </is>
      </c>
      <c r="CJ69" s="6" t="n"/>
      <c r="CK69" s="6" t="n"/>
      <c r="CL69" s="6" t="n"/>
      <c r="CM69" s="6" t="n"/>
      <c r="CN69" s="6" t="n"/>
      <c r="CO69" s="6" t="n"/>
      <c r="CP69" s="6" t="n"/>
      <c r="CQ69" s="6" t="n"/>
      <c r="CR69" s="6" t="n"/>
      <c r="CS69" s="6" t="n"/>
      <c r="CT69" s="6" t="n"/>
      <c r="CU69" s="6" t="n"/>
      <c r="CV69" s="6" t="n"/>
      <c r="CW69" s="6" t="n"/>
      <c r="CX69" s="6" t="n"/>
      <c r="CY69" s="6" t="n"/>
      <c r="CZ69" s="6" t="n"/>
      <c r="DA69" s="6" t="n"/>
      <c r="DB69" s="6" t="n"/>
      <c r="DC69" s="6" t="n"/>
      <c r="DD69" s="6" t="n"/>
      <c r="DE69" s="6" t="n"/>
      <c r="DF69" s="6" t="n"/>
      <c r="DG69" s="6" t="n"/>
      <c r="DH69" s="6" t="n"/>
      <c r="DI69" s="6" t="n"/>
      <c r="DJ69" s="6" t="n"/>
      <c r="DK69" s="6" t="n"/>
      <c r="DL69" s="6" t="n"/>
      <c r="DM69" s="6" t="n"/>
      <c r="DN69" s="6" t="n"/>
      <c r="DO69" s="6" t="n"/>
      <c r="DP69" s="6" t="inlineStr">
        <is>
          <t>My country is not eligible for an RSF arrangement</t>
        </is>
      </c>
      <c r="DQ69" s="6" t="n"/>
      <c r="DR69" s="6" t="n"/>
      <c r="DS69" s="6" t="n"/>
      <c r="DT69" s="6" t="n"/>
      <c r="DU69" s="6" t="n"/>
      <c r="DV69" s="6" t="n"/>
      <c r="DW69" s="6" t="inlineStr">
        <is>
          <t>No</t>
        </is>
      </c>
      <c r="DX69" s="6" t="n"/>
      <c r="DY69" s="6" t="n"/>
      <c r="DZ69" s="6" t="n"/>
      <c r="EA69" s="6" t="n"/>
      <c r="EB69" s="6" t="n"/>
      <c r="EC69" s="6" t="n"/>
      <c r="ED69" s="6" t="n"/>
      <c r="EE69" s="6" t="n"/>
      <c r="EF69" s="6" t="inlineStr">
        <is>
          <t>To a great extent</t>
        </is>
      </c>
      <c r="EG69" s="6" t="inlineStr">
        <is>
          <t>To a slight extent</t>
        </is>
      </c>
      <c r="EH69" s="6" t="inlineStr">
        <is>
          <t>To a slight extent</t>
        </is>
      </c>
      <c r="EI69" s="6" t="inlineStr">
        <is>
          <t>Don’t know or not applicable</t>
        </is>
      </c>
      <c r="EJ69" s="6" t="inlineStr">
        <is>
          <t>Not at all</t>
        </is>
      </c>
      <c r="EK69" s="6" t="inlineStr">
        <is>
          <t>Not at all</t>
        </is>
      </c>
      <c r="EL69" s="6" t="inlineStr">
        <is>
          <t>Not at all</t>
        </is>
      </c>
      <c r="EM69" s="6" t="n"/>
      <c r="EN69" s="6" t="n"/>
      <c r="EO69" s="6" t="n"/>
      <c r="EP69" s="6" t="n"/>
      <c r="EQ69" s="6" t="inlineStr">
        <is>
          <t>Not at all</t>
        </is>
      </c>
      <c r="ER69" s="6" t="inlineStr">
        <is>
          <t>Not at all</t>
        </is>
      </c>
      <c r="ES69" s="6" t="n"/>
      <c r="ET69" s="6" t="n"/>
      <c r="EU69" s="6" t="n"/>
      <c r="EV69" s="6" t="n"/>
      <c r="EW69" s="6" t="n"/>
      <c r="EX69" s="6" t="n"/>
      <c r="EY69" s="6" t="n"/>
      <c r="EZ69" s="6" t="n"/>
      <c r="FA69" s="6" t="n"/>
      <c r="FB69" s="6" t="n"/>
      <c r="FC69" s="6" t="n"/>
      <c r="FD69" s="6" t="n"/>
      <c r="FE69" s="6" t="n"/>
      <c r="FF69" s="6" t="n"/>
      <c r="FG69" s="6" t="n"/>
      <c r="FH69" s="6" t="n"/>
      <c r="FI69" s="6" t="n"/>
      <c r="FJ69" s="6" t="n"/>
      <c r="FK69" s="6" t="n"/>
      <c r="FL69" s="6" t="n"/>
      <c r="FM69" s="6" t="n"/>
      <c r="FN69" s="6" t="n"/>
      <c r="FO69" s="6" t="n"/>
      <c r="FP69" s="6" t="n"/>
      <c r="FQ69" s="6" t="n"/>
      <c r="FR69" s="6" t="n"/>
      <c r="FS69" s="6" t="n"/>
      <c r="FT69" s="6" t="n"/>
      <c r="FU69" s="6" t="n"/>
      <c r="FV69" s="6" t="n"/>
      <c r="FW69" s="6" t="n"/>
      <c r="FX69" s="6" t="n"/>
      <c r="FY69" s="6" t="inlineStr">
        <is>
          <t>To a slight extent</t>
        </is>
      </c>
      <c r="FZ69" s="6" t="inlineStr">
        <is>
          <t>To a moderate extent</t>
        </is>
      </c>
      <c r="GA69" s="6" t="inlineStr">
        <is>
          <t>To a great extent</t>
        </is>
      </c>
      <c r="GB69" s="6" t="inlineStr">
        <is>
          <t>To a slight extent</t>
        </is>
      </c>
      <c r="GC69" s="6" t="inlineStr">
        <is>
          <t>Don’t know or not applicable</t>
        </is>
      </c>
      <c r="GD69" s="6" t="n"/>
      <c r="GE69" s="6" t="inlineStr">
        <is>
          <t>To a moderate extent</t>
        </is>
      </c>
      <c r="GF69" s="6" t="inlineStr">
        <is>
          <t>To a moderate extent</t>
        </is>
      </c>
      <c r="GG69" s="6" t="inlineStr">
        <is>
          <t>To a moderate extent</t>
        </is>
      </c>
      <c r="GH69" s="6" t="inlineStr">
        <is>
          <t>To a slight extent</t>
        </is>
      </c>
      <c r="GI69" s="6" t="inlineStr">
        <is>
          <t>To a great extent</t>
        </is>
      </c>
      <c r="GJ69" s="6" t="inlineStr">
        <is>
          <t>To a slight extent</t>
        </is>
      </c>
      <c r="GK69" s="6" t="n"/>
      <c r="GL69" s="7">
        <f>DATE(2025,5,22)+TIME(14,31,29)</f>
        <v/>
      </c>
    </row>
    <row r="70" ht="110.25" customHeight="1">
      <c r="A70" s="3" t="inlineStr">
        <is>
          <t>Henrik</t>
        </is>
      </c>
      <c r="B70" s="3" t="inlineStr">
        <is>
          <t>Moreno</t>
        </is>
      </c>
      <c r="C70" s="3" t="inlineStr">
        <is>
          <t>hmoreno@organization.org</t>
        </is>
      </c>
      <c r="D70" s="3" t="inlineStr">
        <is>
          <t>ABV7E3267</t>
        </is>
      </c>
      <c r="E70" s="3" t="n"/>
      <c r="F70" s="3" t="inlineStr">
        <is>
          <t>OEDSZ</t>
        </is>
      </c>
      <c r="G70" s="3" t="n"/>
      <c r="H70" s="3" t="n"/>
      <c r="I70" s="3" t="n"/>
      <c r="J70" s="3" t="n"/>
      <c r="K70" s="3" t="n"/>
      <c r="L70" s="3" t="n"/>
      <c r="M70" s="3" t="n"/>
      <c r="N70" s="3" t="n"/>
      <c r="O70" s="3" t="n"/>
      <c r="P70" s="3" t="n"/>
      <c r="Q70" s="3" t="n"/>
      <c r="R70" s="3" t="n"/>
      <c r="S70" s="3" t="n"/>
      <c r="T70" s="3" t="n"/>
      <c r="U70" s="3" t="n"/>
      <c r="V70" s="3" t="n"/>
      <c r="W70" s="3" t="n"/>
      <c r="X70" s="3" t="n"/>
      <c r="Y70" s="3" t="n"/>
      <c r="Z70" s="3" t="n"/>
      <c r="AA70" s="3" t="n"/>
      <c r="AB70" s="3" t="n"/>
      <c r="AC70" s="3" t="inlineStr">
        <is>
          <t>Uzbekistan</t>
        </is>
      </c>
      <c r="AD70" s="3" t="n"/>
      <c r="AE70" s="3" t="n"/>
      <c r="AF70" s="4" t="inlineStr">
        <is>
          <t>Uzbekistan</t>
        </is>
      </c>
      <c r="AG70" s="3" t="inlineStr">
        <is>
          <t>The IMF should engage a similar amount on climate change-related issues</t>
        </is>
      </c>
      <c r="AH70" s="3" t="inlineStr">
        <is>
          <t>To a slight extent</t>
        </is>
      </c>
      <c r="AI70" s="3" t="inlineStr">
        <is>
          <t>To a moderate extent</t>
        </is>
      </c>
      <c r="AJ70" s="3" t="inlineStr">
        <is>
          <t>To a moderate extent</t>
        </is>
      </c>
      <c r="AK70" s="3" t="inlineStr">
        <is>
          <t>To a great extent</t>
        </is>
      </c>
      <c r="AL70" s="3" t="inlineStr">
        <is>
          <t>To a moderate extent</t>
        </is>
      </c>
      <c r="AM70" s="3" t="inlineStr">
        <is>
          <t>Not at all</t>
        </is>
      </c>
      <c r="AN70" s="3" t="inlineStr">
        <is>
          <t>Not at all</t>
        </is>
      </c>
      <c r="AO70" s="3" t="inlineStr">
        <is>
          <t>To a moderate extent</t>
        </is>
      </c>
      <c r="AP70" s="3" t="inlineStr">
        <is>
          <t>To a great extent</t>
        </is>
      </c>
      <c r="AQ70" s="3" t="inlineStr">
        <is>
          <t>To a moderate extent</t>
        </is>
      </c>
      <c r="AR70" s="3" t="inlineStr">
        <is>
          <t>To a great extent</t>
        </is>
      </c>
      <c r="AS70" s="3" t="n"/>
      <c r="AT70" s="3" t="inlineStr">
        <is>
          <t>To a slight extent</t>
        </is>
      </c>
      <c r="AU70" s="3" t="inlineStr">
        <is>
          <t>To a slight extent</t>
        </is>
      </c>
      <c r="AV70" s="3" t="inlineStr">
        <is>
          <t>Not at all</t>
        </is>
      </c>
      <c r="AW70" s="3" t="inlineStr">
        <is>
          <t>To a moderate extent</t>
        </is>
      </c>
      <c r="AX70" s="3" t="inlineStr">
        <is>
          <t>To a slight extent</t>
        </is>
      </c>
      <c r="AY70" s="3" t="inlineStr">
        <is>
          <t>Not at all</t>
        </is>
      </c>
      <c r="AZ70" s="3" t="inlineStr">
        <is>
          <t>To a moderate extent</t>
        </is>
      </c>
      <c r="BA70" s="3" t="inlineStr">
        <is>
          <t>To a slight extent</t>
        </is>
      </c>
      <c r="BB70" s="3" t="inlineStr">
        <is>
          <t>To a moderate extent</t>
        </is>
      </c>
      <c r="BC70" s="3" t="inlineStr">
        <is>
          <t>To a moderate extent</t>
        </is>
      </c>
      <c r="BD70" s="3" t="inlineStr">
        <is>
          <t>To a slight extent</t>
        </is>
      </c>
      <c r="BE70" s="3" t="inlineStr">
        <is>
          <t>To a slight extent</t>
        </is>
      </c>
      <c r="BF70" s="3" t="inlineStr">
        <is>
          <t>Not at all</t>
        </is>
      </c>
      <c r="BG70" s="3" t="inlineStr">
        <is>
          <t>To a moderate extent</t>
        </is>
      </c>
      <c r="BH70" s="3" t="inlineStr">
        <is>
          <t>To a slight extent</t>
        </is>
      </c>
      <c r="BI70" s="3" t="inlineStr">
        <is>
          <t>Not at all</t>
        </is>
      </c>
      <c r="BJ70" s="3" t="inlineStr">
        <is>
          <t>To a moderate extent</t>
        </is>
      </c>
      <c r="BK70" s="3" t="inlineStr">
        <is>
          <t>Not at all</t>
        </is>
      </c>
      <c r="BL70" s="3" t="inlineStr">
        <is>
          <t>To a great extent</t>
        </is>
      </c>
      <c r="BM70" s="3" t="inlineStr">
        <is>
          <t>To a moderate extent</t>
        </is>
      </c>
      <c r="BN70" s="3" t="inlineStr">
        <is>
          <t>To a slight extent</t>
        </is>
      </c>
      <c r="BO70" s="3" t="inlineStr">
        <is>
          <t>To a moderate extent</t>
        </is>
      </c>
      <c r="BP70" s="3" t="inlineStr">
        <is>
          <t>To a slight extent</t>
        </is>
      </c>
      <c r="BQ70" s="3" t="inlineStr">
        <is>
          <t>To a slight extent</t>
        </is>
      </c>
      <c r="BR70" s="3" t="inlineStr">
        <is>
          <t>To a slight extent</t>
        </is>
      </c>
      <c r="BS70" s="3" t="inlineStr">
        <is>
          <t>NGO's</t>
        </is>
      </c>
      <c r="BT70" s="3" t="inlineStr">
        <is>
          <t>The IMF dedicated an appropriate amount of resources</t>
        </is>
      </c>
      <c r="BU70" s="3" t="inlineStr">
        <is>
          <t>To a slight extent</t>
        </is>
      </c>
      <c r="BV70" s="3" t="inlineStr">
        <is>
          <t>To a slight extent</t>
        </is>
      </c>
      <c r="BW70" s="3" t="inlineStr">
        <is>
          <t>To a slight extent</t>
        </is>
      </c>
      <c r="BX70" s="3" t="inlineStr">
        <is>
          <t>To a moderate extent</t>
        </is>
      </c>
      <c r="BY70" s="3" t="inlineStr">
        <is>
          <t>To a moderate extent</t>
        </is>
      </c>
      <c r="BZ70" s="3" t="inlineStr">
        <is>
          <t>To a moderate extent</t>
        </is>
      </c>
      <c r="CA70" s="3" t="inlineStr">
        <is>
          <t>To a slight extent</t>
        </is>
      </c>
      <c r="CB70" s="3" t="inlineStr">
        <is>
          <t>To a slight extent</t>
        </is>
      </c>
      <c r="CC70" s="3" t="inlineStr">
        <is>
          <t>To a slight extent</t>
        </is>
      </c>
      <c r="CD70" s="3" t="inlineStr">
        <is>
          <t>To a great extent</t>
        </is>
      </c>
      <c r="CE70" s="3" t="inlineStr">
        <is>
          <t>To a great extent</t>
        </is>
      </c>
      <c r="CF70" s="3" t="inlineStr">
        <is>
          <t>To a great extent</t>
        </is>
      </c>
      <c r="CG70" s="3" t="n"/>
      <c r="CH70" s="3" t="inlineStr">
        <is>
          <t>No</t>
        </is>
      </c>
      <c r="CI70" s="3" t="inlineStr">
        <is>
          <t>No</t>
        </is>
      </c>
      <c r="CJ70" s="3" t="n"/>
      <c r="CK70" s="3" t="n"/>
      <c r="CL70" s="3" t="n"/>
      <c r="CM70" s="3" t="n"/>
      <c r="CN70" s="3" t="n"/>
      <c r="CO70" s="3" t="n"/>
      <c r="CP70" s="3" t="n"/>
      <c r="CQ70" s="3" t="n"/>
      <c r="CR70" s="3" t="n"/>
      <c r="CS70" s="3" t="n"/>
      <c r="CT70" s="3" t="n"/>
      <c r="CU70" s="3" t="n"/>
      <c r="CV70" s="3" t="n"/>
      <c r="CW70" s="3" t="n"/>
      <c r="CX70" s="3" t="n"/>
      <c r="CY70" s="3" t="n"/>
      <c r="CZ70" s="3" t="n"/>
      <c r="DA70" s="3" t="n"/>
      <c r="DB70" s="3" t="n"/>
      <c r="DC70" s="3" t="n"/>
      <c r="DD70" s="3" t="n"/>
      <c r="DE70" s="3" t="n"/>
      <c r="DF70" s="3" t="n"/>
      <c r="DG70" s="3" t="n"/>
      <c r="DH70" s="3" t="n"/>
      <c r="DI70" s="3" t="n"/>
      <c r="DJ70" s="3" t="n"/>
      <c r="DK70" s="3" t="n"/>
      <c r="DL70" s="3" t="n"/>
      <c r="DM70" s="3" t="n"/>
      <c r="DN70" s="3" t="n"/>
      <c r="DO70" s="3" t="n"/>
      <c r="DP70" s="3" t="n"/>
      <c r="DQ70" s="3" t="n"/>
      <c r="DR70" s="3" t="n"/>
      <c r="DS70" s="3" t="n"/>
      <c r="DT70" s="3" t="n"/>
      <c r="DU70" s="3" t="inlineStr">
        <is>
          <t>An RSF arrangement would have been useful, but my country had no balance of payments issues/did not need/was not willing to commit to the underlying UCT program</t>
        </is>
      </c>
      <c r="DV70" s="3" t="n"/>
      <c r="DW70" s="3" t="inlineStr">
        <is>
          <t>Yes</t>
        </is>
      </c>
      <c r="DX70" s="3" t="inlineStr">
        <is>
          <t>World Bank Group</t>
        </is>
      </c>
      <c r="DY70" s="3" t="inlineStr">
        <is>
          <t>Regional development banks</t>
        </is>
      </c>
      <c r="DZ70" s="3" t="inlineStr">
        <is>
          <t>Bilateral sources</t>
        </is>
      </c>
      <c r="EA70" s="3" t="n"/>
      <c r="EB70" s="3" t="inlineStr">
        <is>
          <t>Other (please specify) : Special funds</t>
        </is>
      </c>
      <c r="EC70" s="3" t="inlineStr">
        <is>
          <t>Don’t know or not applicable</t>
        </is>
      </c>
      <c r="ED70" s="3" t="inlineStr">
        <is>
          <t>Don’t know or not applicable</t>
        </is>
      </c>
      <c r="EE70" s="3" t="inlineStr">
        <is>
          <t>Don’t know or not applicable</t>
        </is>
      </c>
      <c r="EF70" s="3" t="inlineStr">
        <is>
          <t>Don’t know or not applicable</t>
        </is>
      </c>
      <c r="EG70" s="3" t="inlineStr">
        <is>
          <t>To a slight extent</t>
        </is>
      </c>
      <c r="EH70" s="3" t="inlineStr">
        <is>
          <t>To a slight extent</t>
        </is>
      </c>
      <c r="EI70" s="3" t="inlineStr">
        <is>
          <t>To a moderate extent</t>
        </is>
      </c>
      <c r="EJ70" s="3" t="inlineStr">
        <is>
          <t>To a slight extent</t>
        </is>
      </c>
      <c r="EK70" s="3" t="inlineStr">
        <is>
          <t>To a moderate extent</t>
        </is>
      </c>
      <c r="EL70" s="3" t="inlineStr">
        <is>
          <t>To a slight extent</t>
        </is>
      </c>
      <c r="EM70" s="3" t="n"/>
      <c r="EN70" s="3" t="n"/>
      <c r="EO70" s="3" t="n"/>
      <c r="EP70" s="3" t="n"/>
      <c r="EQ70" s="3" t="inlineStr">
        <is>
          <t>To a slight extent</t>
        </is>
      </c>
      <c r="ER70" s="3" t="inlineStr">
        <is>
          <t>To a moderate extent</t>
        </is>
      </c>
      <c r="ES70" s="3" t="n"/>
      <c r="ET70" s="3" t="inlineStr">
        <is>
          <t>To a slight extent</t>
        </is>
      </c>
      <c r="EU70" s="3" t="inlineStr">
        <is>
          <t>To a slight extent</t>
        </is>
      </c>
      <c r="EV70" s="3" t="inlineStr">
        <is>
          <t>To a moderate extent</t>
        </is>
      </c>
      <c r="EW70" s="3" t="inlineStr">
        <is>
          <t>To a moderate extent</t>
        </is>
      </c>
      <c r="EX70" s="3" t="inlineStr">
        <is>
          <t>JVI &amp; CCAMTAC</t>
        </is>
      </c>
      <c r="EY70" s="3" t="inlineStr">
        <is>
          <t>To a slight extent</t>
        </is>
      </c>
      <c r="EZ70" s="3" t="inlineStr">
        <is>
          <t>Not at all</t>
        </is>
      </c>
      <c r="FA70" s="3" t="inlineStr">
        <is>
          <t>To a moderate extent</t>
        </is>
      </c>
      <c r="FB70" s="3" t="inlineStr">
        <is>
          <t>To a moderate extent</t>
        </is>
      </c>
      <c r="FC70" s="3" t="inlineStr">
        <is>
          <t>To a slight extent</t>
        </is>
      </c>
      <c r="FD70" s="3" t="inlineStr">
        <is>
          <t>Don’t know or not applicable</t>
        </is>
      </c>
      <c r="FE70" s="3" t="inlineStr">
        <is>
          <t>Don’t know or not applicable</t>
        </is>
      </c>
      <c r="FF70" s="3" t="inlineStr">
        <is>
          <t>Don’t know or not applicable</t>
        </is>
      </c>
      <c r="FG70" s="3" t="inlineStr">
        <is>
          <t>Don’t know or not applicable</t>
        </is>
      </c>
      <c r="FH70" s="3" t="inlineStr">
        <is>
          <t>Don’t know or not applicable</t>
        </is>
      </c>
      <c r="FI70" s="3" t="inlineStr">
        <is>
          <t>To a slight extent</t>
        </is>
      </c>
      <c r="FJ70" s="3" t="inlineStr">
        <is>
          <t>Not at all</t>
        </is>
      </c>
      <c r="FK70" s="3" t="inlineStr">
        <is>
          <t>Not at all</t>
        </is>
      </c>
      <c r="FL70" s="3" t="inlineStr">
        <is>
          <t>To a moderate extent</t>
        </is>
      </c>
      <c r="FM70" s="3" t="inlineStr">
        <is>
          <t>Not at all</t>
        </is>
      </c>
      <c r="FN70" s="3" t="inlineStr">
        <is>
          <t>Don’t know or not applicable</t>
        </is>
      </c>
      <c r="FO70" s="3" t="inlineStr">
        <is>
          <t>Don’t know or not applicable</t>
        </is>
      </c>
      <c r="FP70" s="3" t="inlineStr">
        <is>
          <t>Don’t know or not applicable</t>
        </is>
      </c>
      <c r="FQ70" s="3" t="inlineStr">
        <is>
          <t>Don’t know or not applicable</t>
        </is>
      </c>
      <c r="FR70" s="3" t="inlineStr">
        <is>
          <t>To a moderate extent</t>
        </is>
      </c>
      <c r="FS70" s="3" t="inlineStr">
        <is>
          <t>To a slight extent</t>
        </is>
      </c>
      <c r="FT70" s="3" t="inlineStr">
        <is>
          <t>To a slight extent</t>
        </is>
      </c>
      <c r="FU70" s="3" t="n"/>
      <c r="FV70" s="3" t="n"/>
      <c r="FW70" s="3" t="inlineStr">
        <is>
          <t>The IMF dedicated the appropriate amount of resources</t>
        </is>
      </c>
      <c r="FX70" s="3" t="n"/>
      <c r="FY70" s="3" t="inlineStr">
        <is>
          <t>To a slight extent</t>
        </is>
      </c>
      <c r="FZ70" s="3" t="inlineStr">
        <is>
          <t>To a moderate extent</t>
        </is>
      </c>
      <c r="GA70" s="3" t="inlineStr">
        <is>
          <t>To a great extent</t>
        </is>
      </c>
      <c r="GB70" s="3" t="inlineStr">
        <is>
          <t>To a slight extent</t>
        </is>
      </c>
      <c r="GC70" s="3" t="n"/>
      <c r="GD70" s="3" t="n"/>
      <c r="GE70" s="3" t="inlineStr">
        <is>
          <t>To a great extent</t>
        </is>
      </c>
      <c r="GF70" s="3" t="inlineStr">
        <is>
          <t>To a slight extent</t>
        </is>
      </c>
      <c r="GG70" s="3" t="inlineStr">
        <is>
          <t>To a great extent</t>
        </is>
      </c>
      <c r="GH70" s="3" t="inlineStr">
        <is>
          <t>To a slight extent</t>
        </is>
      </c>
      <c r="GI70" s="3" t="inlineStr">
        <is>
          <t>To a moderate extent</t>
        </is>
      </c>
      <c r="GJ70" s="3" t="inlineStr">
        <is>
          <t>To a moderate extent</t>
        </is>
      </c>
      <c r="GK70" s="3" t="n"/>
      <c r="GL70" s="5">
        <f>DATE(2025,5,20)+TIME(15,33,51)</f>
        <v/>
      </c>
    </row>
    <row r="71" ht="47.25" customHeight="1">
      <c r="A71" s="6" t="inlineStr">
        <is>
          <t>Felix</t>
        </is>
      </c>
      <c r="B71" s="6" t="inlineStr">
        <is>
          <t>Singh</t>
        </is>
      </c>
      <c r="C71" s="6" t="inlineStr">
        <is>
          <t>fsingh@organization.org</t>
        </is>
      </c>
      <c r="D71" s="6" t="inlineStr">
        <is>
          <t>77FFC4Z8K</t>
        </is>
      </c>
      <c r="E71" s="6" t="n"/>
      <c r="F71" s="6" t="inlineStr">
        <is>
          <t>OEDAW</t>
        </is>
      </c>
      <c r="G71" s="6" t="n"/>
      <c r="H71" s="6" t="n"/>
      <c r="I71" s="6" t="n"/>
      <c r="J71" s="6" t="n"/>
      <c r="K71" s="6" t="inlineStr">
        <is>
          <t>Senegal</t>
        </is>
      </c>
      <c r="L71" s="6" t="n"/>
      <c r="M71" s="6" t="n"/>
      <c r="N71" s="6" t="n"/>
      <c r="O71" s="6" t="n"/>
      <c r="P71" s="6" t="n"/>
      <c r="Q71" s="6" t="n"/>
      <c r="R71" s="6" t="n"/>
      <c r="S71" s="6" t="n"/>
      <c r="T71" s="6" t="n"/>
      <c r="U71" s="6" t="n"/>
      <c r="V71" s="6" t="n"/>
      <c r="W71" s="6" t="n"/>
      <c r="X71" s="6" t="n"/>
      <c r="Y71" s="6" t="n"/>
      <c r="Z71" s="6" t="n"/>
      <c r="AA71" s="6" t="n"/>
      <c r="AB71" s="6" t="n"/>
      <c r="AC71" s="6" t="n"/>
      <c r="AD71" s="6" t="n"/>
      <c r="AE71" s="6" t="n"/>
      <c r="AF71" s="4" t="inlineStr">
        <is>
          <t>Senegal</t>
        </is>
      </c>
      <c r="AG71" s="6" t="inlineStr">
        <is>
          <t>The IMF should engage a similar amount on climate change-related issues</t>
        </is>
      </c>
      <c r="AH71" s="6" t="inlineStr">
        <is>
          <t>To a great extent</t>
        </is>
      </c>
      <c r="AI71" s="6" t="inlineStr">
        <is>
          <t>To a moderate extent</t>
        </is>
      </c>
      <c r="AJ71" s="6" t="inlineStr">
        <is>
          <t>To a moderate extent</t>
        </is>
      </c>
      <c r="AK71" s="6" t="inlineStr">
        <is>
          <t>To a great extent</t>
        </is>
      </c>
      <c r="AL71" s="6" t="inlineStr">
        <is>
          <t>To a great extent</t>
        </is>
      </c>
      <c r="AM71" s="6" t="inlineStr">
        <is>
          <t>To a great extent</t>
        </is>
      </c>
      <c r="AN71" s="6" t="inlineStr">
        <is>
          <t>To a moderate extent</t>
        </is>
      </c>
      <c r="AO71" s="6" t="inlineStr">
        <is>
          <t>To a great extent</t>
        </is>
      </c>
      <c r="AP71" s="6" t="inlineStr">
        <is>
          <t>To a great extent</t>
        </is>
      </c>
      <c r="AQ71" s="6" t="inlineStr">
        <is>
          <t>To a great extent</t>
        </is>
      </c>
      <c r="AR71" s="6" t="inlineStr">
        <is>
          <t>To a great extent</t>
        </is>
      </c>
      <c r="AS71" s="6" t="n"/>
      <c r="AT71" s="6" t="inlineStr">
        <is>
          <t>To a great extent</t>
        </is>
      </c>
      <c r="AU71" s="6" t="inlineStr">
        <is>
          <t>To a great extent</t>
        </is>
      </c>
      <c r="AV71" s="6" t="inlineStr">
        <is>
          <t>To a slight extent</t>
        </is>
      </c>
      <c r="AW71" s="6" t="inlineStr">
        <is>
          <t>To a great extent</t>
        </is>
      </c>
      <c r="AX71" s="6" t="inlineStr">
        <is>
          <t>To a great extent</t>
        </is>
      </c>
      <c r="AY71" s="6" t="inlineStr">
        <is>
          <t>To a great extent</t>
        </is>
      </c>
      <c r="AZ71" s="6" t="inlineStr">
        <is>
          <t>To a moderate extent</t>
        </is>
      </c>
      <c r="BA71" s="6" t="inlineStr">
        <is>
          <t>To a moderate extent</t>
        </is>
      </c>
      <c r="BB71" s="6" t="inlineStr">
        <is>
          <t>To a moderate extent</t>
        </is>
      </c>
      <c r="BC71" s="6" t="inlineStr">
        <is>
          <t>To a great extent</t>
        </is>
      </c>
      <c r="BD71" s="6" t="inlineStr">
        <is>
          <t>To a moderate extent</t>
        </is>
      </c>
      <c r="BE71" s="6" t="inlineStr">
        <is>
          <t>To a moderate extent</t>
        </is>
      </c>
      <c r="BF71" s="6" t="inlineStr">
        <is>
          <t>To a slight extent</t>
        </is>
      </c>
      <c r="BG71" s="6" t="inlineStr">
        <is>
          <t>To a moderate extent</t>
        </is>
      </c>
      <c r="BH71" s="6" t="inlineStr">
        <is>
          <t>To a moderate extent</t>
        </is>
      </c>
      <c r="BI71" s="6" t="inlineStr">
        <is>
          <t>To a moderate extent</t>
        </is>
      </c>
      <c r="BJ71" s="6" t="inlineStr">
        <is>
          <t>To a moderate extent</t>
        </is>
      </c>
      <c r="BK71" s="6" t="inlineStr">
        <is>
          <t>To a moderate extent</t>
        </is>
      </c>
      <c r="BL71" s="6" t="inlineStr">
        <is>
          <t>To a great extent</t>
        </is>
      </c>
      <c r="BM71" s="6" t="inlineStr">
        <is>
          <t>To a great extent</t>
        </is>
      </c>
      <c r="BN71" s="6" t="inlineStr">
        <is>
          <t>To a moderate extent</t>
        </is>
      </c>
      <c r="BO71" s="6" t="inlineStr">
        <is>
          <t>To a great extent</t>
        </is>
      </c>
      <c r="BP71" s="6" t="inlineStr">
        <is>
          <t>To a moderate extent</t>
        </is>
      </c>
      <c r="BQ71" s="6" t="inlineStr">
        <is>
          <t>To a great extent</t>
        </is>
      </c>
      <c r="BR71" s="6" t="inlineStr">
        <is>
          <t>Don’t know or not applicable</t>
        </is>
      </c>
      <c r="BS71" s="6" t="n"/>
      <c r="BT71" s="6" t="inlineStr">
        <is>
          <t>The IMF dedicated an appropriate amount of resources</t>
        </is>
      </c>
      <c r="BU71" s="6" t="inlineStr">
        <is>
          <t>To a moderate extent</t>
        </is>
      </c>
      <c r="BV71" s="6" t="inlineStr">
        <is>
          <t>To a great extent</t>
        </is>
      </c>
      <c r="BW71" s="6" t="inlineStr">
        <is>
          <t>To a moderate extent</t>
        </is>
      </c>
      <c r="BX71" s="6" t="inlineStr">
        <is>
          <t>To a moderate extent</t>
        </is>
      </c>
      <c r="BY71" s="6" t="inlineStr">
        <is>
          <t>To a moderate extent</t>
        </is>
      </c>
      <c r="BZ71" s="6" t="inlineStr">
        <is>
          <t>To a moderate extent</t>
        </is>
      </c>
      <c r="CA71" s="6" t="inlineStr">
        <is>
          <t>To a moderate extent</t>
        </is>
      </c>
      <c r="CB71" s="6" t="inlineStr">
        <is>
          <t>To a moderate extent</t>
        </is>
      </c>
      <c r="CC71" s="6" t="inlineStr">
        <is>
          <t>To a great extent</t>
        </is>
      </c>
      <c r="CD71" s="6" t="inlineStr">
        <is>
          <t>To a great extent</t>
        </is>
      </c>
      <c r="CE71" s="6" t="inlineStr">
        <is>
          <t>To a great extent</t>
        </is>
      </c>
      <c r="CF71" s="6" t="inlineStr">
        <is>
          <t>To a great extent</t>
        </is>
      </c>
      <c r="CG71" s="6" t="n"/>
      <c r="CH71" s="6" t="inlineStr">
        <is>
          <t>No</t>
        </is>
      </c>
      <c r="CI71" s="6" t="inlineStr">
        <is>
          <t>Yes</t>
        </is>
      </c>
      <c r="CJ71" s="6" t="n"/>
      <c r="CK71" s="6" t="n"/>
      <c r="CL71" s="6" t="n"/>
      <c r="CM71" s="6" t="n"/>
      <c r="CN71" s="6" t="n"/>
      <c r="CO71" s="6" t="n"/>
      <c r="CP71" s="6" t="n"/>
      <c r="CQ71" s="6" t="n"/>
      <c r="CR71" s="6" t="n"/>
      <c r="CS71" s="6" t="n"/>
      <c r="CT71" s="6" t="n"/>
      <c r="CU71" s="6" t="n"/>
      <c r="CV71" s="6" t="n"/>
      <c r="CW71" s="6" t="n"/>
      <c r="CX71" s="6" t="n"/>
      <c r="CY71" s="6" t="n"/>
      <c r="CZ71" s="6" t="n"/>
      <c r="DA71" s="6" t="n"/>
      <c r="DB71" s="6" t="n"/>
      <c r="DC71" s="6" t="n"/>
      <c r="DD71" s="6" t="n"/>
      <c r="DE71" s="6" t="n"/>
      <c r="DF71" s="6" t="n"/>
      <c r="DG71" s="6" t="n"/>
      <c r="DH71" s="6" t="n"/>
      <c r="DI71" s="6" t="n"/>
      <c r="DJ71" s="6" t="n"/>
      <c r="DK71" s="6" t="n"/>
      <c r="DL71" s="6" t="n"/>
      <c r="DM71" s="6" t="n"/>
      <c r="DN71" s="6" t="n"/>
      <c r="DO71" s="6" t="n"/>
      <c r="DP71" s="6" t="n"/>
      <c r="DQ71" s="6" t="n"/>
      <c r="DR71" s="6" t="n"/>
      <c r="DS71" s="6" t="n"/>
      <c r="DT71" s="6" t="n"/>
      <c r="DU71" s="6" t="n"/>
      <c r="DV71" s="6" t="inlineStr">
        <is>
          <t>Other (please specify) : RSF requested, program went off track</t>
        </is>
      </c>
      <c r="DW71" s="6" t="inlineStr">
        <is>
          <t>Don't know</t>
        </is>
      </c>
      <c r="DX71" s="6" t="n"/>
      <c r="DY71" s="6" t="n"/>
      <c r="DZ71" s="6" t="n"/>
      <c r="EA71" s="6" t="n"/>
      <c r="EB71" s="6" t="n"/>
      <c r="EC71" s="6" t="n"/>
      <c r="ED71" s="6" t="n"/>
      <c r="EE71" s="6" t="n"/>
      <c r="EF71" s="6" t="inlineStr">
        <is>
          <t>To a slight extent</t>
        </is>
      </c>
      <c r="EG71" s="6" t="inlineStr">
        <is>
          <t>To a moderate extent</t>
        </is>
      </c>
      <c r="EH71" s="6" t="inlineStr">
        <is>
          <t>To a moderate extent</t>
        </is>
      </c>
      <c r="EI71" s="6" t="inlineStr">
        <is>
          <t>To a great extent</t>
        </is>
      </c>
      <c r="EJ71" s="6" t="inlineStr">
        <is>
          <t>To a great extent</t>
        </is>
      </c>
      <c r="EK71" s="6" t="inlineStr">
        <is>
          <t>To a moderate extent</t>
        </is>
      </c>
      <c r="EL71" s="6" t="inlineStr">
        <is>
          <t>To a great extent</t>
        </is>
      </c>
      <c r="EM71" s="6" t="inlineStr">
        <is>
          <t>To a moderate extent</t>
        </is>
      </c>
      <c r="EN71" s="6" t="inlineStr">
        <is>
          <t>To a moderate extent</t>
        </is>
      </c>
      <c r="EO71" s="6" t="inlineStr">
        <is>
          <t>To a moderate extent</t>
        </is>
      </c>
      <c r="EP71" s="6" t="n"/>
      <c r="EQ71" s="6" t="inlineStr">
        <is>
          <t>To a great extent</t>
        </is>
      </c>
      <c r="ER71" s="6" t="inlineStr">
        <is>
          <t>To a moderate extent</t>
        </is>
      </c>
      <c r="ES71" s="6" t="n"/>
      <c r="ET71" s="6" t="inlineStr">
        <is>
          <t>To a moderate extent</t>
        </is>
      </c>
      <c r="EU71" s="6" t="inlineStr">
        <is>
          <t>To a moderate extent</t>
        </is>
      </c>
      <c r="EV71" s="6" t="inlineStr">
        <is>
          <t>To a moderate extent</t>
        </is>
      </c>
      <c r="EW71" s="6" t="inlineStr">
        <is>
          <t>Don’t know or not applicable</t>
        </is>
      </c>
      <c r="EX71" s="6" t="n"/>
      <c r="EY71" s="6" t="inlineStr">
        <is>
          <t>To a moderate extent</t>
        </is>
      </c>
      <c r="EZ71" s="6" t="inlineStr">
        <is>
          <t>To a moderate extent</t>
        </is>
      </c>
      <c r="FA71" s="6" t="inlineStr">
        <is>
          <t>To a great extent</t>
        </is>
      </c>
      <c r="FB71" s="6" t="inlineStr">
        <is>
          <t>To a great extent</t>
        </is>
      </c>
      <c r="FC71" s="6" t="inlineStr">
        <is>
          <t>To a great extent</t>
        </is>
      </c>
      <c r="FD71" s="6" t="inlineStr">
        <is>
          <t>To a moderate extent</t>
        </is>
      </c>
      <c r="FE71" s="6" t="inlineStr">
        <is>
          <t>To a moderate extent</t>
        </is>
      </c>
      <c r="FF71" s="6" t="inlineStr">
        <is>
          <t>To a moderate extent</t>
        </is>
      </c>
      <c r="FG71" s="6" t="inlineStr">
        <is>
          <t>To a moderate extent</t>
        </is>
      </c>
      <c r="FH71" s="6" t="inlineStr">
        <is>
          <t>To a great extent</t>
        </is>
      </c>
      <c r="FI71" s="6" t="inlineStr">
        <is>
          <t>To a moderate extent</t>
        </is>
      </c>
      <c r="FJ71" s="6" t="inlineStr">
        <is>
          <t>To a moderate extent</t>
        </is>
      </c>
      <c r="FK71" s="6" t="inlineStr">
        <is>
          <t>To a great extent</t>
        </is>
      </c>
      <c r="FL71" s="6" t="inlineStr">
        <is>
          <t>To a great extent</t>
        </is>
      </c>
      <c r="FM71" s="6" t="inlineStr">
        <is>
          <t>To a great extent</t>
        </is>
      </c>
      <c r="FN71" s="6" t="inlineStr">
        <is>
          <t>To a moderate extent</t>
        </is>
      </c>
      <c r="FO71" s="6" t="inlineStr">
        <is>
          <t>To a moderate extent</t>
        </is>
      </c>
      <c r="FP71" s="6" t="inlineStr">
        <is>
          <t>To a moderate extent</t>
        </is>
      </c>
      <c r="FQ71" s="6" t="inlineStr">
        <is>
          <t>To a moderate extent</t>
        </is>
      </c>
      <c r="FR71" s="6" t="inlineStr">
        <is>
          <t>To a great extent</t>
        </is>
      </c>
      <c r="FS71" s="6" t="inlineStr">
        <is>
          <t>To a slight extent</t>
        </is>
      </c>
      <c r="FT71" s="6" t="inlineStr">
        <is>
          <t>To a moderate extent</t>
        </is>
      </c>
      <c r="FU71" s="6" t="inlineStr">
        <is>
          <t>Don’t know or not applicable</t>
        </is>
      </c>
      <c r="FV71" s="6" t="n"/>
      <c r="FW71" s="6" t="inlineStr">
        <is>
          <t>The IMF should have dedicated more resources</t>
        </is>
      </c>
      <c r="FX71" s="6" t="n"/>
      <c r="FY71" s="6" t="inlineStr">
        <is>
          <t>To a great extent</t>
        </is>
      </c>
      <c r="FZ71" s="6" t="inlineStr">
        <is>
          <t>To a great extent</t>
        </is>
      </c>
      <c r="GA71" s="6" t="inlineStr">
        <is>
          <t>To a great extent</t>
        </is>
      </c>
      <c r="GB71" s="6" t="inlineStr">
        <is>
          <t>To a great extent</t>
        </is>
      </c>
      <c r="GC71" s="6" t="inlineStr">
        <is>
          <t>Don’t know or not applicable</t>
        </is>
      </c>
      <c r="GD71" s="6" t="n"/>
      <c r="GE71" s="6" t="inlineStr">
        <is>
          <t>To a moderate extent</t>
        </is>
      </c>
      <c r="GF71" s="6" t="inlineStr">
        <is>
          <t>To a great extent</t>
        </is>
      </c>
      <c r="GG71" s="6" t="inlineStr">
        <is>
          <t>To a moderate extent</t>
        </is>
      </c>
      <c r="GH71" s="6" t="inlineStr">
        <is>
          <t>To a great extent</t>
        </is>
      </c>
      <c r="GI71" s="6" t="inlineStr">
        <is>
          <t>To a great extent</t>
        </is>
      </c>
      <c r="GJ71" s="6" t="inlineStr">
        <is>
          <t>To a great extent</t>
        </is>
      </c>
      <c r="GK71" s="6" t="n"/>
      <c r="GL71" s="7">
        <f>DATE(2025,6,12)+TIME(12,54,24)</f>
        <v/>
      </c>
    </row>
    <row r="72" ht="126" customHeight="1">
      <c r="A72" s="3" t="inlineStr">
        <is>
          <t>James</t>
        </is>
      </c>
      <c r="B72" s="3" t="inlineStr">
        <is>
          <t>Nakamura</t>
        </is>
      </c>
      <c r="C72" s="3" t="inlineStr">
        <is>
          <t>jnakamura1@organization.org</t>
        </is>
      </c>
      <c r="D72" s="3" t="inlineStr">
        <is>
          <t>ZJ0KAI1SY</t>
        </is>
      </c>
      <c r="E72" s="3" t="n"/>
      <c r="F72" s="3" t="inlineStr">
        <is>
          <t>OEDAG</t>
        </is>
      </c>
      <c r="G72" s="3" t="n"/>
      <c r="H72" s="3" t="inlineStr">
        <is>
          <t>Peru</t>
        </is>
      </c>
      <c r="I72" s="3" t="n"/>
      <c r="J72" s="3" t="n"/>
      <c r="K72" s="3" t="n"/>
      <c r="L72" s="3" t="n"/>
      <c r="M72" s="3" t="n"/>
      <c r="N72" s="3" t="n"/>
      <c r="O72" s="3" t="n"/>
      <c r="P72" s="3" t="n"/>
      <c r="Q72" s="3" t="n"/>
      <c r="R72" s="3" t="n"/>
      <c r="S72" s="3" t="n"/>
      <c r="T72" s="3" t="n"/>
      <c r="U72" s="3" t="n"/>
      <c r="V72" s="3" t="n"/>
      <c r="W72" s="3" t="n"/>
      <c r="X72" s="3" t="n"/>
      <c r="Y72" s="3" t="n"/>
      <c r="Z72" s="3" t="n"/>
      <c r="AA72" s="3" t="n"/>
      <c r="AB72" s="3" t="n"/>
      <c r="AC72" s="3" t="n"/>
      <c r="AD72" s="3" t="n"/>
      <c r="AE72" s="3" t="n"/>
      <c r="AF72" s="4" t="inlineStr">
        <is>
          <t>Peru</t>
        </is>
      </c>
      <c r="AG72" s="3" t="inlineStr">
        <is>
          <t>The IMF should not engage on climate change-related issues</t>
        </is>
      </c>
      <c r="AH72" s="3" t="inlineStr">
        <is>
          <t>To a moderate extent</t>
        </is>
      </c>
      <c r="AI72" s="3" t="inlineStr">
        <is>
          <t>To a great extent</t>
        </is>
      </c>
      <c r="AJ72" s="3" t="inlineStr">
        <is>
          <t>To a moderate extent</t>
        </is>
      </c>
      <c r="AK72" s="3" t="inlineStr">
        <is>
          <t>To a moderate extent</t>
        </is>
      </c>
      <c r="AL72" s="3" t="inlineStr">
        <is>
          <t>Not at all</t>
        </is>
      </c>
      <c r="AM72" s="3" t="inlineStr">
        <is>
          <t>Not at all</t>
        </is>
      </c>
      <c r="AN72" s="3" t="inlineStr">
        <is>
          <t>Not at all</t>
        </is>
      </c>
      <c r="AO72" s="3" t="inlineStr">
        <is>
          <t>Not at all</t>
        </is>
      </c>
      <c r="AP72" s="3" t="inlineStr">
        <is>
          <t>To a slight extent</t>
        </is>
      </c>
      <c r="AQ72" s="3" t="inlineStr">
        <is>
          <t>To a slight extent</t>
        </is>
      </c>
      <c r="AR72" s="3" t="inlineStr">
        <is>
          <t>Not at all</t>
        </is>
      </c>
      <c r="AS72" s="3" t="n"/>
      <c r="AT72" s="3" t="inlineStr">
        <is>
          <t>Not at all</t>
        </is>
      </c>
      <c r="AU72" s="3" t="inlineStr">
        <is>
          <t>To a slight extent</t>
        </is>
      </c>
      <c r="AV72" s="3" t="inlineStr">
        <is>
          <t>To a moderate extent</t>
        </is>
      </c>
      <c r="AW72" s="3" t="inlineStr">
        <is>
          <t>To a slight extent</t>
        </is>
      </c>
      <c r="AX72" s="3" t="inlineStr">
        <is>
          <t>Not at all</t>
        </is>
      </c>
      <c r="AY72" s="3" t="inlineStr">
        <is>
          <t>To a slight extent</t>
        </is>
      </c>
      <c r="AZ72" s="3" t="inlineStr">
        <is>
          <t>To a slight extent</t>
        </is>
      </c>
      <c r="BA72" s="3" t="inlineStr">
        <is>
          <t>To a moderate extent</t>
        </is>
      </c>
      <c r="BB72" s="3" t="inlineStr">
        <is>
          <t>To a slight extent</t>
        </is>
      </c>
      <c r="BC72" s="3" t="inlineStr">
        <is>
          <t>Not at all</t>
        </is>
      </c>
      <c r="BD72" s="3" t="inlineStr">
        <is>
          <t>To a slight extent</t>
        </is>
      </c>
      <c r="BE72" s="3" t="inlineStr">
        <is>
          <t>Don’t know or not applicable</t>
        </is>
      </c>
      <c r="BF72" s="3" t="inlineStr">
        <is>
          <t>Don’t know or not applicable</t>
        </is>
      </c>
      <c r="BG72" s="3" t="inlineStr">
        <is>
          <t>Don’t know or not applicable</t>
        </is>
      </c>
      <c r="BH72" s="3" t="inlineStr">
        <is>
          <t>Don’t know or not applicable</t>
        </is>
      </c>
      <c r="BI72" s="3" t="inlineStr">
        <is>
          <t>Don’t know or not applicable</t>
        </is>
      </c>
      <c r="BJ72" s="3" t="inlineStr">
        <is>
          <t>To a slight extent</t>
        </is>
      </c>
      <c r="BK72" s="3" t="inlineStr">
        <is>
          <t>To a slight extent</t>
        </is>
      </c>
      <c r="BL72" s="3" t="inlineStr">
        <is>
          <t>To a slight extent</t>
        </is>
      </c>
      <c r="BM72" s="3" t="inlineStr">
        <is>
          <t>Not at all</t>
        </is>
      </c>
      <c r="BN72" s="3" t="inlineStr">
        <is>
          <t>To a slight extent</t>
        </is>
      </c>
      <c r="BO72" s="3" t="inlineStr">
        <is>
          <t>Not at all</t>
        </is>
      </c>
      <c r="BP72" s="3" t="inlineStr">
        <is>
          <t>Not at all</t>
        </is>
      </c>
      <c r="BQ72" s="3" t="inlineStr">
        <is>
          <t>To a slight extent</t>
        </is>
      </c>
      <c r="BR72" s="3" t="inlineStr">
        <is>
          <t>Don’t know or not applicable</t>
        </is>
      </c>
      <c r="BS72" s="3" t="n"/>
      <c r="BT72" s="3" t="inlineStr">
        <is>
          <t>The IMF should have dedicated less resources</t>
        </is>
      </c>
      <c r="BU72" s="3" t="inlineStr">
        <is>
          <t>Not at all</t>
        </is>
      </c>
      <c r="BV72" s="3" t="inlineStr">
        <is>
          <t>Not at all</t>
        </is>
      </c>
      <c r="BW72" s="3" t="inlineStr">
        <is>
          <t>Not at all</t>
        </is>
      </c>
      <c r="BX72" s="3" t="inlineStr">
        <is>
          <t>To a moderate extent</t>
        </is>
      </c>
      <c r="BY72" s="3" t="inlineStr">
        <is>
          <t>To a moderate extent</t>
        </is>
      </c>
      <c r="BZ72" s="3" t="inlineStr">
        <is>
          <t>To a moderate extent</t>
        </is>
      </c>
      <c r="CA72" s="3" t="inlineStr">
        <is>
          <t>To a slight extent</t>
        </is>
      </c>
      <c r="CB72" s="3" t="inlineStr">
        <is>
          <t>To a slight extent</t>
        </is>
      </c>
      <c r="CC72" s="3" t="inlineStr">
        <is>
          <t>To a slight extent</t>
        </is>
      </c>
      <c r="CD72" s="3" t="inlineStr">
        <is>
          <t>To a moderate extent</t>
        </is>
      </c>
      <c r="CE72" s="3" t="inlineStr">
        <is>
          <t>To a moderate extent</t>
        </is>
      </c>
      <c r="CF72" s="3" t="inlineStr">
        <is>
          <t>To a moderate extent</t>
        </is>
      </c>
      <c r="CG72" s="3" t="n"/>
      <c r="CH72" s="3" t="inlineStr">
        <is>
          <t>No</t>
        </is>
      </c>
      <c r="CI72" s="3" t="inlineStr">
        <is>
          <t>Yes</t>
        </is>
      </c>
      <c r="CJ72" s="3" t="n"/>
      <c r="CK72" s="3" t="n"/>
      <c r="CL72" s="3" t="n"/>
      <c r="CM72" s="3" t="n"/>
      <c r="CN72" s="3" t="n"/>
      <c r="CO72" s="3" t="n"/>
      <c r="CP72" s="3" t="n"/>
      <c r="CQ72" s="3" t="n"/>
      <c r="CR72" s="3" t="n"/>
      <c r="CS72" s="3" t="n"/>
      <c r="CT72" s="3" t="n"/>
      <c r="CU72" s="3" t="n"/>
      <c r="CV72" s="3" t="n"/>
      <c r="CW72" s="3" t="n"/>
      <c r="CX72" s="3" t="n"/>
      <c r="CY72" s="3" t="n"/>
      <c r="CZ72" s="3" t="n"/>
      <c r="DA72" s="3" t="n"/>
      <c r="DB72" s="3" t="n"/>
      <c r="DC72" s="3" t="n"/>
      <c r="DD72" s="3" t="n"/>
      <c r="DE72" s="3" t="n"/>
      <c r="DF72" s="3" t="n"/>
      <c r="DG72" s="3" t="n"/>
      <c r="DH72" s="3" t="n"/>
      <c r="DI72" s="3" t="n"/>
      <c r="DJ72" s="3" t="n"/>
      <c r="DK72" s="3" t="n"/>
      <c r="DL72" s="3" t="n"/>
      <c r="DM72" s="3" t="n"/>
      <c r="DN72" s="3" t="n"/>
      <c r="DO72" s="3" t="n"/>
      <c r="DP72" s="3" t="n"/>
      <c r="DQ72" s="3" t="inlineStr">
        <is>
          <t>Climate change does not pose a major balance of payments risk in my country</t>
        </is>
      </c>
      <c r="DR72" s="3" t="n"/>
      <c r="DS72" s="3" t="n"/>
      <c r="DT72" s="3" t="n"/>
      <c r="DU72" s="3" t="n"/>
      <c r="DV72" s="3" t="n"/>
      <c r="DW72" s="3" t="inlineStr">
        <is>
          <t>No</t>
        </is>
      </c>
      <c r="DX72" s="3" t="n"/>
      <c r="DY72" s="3" t="n"/>
      <c r="DZ72" s="3" t="n"/>
      <c r="EA72" s="3" t="n"/>
      <c r="EB72" s="3" t="n"/>
      <c r="EC72" s="3" t="n"/>
      <c r="ED72" s="3" t="n"/>
      <c r="EE72" s="3" t="n"/>
      <c r="EF72" s="3" t="inlineStr">
        <is>
          <t>Don’t know or not applicable</t>
        </is>
      </c>
      <c r="EG72" s="3" t="inlineStr">
        <is>
          <t>Don’t know or not applicable</t>
        </is>
      </c>
      <c r="EH72" s="3" t="inlineStr">
        <is>
          <t>Don’t know or not applicable</t>
        </is>
      </c>
      <c r="EI72" s="3" t="inlineStr">
        <is>
          <t>Don’t know or not applicable</t>
        </is>
      </c>
      <c r="EJ72" s="3" t="inlineStr">
        <is>
          <t>Don’t know or not applicable</t>
        </is>
      </c>
      <c r="EK72" s="3" t="inlineStr">
        <is>
          <t>Don’t know or not applicable</t>
        </is>
      </c>
      <c r="EL72" s="3" t="inlineStr">
        <is>
          <t>Don’t know or not applicable</t>
        </is>
      </c>
      <c r="EM72" s="3" t="inlineStr">
        <is>
          <t>To a slight extent</t>
        </is>
      </c>
      <c r="EN72" s="3" t="inlineStr">
        <is>
          <t>To a slight extent</t>
        </is>
      </c>
      <c r="EO72" s="3" t="inlineStr">
        <is>
          <t>To a slight extent</t>
        </is>
      </c>
      <c r="EP72" s="3" t="n"/>
      <c r="EQ72" s="3" t="inlineStr">
        <is>
          <t>To a moderate extent</t>
        </is>
      </c>
      <c r="ER72" s="3" t="inlineStr">
        <is>
          <t>Not at all</t>
        </is>
      </c>
      <c r="ES72" s="3" t="n"/>
      <c r="ET72" s="3" t="inlineStr">
        <is>
          <t>Not at all</t>
        </is>
      </c>
      <c r="EU72" s="3" t="inlineStr">
        <is>
          <t>To a great extent</t>
        </is>
      </c>
      <c r="EV72" s="3" t="inlineStr">
        <is>
          <t>To a great extent</t>
        </is>
      </c>
      <c r="EW72" s="3" t="inlineStr">
        <is>
          <t>Don’t know or not applicable</t>
        </is>
      </c>
      <c r="EX72" s="3" t="n"/>
      <c r="EY72" s="3" t="inlineStr">
        <is>
          <t>Don’t know or not applicable</t>
        </is>
      </c>
      <c r="EZ72" s="3" t="inlineStr">
        <is>
          <t>Don’t know or not applicable</t>
        </is>
      </c>
      <c r="FA72" s="3" t="inlineStr">
        <is>
          <t>Don’t know or not applicable</t>
        </is>
      </c>
      <c r="FB72" s="3" t="inlineStr">
        <is>
          <t>Don’t know or not applicable</t>
        </is>
      </c>
      <c r="FC72" s="3" t="inlineStr">
        <is>
          <t>Don’t know or not applicable</t>
        </is>
      </c>
      <c r="FD72" s="3" t="inlineStr">
        <is>
          <t>Don’t know or not applicable</t>
        </is>
      </c>
      <c r="FE72" s="3" t="inlineStr">
        <is>
          <t>Don’t know or not applicable</t>
        </is>
      </c>
      <c r="FF72" s="3" t="inlineStr">
        <is>
          <t>Don’t know or not applicable</t>
        </is>
      </c>
      <c r="FG72" s="3" t="inlineStr">
        <is>
          <t>Don’t know or not applicable</t>
        </is>
      </c>
      <c r="FH72" s="3" t="n"/>
      <c r="FI72" s="3" t="n"/>
      <c r="FJ72" s="3" t="n"/>
      <c r="FK72" s="3" t="n"/>
      <c r="FL72" s="3" t="n"/>
      <c r="FM72" s="3" t="n"/>
      <c r="FN72" s="3" t="n"/>
      <c r="FO72" s="3" t="n"/>
      <c r="FP72" s="3" t="n"/>
      <c r="FQ72" s="3" t="n"/>
      <c r="FR72" s="3" t="inlineStr">
        <is>
          <t>Not at all</t>
        </is>
      </c>
      <c r="FS72" s="3" t="inlineStr">
        <is>
          <t>Not at all</t>
        </is>
      </c>
      <c r="FT72" s="3" t="inlineStr">
        <is>
          <t>To a slight extent</t>
        </is>
      </c>
      <c r="FU72" s="3" t="inlineStr">
        <is>
          <t>Don’t know or not applicable</t>
        </is>
      </c>
      <c r="FV72" s="3" t="n"/>
      <c r="FW72" s="3" t="inlineStr">
        <is>
          <t>The IMF should have dedicated less resources</t>
        </is>
      </c>
      <c r="FX72" s="3" t="n"/>
      <c r="FY72" s="3" t="inlineStr">
        <is>
          <t>To a slight extent</t>
        </is>
      </c>
      <c r="FZ72" s="3" t="inlineStr">
        <is>
          <t>To a slight extent</t>
        </is>
      </c>
      <c r="GA72" s="3" t="inlineStr">
        <is>
          <t>To a slight extent</t>
        </is>
      </c>
      <c r="GB72" s="3" t="inlineStr">
        <is>
          <t>Not at all</t>
        </is>
      </c>
      <c r="GC72" s="3" t="inlineStr">
        <is>
          <t>Don’t know or not applicable</t>
        </is>
      </c>
      <c r="GD72" s="3" t="n"/>
      <c r="GE72" s="3" t="inlineStr">
        <is>
          <t>To a great extent</t>
        </is>
      </c>
      <c r="GF72" s="3" t="inlineStr">
        <is>
          <t>Not at all</t>
        </is>
      </c>
      <c r="GG72" s="3" t="inlineStr">
        <is>
          <t>To a moderate extent</t>
        </is>
      </c>
      <c r="GH72" s="3" t="inlineStr">
        <is>
          <t>Not at all</t>
        </is>
      </c>
      <c r="GI72" s="3" t="inlineStr">
        <is>
          <t>To a moderate extent</t>
        </is>
      </c>
      <c r="GJ72" s="3" t="inlineStr">
        <is>
          <t>To a great extent</t>
        </is>
      </c>
      <c r="GK72" s="3" t="inlineStr">
        <is>
          <t>The IMF should focus on its traditional core mandate, particularly if at the same time, major shareholders are reluctant to increase the budget envelope and continue mostly with a flat real budget policy.</t>
        </is>
      </c>
      <c r="GL72" s="5">
        <f>DATE(2025,5,22)+TIME(15,56,4)</f>
        <v/>
      </c>
    </row>
    <row r="73" ht="47.25" customHeight="1">
      <c r="A73" s="6" t="inlineStr">
        <is>
          <t>Mei</t>
        </is>
      </c>
      <c r="B73" s="6" t="inlineStr">
        <is>
          <t>Costa</t>
        </is>
      </c>
      <c r="C73" s="6" t="inlineStr">
        <is>
          <t>mcosta@organization.org</t>
        </is>
      </c>
      <c r="D73" s="6" t="inlineStr">
        <is>
          <t>VN166LQ1W</t>
        </is>
      </c>
      <c r="E73" s="6" t="n"/>
      <c r="F73" s="6" t="inlineStr">
        <is>
          <t>OEDSZ</t>
        </is>
      </c>
      <c r="G73" s="6" t="n"/>
      <c r="H73" s="6" t="n"/>
      <c r="I73" s="6" t="n"/>
      <c r="J73" s="6" t="n"/>
      <c r="K73" s="6" t="n"/>
      <c r="L73" s="6" t="n"/>
      <c r="M73" s="6" t="n"/>
      <c r="N73" s="6" t="n"/>
      <c r="O73" s="6" t="n"/>
      <c r="P73" s="6" t="n"/>
      <c r="Q73" s="6" t="n"/>
      <c r="R73" s="6" t="n"/>
      <c r="S73" s="6" t="n"/>
      <c r="T73" s="6" t="n"/>
      <c r="U73" s="6" t="n"/>
      <c r="V73" s="6" t="n"/>
      <c r="W73" s="6" t="n"/>
      <c r="X73" s="6" t="n"/>
      <c r="Y73" s="6" t="n"/>
      <c r="Z73" s="6" t="n"/>
      <c r="AA73" s="6" t="n"/>
      <c r="AB73" s="6" t="n"/>
      <c r="AC73" s="6" t="inlineStr">
        <is>
          <t>Liechtenstein, Principality of</t>
        </is>
      </c>
      <c r="AD73" s="6" t="n"/>
      <c r="AE73" s="6" t="n"/>
      <c r="AF73" s="4" t="inlineStr">
        <is>
          <t>Liechtenstein, Principality of</t>
        </is>
      </c>
      <c r="AG73" s="6" t="inlineStr">
        <is>
          <t>The IMF should engage a similar amount on climate change-related issues</t>
        </is>
      </c>
      <c r="AH73" s="6" t="inlineStr">
        <is>
          <t>Don’t know or not applicable</t>
        </is>
      </c>
      <c r="AI73" s="6" t="inlineStr">
        <is>
          <t>To a moderate extent</t>
        </is>
      </c>
      <c r="AJ73" s="6" t="inlineStr">
        <is>
          <t>Don’t know or not applicable</t>
        </is>
      </c>
      <c r="AK73" s="6" t="inlineStr">
        <is>
          <t>To a moderate extent</t>
        </is>
      </c>
      <c r="AL73" s="6" t="inlineStr">
        <is>
          <t>To a moderate extent</t>
        </is>
      </c>
      <c r="AM73" s="6" t="inlineStr">
        <is>
          <t>Don’t know or not applicable</t>
        </is>
      </c>
      <c r="AN73" s="6" t="inlineStr">
        <is>
          <t>Don’t know or not applicable</t>
        </is>
      </c>
      <c r="AO73" s="6" t="inlineStr">
        <is>
          <t>Don’t know or not applicable</t>
        </is>
      </c>
      <c r="AP73" s="6" t="inlineStr">
        <is>
          <t>To a slight extent</t>
        </is>
      </c>
      <c r="AQ73" s="6" t="inlineStr">
        <is>
          <t>To a slight extent</t>
        </is>
      </c>
      <c r="AR73" s="6" t="inlineStr">
        <is>
          <t>Don’t know or not applicable</t>
        </is>
      </c>
      <c r="AS73" s="6" t="n"/>
      <c r="AT73" s="6" t="inlineStr">
        <is>
          <t>Not at all</t>
        </is>
      </c>
      <c r="AU73" s="6" t="inlineStr">
        <is>
          <t>To a slight extent</t>
        </is>
      </c>
      <c r="AV73" s="6" t="inlineStr">
        <is>
          <t>Don’t know or not applicable</t>
        </is>
      </c>
      <c r="AW73" s="6" t="inlineStr">
        <is>
          <t>Don’t know or not applicable</t>
        </is>
      </c>
      <c r="AX73" s="6" t="inlineStr">
        <is>
          <t>Don’t know or not applicable</t>
        </is>
      </c>
      <c r="AY73" s="6" t="inlineStr">
        <is>
          <t>Don’t know or not applicable</t>
        </is>
      </c>
      <c r="AZ73" s="6" t="inlineStr">
        <is>
          <t>To a moderate extent</t>
        </is>
      </c>
      <c r="BA73" s="6" t="inlineStr">
        <is>
          <t>To a moderate extent</t>
        </is>
      </c>
      <c r="BB73" s="6" t="inlineStr">
        <is>
          <t>Don’t know or not applicable</t>
        </is>
      </c>
      <c r="BC73" s="6" t="inlineStr">
        <is>
          <t>Don’t know or not applicable</t>
        </is>
      </c>
      <c r="BD73" s="6" t="inlineStr">
        <is>
          <t>Don’t know or not applicable</t>
        </is>
      </c>
      <c r="BE73" s="6" t="inlineStr">
        <is>
          <t>Don’t know or not applicable</t>
        </is>
      </c>
      <c r="BF73" s="6" t="inlineStr">
        <is>
          <t>Don’t know or not applicable</t>
        </is>
      </c>
      <c r="BG73" s="6" t="inlineStr">
        <is>
          <t>Don’t know or not applicable</t>
        </is>
      </c>
      <c r="BH73" s="6" t="inlineStr">
        <is>
          <t>Don’t know or not applicable</t>
        </is>
      </c>
      <c r="BI73" s="6" t="inlineStr">
        <is>
          <t>Don’t know or not applicable</t>
        </is>
      </c>
      <c r="BJ73" s="6" t="inlineStr">
        <is>
          <t>To a moderate extent</t>
        </is>
      </c>
      <c r="BK73" s="6" t="inlineStr">
        <is>
          <t>Don’t know or not applicable</t>
        </is>
      </c>
      <c r="BL73" s="6" t="inlineStr">
        <is>
          <t>Don’t know or not applicable</t>
        </is>
      </c>
      <c r="BM73" s="6" t="inlineStr">
        <is>
          <t>Don’t know or not applicable</t>
        </is>
      </c>
      <c r="BN73" s="6" t="inlineStr">
        <is>
          <t>To a great extent</t>
        </is>
      </c>
      <c r="BO73" s="6" t="inlineStr">
        <is>
          <t>Don’t know or not applicable</t>
        </is>
      </c>
      <c r="BP73" s="6" t="inlineStr">
        <is>
          <t>Don’t know or not applicable</t>
        </is>
      </c>
      <c r="BQ73" s="6" t="inlineStr">
        <is>
          <t>Don’t know or not applicable</t>
        </is>
      </c>
      <c r="BR73" s="6" t="inlineStr">
        <is>
          <t>Don’t know or not applicable</t>
        </is>
      </c>
      <c r="BS73" s="6" t="n"/>
      <c r="BT73" s="6" t="inlineStr">
        <is>
          <t>The IMF dedicated an appropriate amount of resources</t>
        </is>
      </c>
      <c r="BU73" s="6" t="inlineStr">
        <is>
          <t>To a moderate extent</t>
        </is>
      </c>
      <c r="BV73" s="6" t="inlineStr">
        <is>
          <t>To a slight extent</t>
        </is>
      </c>
      <c r="BW73" s="6" t="inlineStr">
        <is>
          <t>To a moderate extent</t>
        </is>
      </c>
      <c r="BX73" s="6" t="inlineStr">
        <is>
          <t>To a moderate extent</t>
        </is>
      </c>
      <c r="BY73" s="6" t="inlineStr">
        <is>
          <t>To a slight extent</t>
        </is>
      </c>
      <c r="BZ73" s="6" t="inlineStr">
        <is>
          <t>To a slight extent</t>
        </is>
      </c>
      <c r="CA73" s="6" t="inlineStr">
        <is>
          <t>To a moderate extent</t>
        </is>
      </c>
      <c r="CB73" s="6" t="inlineStr">
        <is>
          <t>To a slight extent</t>
        </is>
      </c>
      <c r="CC73" s="6" t="inlineStr">
        <is>
          <t>To a moderate extent</t>
        </is>
      </c>
      <c r="CD73" s="6" t="inlineStr">
        <is>
          <t>To a moderate extent</t>
        </is>
      </c>
      <c r="CE73" s="6" t="inlineStr">
        <is>
          <t>To a slight extent</t>
        </is>
      </c>
      <c r="CF73" s="6" t="inlineStr">
        <is>
          <t>To a moderate extent</t>
        </is>
      </c>
      <c r="CG73" s="6" t="n"/>
      <c r="CH73" s="6" t="inlineStr">
        <is>
          <t>No</t>
        </is>
      </c>
      <c r="CI73" s="6" t="inlineStr">
        <is>
          <t>No</t>
        </is>
      </c>
      <c r="CJ73" s="6" t="n"/>
      <c r="CK73" s="6" t="n"/>
      <c r="CL73" s="6" t="n"/>
      <c r="CM73" s="6" t="n"/>
      <c r="CN73" s="6" t="n"/>
      <c r="CO73" s="6" t="n"/>
      <c r="CP73" s="6" t="n"/>
      <c r="CQ73" s="6" t="n"/>
      <c r="CR73" s="6" t="n"/>
      <c r="CS73" s="6" t="n"/>
      <c r="CT73" s="6" t="n"/>
      <c r="CU73" s="6" t="n"/>
      <c r="CV73" s="6" t="n"/>
      <c r="CW73" s="6" t="n"/>
      <c r="CX73" s="6" t="n"/>
      <c r="CY73" s="6" t="n"/>
      <c r="CZ73" s="6" t="n"/>
      <c r="DA73" s="6" t="n"/>
      <c r="DB73" s="6" t="n"/>
      <c r="DC73" s="6" t="n"/>
      <c r="DD73" s="6" t="n"/>
      <c r="DE73" s="6" t="n"/>
      <c r="DF73" s="6" t="n"/>
      <c r="DG73" s="6" t="n"/>
      <c r="DH73" s="6" t="n"/>
      <c r="DI73" s="6" t="n"/>
      <c r="DJ73" s="6" t="n"/>
      <c r="DK73" s="6" t="n"/>
      <c r="DL73" s="6" t="n"/>
      <c r="DM73" s="6" t="n"/>
      <c r="DN73" s="6" t="n"/>
      <c r="DO73" s="6" t="n"/>
      <c r="DP73" s="6" t="inlineStr">
        <is>
          <t>My country is not eligible for an RSF arrangement</t>
        </is>
      </c>
      <c r="DQ73" s="6" t="n"/>
      <c r="DR73" s="6" t="n"/>
      <c r="DS73" s="6" t="n"/>
      <c r="DT73" s="6" t="n"/>
      <c r="DU73" s="6" t="n"/>
      <c r="DV73" s="6" t="n"/>
      <c r="DW73" s="6" t="inlineStr">
        <is>
          <t>No</t>
        </is>
      </c>
      <c r="DX73" s="6" t="n"/>
      <c r="DY73" s="6" t="n"/>
      <c r="DZ73" s="6" t="n"/>
      <c r="EA73" s="6" t="n"/>
      <c r="EB73" s="6" t="n"/>
      <c r="EC73" s="6" t="n"/>
      <c r="ED73" s="6" t="n"/>
      <c r="EE73" s="6" t="n"/>
      <c r="EF73" s="6" t="inlineStr">
        <is>
          <t>Don’t know or not applicable</t>
        </is>
      </c>
      <c r="EG73" s="6" t="inlineStr">
        <is>
          <t>Don’t know or not applicable</t>
        </is>
      </c>
      <c r="EH73" s="6" t="inlineStr">
        <is>
          <t>Don’t know or not applicable</t>
        </is>
      </c>
      <c r="EI73" s="6" t="inlineStr">
        <is>
          <t>Don’t know or not applicable</t>
        </is>
      </c>
      <c r="EJ73" s="6" t="inlineStr">
        <is>
          <t>Not at all</t>
        </is>
      </c>
      <c r="EK73" s="6" t="inlineStr">
        <is>
          <t>Not at all</t>
        </is>
      </c>
      <c r="EL73" s="6" t="inlineStr">
        <is>
          <t>Not at all</t>
        </is>
      </c>
      <c r="EM73" s="6" t="n"/>
      <c r="EN73" s="6" t="n"/>
      <c r="EO73" s="6" t="n"/>
      <c r="EP73" s="6" t="n"/>
      <c r="EQ73" s="6" t="inlineStr">
        <is>
          <t>Not at all</t>
        </is>
      </c>
      <c r="ER73" s="6" t="inlineStr">
        <is>
          <t>Not at all</t>
        </is>
      </c>
      <c r="ES73" s="6" t="n"/>
      <c r="ET73" s="6" t="n"/>
      <c r="EU73" s="6" t="n"/>
      <c r="EV73" s="6" t="n"/>
      <c r="EW73" s="6" t="n"/>
      <c r="EX73" s="6" t="n"/>
      <c r="EY73" s="6" t="n"/>
      <c r="EZ73" s="6" t="n"/>
      <c r="FA73" s="6" t="n"/>
      <c r="FB73" s="6" t="n"/>
      <c r="FC73" s="6" t="n"/>
      <c r="FD73" s="6" t="n"/>
      <c r="FE73" s="6" t="n"/>
      <c r="FF73" s="6" t="n"/>
      <c r="FG73" s="6" t="n"/>
      <c r="FH73" s="6" t="n"/>
      <c r="FI73" s="6" t="n"/>
      <c r="FJ73" s="6" t="n"/>
      <c r="FK73" s="6" t="n"/>
      <c r="FL73" s="6" t="n"/>
      <c r="FM73" s="6" t="n"/>
      <c r="FN73" s="6" t="n"/>
      <c r="FO73" s="6" t="n"/>
      <c r="FP73" s="6" t="n"/>
      <c r="FQ73" s="6" t="n"/>
      <c r="FR73" s="6" t="n"/>
      <c r="FS73" s="6" t="n"/>
      <c r="FT73" s="6" t="n"/>
      <c r="FU73" s="6" t="n"/>
      <c r="FV73" s="6" t="n"/>
      <c r="FW73" s="6" t="n"/>
      <c r="FX73" s="6" t="n"/>
      <c r="FY73" s="6" t="inlineStr">
        <is>
          <t>To a slight extent</t>
        </is>
      </c>
      <c r="FZ73" s="6" t="inlineStr">
        <is>
          <t>To a moderate extent</t>
        </is>
      </c>
      <c r="GA73" s="6" t="inlineStr">
        <is>
          <t>To a great extent</t>
        </is>
      </c>
      <c r="GB73" s="6" t="inlineStr">
        <is>
          <t>To a slight extent</t>
        </is>
      </c>
      <c r="GC73" s="6" t="n"/>
      <c r="GD73" s="6" t="n"/>
      <c r="GE73" s="6" t="inlineStr">
        <is>
          <t>To a moderate extent</t>
        </is>
      </c>
      <c r="GF73" s="6" t="inlineStr">
        <is>
          <t>To a moderate extent</t>
        </is>
      </c>
      <c r="GG73" s="6" t="inlineStr">
        <is>
          <t>To a moderate extent</t>
        </is>
      </c>
      <c r="GH73" s="6" t="inlineStr">
        <is>
          <t>To a slight extent</t>
        </is>
      </c>
      <c r="GI73" s="6" t="inlineStr">
        <is>
          <t>To a great extent</t>
        </is>
      </c>
      <c r="GJ73" s="6" t="inlineStr">
        <is>
          <t>To a slight extent</t>
        </is>
      </c>
      <c r="GK73" s="6" t="n"/>
      <c r="GL73" s="7">
        <f>DATE(2025,5,27)+TIME(14,59,0)</f>
        <v/>
      </c>
    </row>
    <row r="74" ht="78.75" customHeight="1">
      <c r="A74" s="3" t="inlineStr">
        <is>
          <t>Yuki</t>
        </is>
      </c>
      <c r="B74" s="3" t="inlineStr">
        <is>
          <t>Osei</t>
        </is>
      </c>
      <c r="C74" s="3" t="inlineStr">
        <is>
          <t>yosei@organization.org</t>
        </is>
      </c>
      <c r="D74" s="3" t="inlineStr">
        <is>
          <t>XW77GX8ZT</t>
        </is>
      </c>
      <c r="E74" s="3" t="n"/>
      <c r="F74" s="3" t="inlineStr">
        <is>
          <t>OEDAC</t>
        </is>
      </c>
      <c r="G74" s="3" t="inlineStr">
        <is>
          <t>Ethiopia</t>
        </is>
      </c>
      <c r="H74" s="3" t="n"/>
      <c r="I74" s="3" t="n"/>
      <c r="J74" s="3" t="n"/>
      <c r="K74" s="3" t="n"/>
      <c r="L74" s="3" t="n"/>
      <c r="M74" s="3" t="n"/>
      <c r="N74" s="3" t="n"/>
      <c r="O74" s="3" t="n"/>
      <c r="P74" s="3" t="n"/>
      <c r="Q74" s="3" t="n"/>
      <c r="R74" s="3" t="n"/>
      <c r="S74" s="3" t="n"/>
      <c r="T74" s="3" t="n"/>
      <c r="U74" s="3" t="n"/>
      <c r="V74" s="3" t="n"/>
      <c r="W74" s="3" t="n"/>
      <c r="X74" s="3" t="n"/>
      <c r="Y74" s="3" t="n"/>
      <c r="Z74" s="3" t="n"/>
      <c r="AA74" s="3" t="n"/>
      <c r="AB74" s="3" t="n"/>
      <c r="AC74" s="3" t="n"/>
      <c r="AD74" s="3" t="n"/>
      <c r="AE74" s="3" t="n"/>
      <c r="AF74" s="4" t="inlineStr">
        <is>
          <t>Ethiopia</t>
        </is>
      </c>
      <c r="AG74" s="3" t="inlineStr">
        <is>
          <t>The IMF should engage more on climate change-related issues</t>
        </is>
      </c>
      <c r="AH74" s="3" t="inlineStr">
        <is>
          <t>To a great extent</t>
        </is>
      </c>
      <c r="AI74" s="3" t="inlineStr">
        <is>
          <t>To a moderate extent</t>
        </is>
      </c>
      <c r="AJ74" s="3" t="inlineStr">
        <is>
          <t>Don’t know or not applicable</t>
        </is>
      </c>
      <c r="AK74" s="3" t="inlineStr">
        <is>
          <t>To a great extent</t>
        </is>
      </c>
      <c r="AL74" s="3" t="inlineStr">
        <is>
          <t>To a great extent</t>
        </is>
      </c>
      <c r="AM74" s="3" t="inlineStr">
        <is>
          <t>To a great extent</t>
        </is>
      </c>
      <c r="AN74" s="3" t="inlineStr">
        <is>
          <t>To a great extent</t>
        </is>
      </c>
      <c r="AO74" s="3" t="inlineStr">
        <is>
          <t>To a great extent</t>
        </is>
      </c>
      <c r="AP74" s="3" t="inlineStr">
        <is>
          <t>To a great extent</t>
        </is>
      </c>
      <c r="AQ74" s="3" t="inlineStr">
        <is>
          <t>To a great extent</t>
        </is>
      </c>
      <c r="AR74" s="3" t="inlineStr">
        <is>
          <t>To a great extent</t>
        </is>
      </c>
      <c r="AS74" s="3" t="n"/>
      <c r="AT74" s="3" t="inlineStr">
        <is>
          <t>To a moderate extent</t>
        </is>
      </c>
      <c r="AU74" s="3" t="inlineStr">
        <is>
          <t>To a moderate extent</t>
        </is>
      </c>
      <c r="AV74" s="3" t="inlineStr">
        <is>
          <t>Not at all</t>
        </is>
      </c>
      <c r="AW74" s="3" t="inlineStr">
        <is>
          <t>To a great extent</t>
        </is>
      </c>
      <c r="AX74" s="3" t="inlineStr">
        <is>
          <t>To a great extent</t>
        </is>
      </c>
      <c r="AY74" s="3" t="inlineStr">
        <is>
          <t>To a moderate extent</t>
        </is>
      </c>
      <c r="AZ74" s="3" t="inlineStr">
        <is>
          <t>To a great extent</t>
        </is>
      </c>
      <c r="BA74" s="3" t="inlineStr">
        <is>
          <t>Not at all</t>
        </is>
      </c>
      <c r="BB74" s="3" t="inlineStr">
        <is>
          <t>To a great extent</t>
        </is>
      </c>
      <c r="BC74" s="3" t="inlineStr">
        <is>
          <t>To a great extent</t>
        </is>
      </c>
      <c r="BD74" s="3" t="inlineStr">
        <is>
          <t>To a moderate extent</t>
        </is>
      </c>
      <c r="BE74" s="3" t="inlineStr">
        <is>
          <t>Don’t know or not applicable</t>
        </is>
      </c>
      <c r="BF74" s="3" t="inlineStr">
        <is>
          <t>Don’t know or not applicable</t>
        </is>
      </c>
      <c r="BG74" s="3" t="inlineStr">
        <is>
          <t>Don’t know or not applicable</t>
        </is>
      </c>
      <c r="BH74" s="3" t="inlineStr">
        <is>
          <t>Don’t know or not applicable</t>
        </is>
      </c>
      <c r="BI74" s="3" t="inlineStr">
        <is>
          <t>Don’t know or not applicable</t>
        </is>
      </c>
      <c r="BJ74" s="3" t="inlineStr">
        <is>
          <t>To a great extent</t>
        </is>
      </c>
      <c r="BK74" s="3" t="inlineStr">
        <is>
          <t>Not at all</t>
        </is>
      </c>
      <c r="BL74" s="3" t="inlineStr">
        <is>
          <t>To a great extent</t>
        </is>
      </c>
      <c r="BM74" s="3" t="inlineStr">
        <is>
          <t>To a great extent</t>
        </is>
      </c>
      <c r="BN74" s="3" t="inlineStr">
        <is>
          <t>To a moderate extent</t>
        </is>
      </c>
      <c r="BO74" s="3" t="inlineStr">
        <is>
          <t>To a great extent</t>
        </is>
      </c>
      <c r="BP74" s="3" t="inlineStr">
        <is>
          <t>To a moderate extent</t>
        </is>
      </c>
      <c r="BQ74" s="3" t="inlineStr">
        <is>
          <t>To a moderate extent</t>
        </is>
      </c>
      <c r="BR74" s="3" t="inlineStr">
        <is>
          <t>Don’t know or not applicable</t>
        </is>
      </c>
      <c r="BS74" s="3" t="n"/>
      <c r="BT74" s="3" t="inlineStr">
        <is>
          <t>The IMF should have dedicated more resources</t>
        </is>
      </c>
      <c r="BU74" s="3" t="inlineStr">
        <is>
          <t>To a great extent</t>
        </is>
      </c>
      <c r="BV74" s="3" t="inlineStr">
        <is>
          <t>To a moderate extent</t>
        </is>
      </c>
      <c r="BW74" s="3" t="inlineStr">
        <is>
          <t>To a moderate extent</t>
        </is>
      </c>
      <c r="BX74" s="3" t="inlineStr">
        <is>
          <t>To a great extent</t>
        </is>
      </c>
      <c r="BY74" s="3" t="inlineStr">
        <is>
          <t>To a great extent</t>
        </is>
      </c>
      <c r="BZ74" s="3" t="inlineStr">
        <is>
          <t>To a great extent</t>
        </is>
      </c>
      <c r="CA74" s="3" t="inlineStr">
        <is>
          <t>To a great extent</t>
        </is>
      </c>
      <c r="CB74" s="3" t="inlineStr">
        <is>
          <t>To a moderate extent</t>
        </is>
      </c>
      <c r="CC74" s="3" t="inlineStr">
        <is>
          <t>To a moderate extent</t>
        </is>
      </c>
      <c r="CD74" s="3" t="inlineStr">
        <is>
          <t>To a great extent</t>
        </is>
      </c>
      <c r="CE74" s="3" t="inlineStr">
        <is>
          <t>To a great extent</t>
        </is>
      </c>
      <c r="CF74" s="3" t="inlineStr">
        <is>
          <t>To a great extent</t>
        </is>
      </c>
      <c r="CG74" s="3" t="n"/>
      <c r="CH74" s="3" t="inlineStr">
        <is>
          <t>No</t>
        </is>
      </c>
      <c r="CI74" s="3" t="inlineStr">
        <is>
          <t>Yes</t>
        </is>
      </c>
      <c r="CJ74" s="3" t="n"/>
      <c r="CK74" s="3" t="n"/>
      <c r="CL74" s="3" t="n"/>
      <c r="CM74" s="3" t="n"/>
      <c r="CN74" s="3" t="n"/>
      <c r="CO74" s="3" t="n"/>
      <c r="CP74" s="3" t="n"/>
      <c r="CQ74" s="3" t="n"/>
      <c r="CR74" s="3" t="n"/>
      <c r="CS74" s="3" t="n"/>
      <c r="CT74" s="3" t="n"/>
      <c r="CU74" s="3" t="n"/>
      <c r="CV74" s="3" t="n"/>
      <c r="CW74" s="3" t="n"/>
      <c r="CX74" s="3" t="n"/>
      <c r="CY74" s="3" t="n"/>
      <c r="CZ74" s="3" t="n"/>
      <c r="DA74" s="3" t="n"/>
      <c r="DB74" s="3" t="n"/>
      <c r="DC74" s="3" t="n"/>
      <c r="DD74" s="3" t="n"/>
      <c r="DE74" s="3" t="n"/>
      <c r="DF74" s="3" t="n"/>
      <c r="DG74" s="3" t="n"/>
      <c r="DH74" s="3" t="n"/>
      <c r="DI74" s="3" t="n"/>
      <c r="DJ74" s="3" t="n"/>
      <c r="DK74" s="3" t="n"/>
      <c r="DL74" s="3" t="n"/>
      <c r="DM74" s="3" t="n"/>
      <c r="DN74" s="3" t="n"/>
      <c r="DO74" s="3" t="n"/>
      <c r="DP74" s="3" t="n"/>
      <c r="DQ74" s="3" t="n"/>
      <c r="DR74" s="3" t="n"/>
      <c r="DS74" s="3" t="n"/>
      <c r="DT74" s="3" t="inlineStr">
        <is>
          <t>My country requested an RSF arrangement but it has not been approved yet or the request did not progress</t>
        </is>
      </c>
      <c r="DU74" s="3" t="n"/>
      <c r="DV74" s="3" t="n"/>
      <c r="DW74" s="3" t="inlineStr">
        <is>
          <t>Don't know</t>
        </is>
      </c>
      <c r="DX74" s="3" t="n"/>
      <c r="DY74" s="3" t="n"/>
      <c r="DZ74" s="3" t="n"/>
      <c r="EA74" s="3" t="n"/>
      <c r="EB74" s="3" t="n"/>
      <c r="EC74" s="3" t="n"/>
      <c r="ED74" s="3" t="n"/>
      <c r="EE74" s="3" t="n"/>
      <c r="EF74" s="3" t="inlineStr">
        <is>
          <t>To a slight extent</t>
        </is>
      </c>
      <c r="EG74" s="3" t="inlineStr">
        <is>
          <t>To a slight extent</t>
        </is>
      </c>
      <c r="EH74" s="3" t="inlineStr">
        <is>
          <t>To a slight extent</t>
        </is>
      </c>
      <c r="EI74" s="3" t="inlineStr">
        <is>
          <t>To a moderate extent</t>
        </is>
      </c>
      <c r="EJ74" s="3" t="inlineStr">
        <is>
          <t>To a great extent</t>
        </is>
      </c>
      <c r="EK74" s="3" t="inlineStr">
        <is>
          <t>To a slight extent</t>
        </is>
      </c>
      <c r="EL74" s="3" t="inlineStr">
        <is>
          <t>To a moderate extent</t>
        </is>
      </c>
      <c r="EM74" s="3" t="inlineStr">
        <is>
          <t>To a moderate extent</t>
        </is>
      </c>
      <c r="EN74" s="3" t="inlineStr">
        <is>
          <t>Not at all</t>
        </is>
      </c>
      <c r="EO74" s="3" t="inlineStr">
        <is>
          <t>To a moderate extent</t>
        </is>
      </c>
      <c r="EP74" s="3" t="n"/>
      <c r="EQ74" s="3" t="inlineStr">
        <is>
          <t>To a great extent</t>
        </is>
      </c>
      <c r="ER74" s="3" t="inlineStr">
        <is>
          <t>To a moderate extent</t>
        </is>
      </c>
      <c r="ES74" s="3" t="n"/>
      <c r="ET74" s="3" t="inlineStr">
        <is>
          <t>To a great extent</t>
        </is>
      </c>
      <c r="EU74" s="3" t="inlineStr">
        <is>
          <t>To a slight extent</t>
        </is>
      </c>
      <c r="EV74" s="3" t="inlineStr">
        <is>
          <t>To a great extent</t>
        </is>
      </c>
      <c r="EW74" s="3" t="inlineStr">
        <is>
          <t>Don’t know or not applicable</t>
        </is>
      </c>
      <c r="EX74" s="3" t="n"/>
      <c r="EY74" s="3" t="inlineStr">
        <is>
          <t>To a great extent</t>
        </is>
      </c>
      <c r="EZ74" s="3" t="inlineStr">
        <is>
          <t>Not at all</t>
        </is>
      </c>
      <c r="FA74" s="3" t="inlineStr">
        <is>
          <t>To a moderate extent</t>
        </is>
      </c>
      <c r="FB74" s="3" t="inlineStr">
        <is>
          <t>To a moderate extent</t>
        </is>
      </c>
      <c r="FC74" s="3" t="inlineStr">
        <is>
          <t>To a moderate extent</t>
        </is>
      </c>
      <c r="FD74" s="3" t="inlineStr">
        <is>
          <t>To a moderate extent</t>
        </is>
      </c>
      <c r="FE74" s="3" t="inlineStr">
        <is>
          <t>To a slight extent</t>
        </is>
      </c>
      <c r="FF74" s="3" t="inlineStr">
        <is>
          <t>To a slight extent</t>
        </is>
      </c>
      <c r="FG74" s="3" t="inlineStr">
        <is>
          <t>To a slight extent</t>
        </is>
      </c>
      <c r="FH74" s="3" t="inlineStr">
        <is>
          <t>To a moderate extent</t>
        </is>
      </c>
      <c r="FI74" s="3" t="inlineStr">
        <is>
          <t>To a great extent</t>
        </is>
      </c>
      <c r="FJ74" s="3" t="inlineStr">
        <is>
          <t>Not at all</t>
        </is>
      </c>
      <c r="FK74" s="3" t="inlineStr">
        <is>
          <t>To a slight extent</t>
        </is>
      </c>
      <c r="FL74" s="3" t="inlineStr">
        <is>
          <t>To a moderate extent</t>
        </is>
      </c>
      <c r="FM74" s="3" t="inlineStr">
        <is>
          <t>To a moderate extent</t>
        </is>
      </c>
      <c r="FN74" s="3" t="inlineStr">
        <is>
          <t>To a moderate extent</t>
        </is>
      </c>
      <c r="FO74" s="3" t="inlineStr">
        <is>
          <t>To a slight extent</t>
        </is>
      </c>
      <c r="FP74" s="3" t="inlineStr">
        <is>
          <t>To a slight extent</t>
        </is>
      </c>
      <c r="FQ74" s="3" t="inlineStr">
        <is>
          <t>To a slight extent</t>
        </is>
      </c>
      <c r="FR74" s="3" t="inlineStr">
        <is>
          <t>To a great extent</t>
        </is>
      </c>
      <c r="FS74" s="3" t="inlineStr">
        <is>
          <t>To a great extent</t>
        </is>
      </c>
      <c r="FT74" s="3" t="inlineStr">
        <is>
          <t>To a great extent</t>
        </is>
      </c>
      <c r="FU74" s="3" t="inlineStr">
        <is>
          <t>Don’t know or not applicable</t>
        </is>
      </c>
      <c r="FV74" s="3" t="n"/>
      <c r="FW74" s="3" t="inlineStr">
        <is>
          <t>The IMF should have dedicated more resources</t>
        </is>
      </c>
      <c r="FX74" s="3" t="n"/>
      <c r="FY74" s="3" t="inlineStr">
        <is>
          <t>To a great extent</t>
        </is>
      </c>
      <c r="FZ74" s="3" t="inlineStr">
        <is>
          <t>To a slight extent</t>
        </is>
      </c>
      <c r="GA74" s="3" t="inlineStr">
        <is>
          <t>To a great extent</t>
        </is>
      </c>
      <c r="GB74" s="3" t="inlineStr">
        <is>
          <t>To a slight extent</t>
        </is>
      </c>
      <c r="GC74" s="3" t="n"/>
      <c r="GD74" s="3" t="n"/>
      <c r="GE74" s="3" t="inlineStr">
        <is>
          <t>To a great extent</t>
        </is>
      </c>
      <c r="GF74" s="3" t="inlineStr">
        <is>
          <t>To a great extent</t>
        </is>
      </c>
      <c r="GG74" s="3" t="inlineStr">
        <is>
          <t>To a great extent</t>
        </is>
      </c>
      <c r="GH74" s="3" t="inlineStr">
        <is>
          <t>To a moderate extent</t>
        </is>
      </c>
      <c r="GI74" s="3" t="inlineStr">
        <is>
          <t>To a great extent</t>
        </is>
      </c>
      <c r="GJ74" s="3" t="inlineStr">
        <is>
          <t>To a moderate extent</t>
        </is>
      </c>
      <c r="GK74" s="3" t="n"/>
      <c r="GL74" s="5">
        <f>DATE(2025,6,16)+TIME(10,15,24)</f>
        <v/>
      </c>
    </row>
    <row r="75" ht="47.25" customHeight="1">
      <c r="A75" s="6" t="inlineStr">
        <is>
          <t>Tariq</t>
        </is>
      </c>
      <c r="B75" s="6" t="inlineStr">
        <is>
          <t>Janssen</t>
        </is>
      </c>
      <c r="C75" s="6" t="inlineStr">
        <is>
          <t>tjanssen@organization.org</t>
        </is>
      </c>
      <c r="D75" s="6" t="inlineStr">
        <is>
          <t>EKMS098EQ</t>
        </is>
      </c>
      <c r="E75" s="6" t="n"/>
      <c r="F75" s="6" t="inlineStr">
        <is>
          <t>OEDMD</t>
        </is>
      </c>
      <c r="G75" s="6" t="n"/>
      <c r="H75" s="6" t="n"/>
      <c r="I75" s="6" t="n"/>
      <c r="J75" s="6" t="n"/>
      <c r="K75" s="6" t="n"/>
      <c r="L75" s="6" t="n"/>
      <c r="M75" s="6" t="n"/>
      <c r="N75" s="6" t="n"/>
      <c r="O75" s="6" t="n"/>
      <c r="P75" s="6" t="n"/>
      <c r="Q75" s="6" t="n"/>
      <c r="R75" s="6" t="n"/>
      <c r="S75" s="6" t="n"/>
      <c r="T75" s="6" t="n"/>
      <c r="U75" s="6" t="n"/>
      <c r="V75" s="6" t="inlineStr">
        <is>
          <t>Pakistan</t>
        </is>
      </c>
      <c r="W75" s="6" t="n"/>
      <c r="X75" s="6" t="n"/>
      <c r="Y75" s="6" t="n"/>
      <c r="Z75" s="6" t="n"/>
      <c r="AA75" s="6" t="n"/>
      <c r="AB75" s="6" t="n"/>
      <c r="AC75" s="6" t="n"/>
      <c r="AD75" s="6" t="n"/>
      <c r="AE75" s="6" t="n"/>
      <c r="AF75" s="4" t="inlineStr">
        <is>
          <t>Pakistan</t>
        </is>
      </c>
      <c r="AG75" s="6" t="inlineStr">
        <is>
          <t>The IMF should engage more on climate change-related issues</t>
        </is>
      </c>
      <c r="AH75" s="6" t="inlineStr">
        <is>
          <t>To a moderate extent</t>
        </is>
      </c>
      <c r="AI75" s="6" t="inlineStr">
        <is>
          <t>To a moderate extent</t>
        </is>
      </c>
      <c r="AJ75" s="6" t="inlineStr">
        <is>
          <t>To a slight extent</t>
        </is>
      </c>
      <c r="AK75" s="6" t="inlineStr">
        <is>
          <t>To a moderate extent</t>
        </is>
      </c>
      <c r="AL75" s="6" t="inlineStr">
        <is>
          <t>To a great extent</t>
        </is>
      </c>
      <c r="AM75" s="6" t="inlineStr">
        <is>
          <t>To a great extent</t>
        </is>
      </c>
      <c r="AN75" s="6" t="inlineStr">
        <is>
          <t>Not at all</t>
        </is>
      </c>
      <c r="AO75" s="6" t="inlineStr">
        <is>
          <t>To a moderate extent</t>
        </is>
      </c>
      <c r="AP75" s="6" t="inlineStr">
        <is>
          <t>To a moderate extent</t>
        </is>
      </c>
      <c r="AQ75" s="6" t="inlineStr">
        <is>
          <t>To a moderate extent</t>
        </is>
      </c>
      <c r="AR75" s="6" t="inlineStr">
        <is>
          <t>To a slight extent</t>
        </is>
      </c>
      <c r="AS75" s="6" t="n"/>
      <c r="AT75" s="6" t="inlineStr">
        <is>
          <t>To a moderate extent</t>
        </is>
      </c>
      <c r="AU75" s="6" t="inlineStr">
        <is>
          <t>To a great extent</t>
        </is>
      </c>
      <c r="AV75" s="6" t="inlineStr">
        <is>
          <t>To a moderate extent</t>
        </is>
      </c>
      <c r="AW75" s="6" t="inlineStr">
        <is>
          <t>To a moderate extent</t>
        </is>
      </c>
      <c r="AX75" s="6" t="inlineStr">
        <is>
          <t>To a moderate extent</t>
        </is>
      </c>
      <c r="AY75" s="6" t="inlineStr">
        <is>
          <t>To a moderate extent</t>
        </is>
      </c>
      <c r="AZ75" s="6" t="inlineStr">
        <is>
          <t>To a slight extent</t>
        </is>
      </c>
      <c r="BA75" s="6" t="inlineStr">
        <is>
          <t>To a slight extent</t>
        </is>
      </c>
      <c r="BB75" s="6" t="inlineStr">
        <is>
          <t>To a moderate extent</t>
        </is>
      </c>
      <c r="BC75" s="6" t="inlineStr">
        <is>
          <t>To a moderate extent</t>
        </is>
      </c>
      <c r="BD75" s="6" t="inlineStr">
        <is>
          <t>To a moderate extent</t>
        </is>
      </c>
      <c r="BE75" s="6" t="inlineStr">
        <is>
          <t>To a moderate extent</t>
        </is>
      </c>
      <c r="BF75" s="6" t="inlineStr">
        <is>
          <t>To a slight extent</t>
        </is>
      </c>
      <c r="BG75" s="6" t="inlineStr">
        <is>
          <t>To a moderate extent</t>
        </is>
      </c>
      <c r="BH75" s="6" t="inlineStr">
        <is>
          <t>To a moderate extent</t>
        </is>
      </c>
      <c r="BI75" s="6" t="inlineStr">
        <is>
          <t>To a great extent</t>
        </is>
      </c>
      <c r="BJ75" s="6" t="inlineStr">
        <is>
          <t>To a moderate extent</t>
        </is>
      </c>
      <c r="BK75" s="6" t="inlineStr">
        <is>
          <t>To a slight extent</t>
        </is>
      </c>
      <c r="BL75" s="6" t="inlineStr">
        <is>
          <t>To a moderate extent</t>
        </is>
      </c>
      <c r="BM75" s="6" t="inlineStr">
        <is>
          <t>Don’t know or not applicable</t>
        </is>
      </c>
      <c r="BN75" s="6" t="inlineStr">
        <is>
          <t>To a moderate extent</t>
        </is>
      </c>
      <c r="BO75" s="6" t="inlineStr">
        <is>
          <t>To a great extent</t>
        </is>
      </c>
      <c r="BP75" s="6" t="inlineStr">
        <is>
          <t>To a great extent</t>
        </is>
      </c>
      <c r="BQ75" s="6" t="inlineStr">
        <is>
          <t>Don’t know or not applicable</t>
        </is>
      </c>
      <c r="BR75" s="6" t="inlineStr">
        <is>
          <t>To a moderate extent</t>
        </is>
      </c>
      <c r="BS75" s="6" t="inlineStr">
        <is>
          <t>FCDO</t>
        </is>
      </c>
      <c r="BT75" s="6" t="inlineStr">
        <is>
          <t>The IMF dedicated an appropriate amount of resources</t>
        </is>
      </c>
      <c r="BU75" s="6" t="inlineStr">
        <is>
          <t>To a moderate extent</t>
        </is>
      </c>
      <c r="BV75" s="6" t="inlineStr">
        <is>
          <t>To a moderate extent</t>
        </is>
      </c>
      <c r="BW75" s="6" t="inlineStr">
        <is>
          <t>To a great extent</t>
        </is>
      </c>
      <c r="BX75" s="6" t="inlineStr">
        <is>
          <t>To a moderate extent</t>
        </is>
      </c>
      <c r="BY75" s="6" t="inlineStr">
        <is>
          <t>To a great extent</t>
        </is>
      </c>
      <c r="BZ75" s="6" t="inlineStr">
        <is>
          <t>To a great extent</t>
        </is>
      </c>
      <c r="CA75" s="6" t="inlineStr">
        <is>
          <t>To a moderate extent</t>
        </is>
      </c>
      <c r="CB75" s="6" t="inlineStr">
        <is>
          <t>To a great extent</t>
        </is>
      </c>
      <c r="CC75" s="6" t="inlineStr">
        <is>
          <t>To a moderate extent</t>
        </is>
      </c>
      <c r="CD75" s="6" t="inlineStr">
        <is>
          <t>To a moderate extent</t>
        </is>
      </c>
      <c r="CE75" s="6" t="inlineStr">
        <is>
          <t>To a great extent</t>
        </is>
      </c>
      <c r="CF75" s="6" t="inlineStr">
        <is>
          <t>To a moderate extent</t>
        </is>
      </c>
      <c r="CG75" s="6" t="n"/>
      <c r="CH75" s="6" t="inlineStr">
        <is>
          <t>Yes</t>
        </is>
      </c>
      <c r="CI75" s="6" t="inlineStr">
        <is>
          <t>Yes</t>
        </is>
      </c>
      <c r="CJ75" s="6" t="inlineStr">
        <is>
          <t>To a great extent</t>
        </is>
      </c>
      <c r="CK75" s="6" t="inlineStr">
        <is>
          <t>To a great extent</t>
        </is>
      </c>
      <c r="CL75" s="6" t="inlineStr">
        <is>
          <t>To a great extent</t>
        </is>
      </c>
      <c r="CM75" s="6" t="inlineStr">
        <is>
          <t>To a great extent</t>
        </is>
      </c>
      <c r="CN75" s="6" t="inlineStr">
        <is>
          <t>To a great extent</t>
        </is>
      </c>
      <c r="CO75" s="6" t="inlineStr">
        <is>
          <t>To a moderate extent</t>
        </is>
      </c>
      <c r="CP75" s="6" t="inlineStr">
        <is>
          <t>To a great extent</t>
        </is>
      </c>
      <c r="CQ75" s="6" t="inlineStr">
        <is>
          <t>To a great extent</t>
        </is>
      </c>
      <c r="CR75" s="6" t="inlineStr">
        <is>
          <t>To a great extent</t>
        </is>
      </c>
      <c r="CS75" s="6" t="inlineStr">
        <is>
          <t>To a great extent</t>
        </is>
      </c>
      <c r="CT75" s="6" t="inlineStr">
        <is>
          <t>To a great extent</t>
        </is>
      </c>
      <c r="CU75" s="6" t="inlineStr">
        <is>
          <t>Don’t know or not applicable</t>
        </is>
      </c>
      <c r="CV75" s="6" t="inlineStr">
        <is>
          <t>To a slight extent</t>
        </is>
      </c>
      <c r="CW75" s="6" t="inlineStr">
        <is>
          <t>To a moderate extent</t>
        </is>
      </c>
      <c r="CX75" s="6" t="inlineStr">
        <is>
          <t>To a moderate extent</t>
        </is>
      </c>
      <c r="CY75" s="6" t="inlineStr">
        <is>
          <t>Don’t know or not applicable</t>
        </is>
      </c>
      <c r="CZ75" s="6" t="inlineStr">
        <is>
          <t>To a great extent</t>
        </is>
      </c>
      <c r="DA75" s="6" t="inlineStr">
        <is>
          <t>Don’t know or not applicable</t>
        </is>
      </c>
      <c r="DB75" s="6" t="inlineStr">
        <is>
          <t>Additional new spending</t>
        </is>
      </c>
      <c r="DC75" s="6" t="n"/>
      <c r="DD75" s="6" t="n"/>
      <c r="DE75" s="6" t="n"/>
      <c r="DF75" s="6" t="inlineStr">
        <is>
          <t>Climate change-related policies</t>
        </is>
      </c>
      <c r="DG75" s="6" t="n"/>
      <c r="DH75" s="6" t="inlineStr">
        <is>
          <t>To a moderate extent</t>
        </is>
      </c>
      <c r="DI75" s="6" t="inlineStr">
        <is>
          <t>To a moderate extent</t>
        </is>
      </c>
      <c r="DJ75" s="6" t="inlineStr">
        <is>
          <t>Don’t know or not applicable</t>
        </is>
      </c>
      <c r="DK75" s="6" t="inlineStr">
        <is>
          <t>To a great extent</t>
        </is>
      </c>
      <c r="DL75" s="6" t="inlineStr">
        <is>
          <t>To a great extent</t>
        </is>
      </c>
      <c r="DM75" s="6" t="inlineStr">
        <is>
          <t>Don’t know or not applicable</t>
        </is>
      </c>
      <c r="DN75" s="6" t="inlineStr">
        <is>
          <t>To a great extent</t>
        </is>
      </c>
      <c r="DO75" s="6" t="inlineStr">
        <is>
          <t>FCDO</t>
        </is>
      </c>
      <c r="DP75" s="6" t="n"/>
      <c r="DQ75" s="6" t="n"/>
      <c r="DR75" s="6" t="n"/>
      <c r="DS75" s="6" t="n"/>
      <c r="DT75" s="6" t="n"/>
      <c r="DU75" s="6" t="n"/>
      <c r="DV75" s="6" t="n"/>
      <c r="DW75" s="6" t="inlineStr">
        <is>
          <t>Yes</t>
        </is>
      </c>
      <c r="DX75" s="6" t="n"/>
      <c r="DY75" s="6" t="inlineStr">
        <is>
          <t>Regional development banks</t>
        </is>
      </c>
      <c r="DZ75" s="6" t="inlineStr">
        <is>
          <t>Bilateral sources</t>
        </is>
      </c>
      <c r="EA75" s="6" t="n"/>
      <c r="EB75" s="6" t="n"/>
      <c r="EC75" s="6" t="inlineStr">
        <is>
          <t>To a slight extent</t>
        </is>
      </c>
      <c r="ED75" s="6" t="inlineStr">
        <is>
          <t>To a slight extent</t>
        </is>
      </c>
      <c r="EE75" s="6" t="inlineStr">
        <is>
          <t>To a moderate extent</t>
        </is>
      </c>
      <c r="EF75" s="6" t="inlineStr">
        <is>
          <t>Not at all</t>
        </is>
      </c>
      <c r="EG75" s="6" t="inlineStr">
        <is>
          <t>Not at all</t>
        </is>
      </c>
      <c r="EH75" s="6" t="inlineStr">
        <is>
          <t>To a moderate extent</t>
        </is>
      </c>
      <c r="EI75" s="6" t="inlineStr">
        <is>
          <t>To a great extent</t>
        </is>
      </c>
      <c r="EJ75" s="6" t="inlineStr">
        <is>
          <t>To a great extent</t>
        </is>
      </c>
      <c r="EK75" s="6" t="inlineStr">
        <is>
          <t>Not at all</t>
        </is>
      </c>
      <c r="EL75" s="6" t="inlineStr">
        <is>
          <t>To a slight extent</t>
        </is>
      </c>
      <c r="EM75" s="6" t="inlineStr">
        <is>
          <t>To a slight extent</t>
        </is>
      </c>
      <c r="EN75" s="6" t="inlineStr">
        <is>
          <t>To a slight extent</t>
        </is>
      </c>
      <c r="EO75" s="6" t="inlineStr">
        <is>
          <t>To a slight extent</t>
        </is>
      </c>
      <c r="EP75" s="6" t="n"/>
      <c r="EQ75" s="6" t="inlineStr">
        <is>
          <t>To a moderate extent</t>
        </is>
      </c>
      <c r="ER75" s="6" t="inlineStr">
        <is>
          <t>To a slight extent</t>
        </is>
      </c>
      <c r="ES75" s="6" t="n"/>
      <c r="ET75" s="6" t="inlineStr">
        <is>
          <t>To a slight extent</t>
        </is>
      </c>
      <c r="EU75" s="6" t="inlineStr">
        <is>
          <t>To a slight extent</t>
        </is>
      </c>
      <c r="EV75" s="6" t="inlineStr">
        <is>
          <t>To a slight extent</t>
        </is>
      </c>
      <c r="EW75" s="6" t="inlineStr">
        <is>
          <t>Don’t know or not applicable</t>
        </is>
      </c>
      <c r="EX75" s="6" t="n"/>
      <c r="EY75" s="6" t="inlineStr">
        <is>
          <t>To a slight extent</t>
        </is>
      </c>
      <c r="EZ75" s="6" t="inlineStr">
        <is>
          <t>To a slight extent</t>
        </is>
      </c>
      <c r="FA75" s="6" t="inlineStr">
        <is>
          <t>Don’t know or not applicable</t>
        </is>
      </c>
      <c r="FB75" s="6" t="inlineStr">
        <is>
          <t>To a slight extent</t>
        </is>
      </c>
      <c r="FC75" s="6" t="inlineStr">
        <is>
          <t>To a moderate extent</t>
        </is>
      </c>
      <c r="FD75" s="6" t="inlineStr">
        <is>
          <t>To a moderate extent</t>
        </is>
      </c>
      <c r="FE75" s="6" t="inlineStr">
        <is>
          <t>Don’t know or not applicable</t>
        </is>
      </c>
      <c r="FF75" s="6" t="inlineStr">
        <is>
          <t>Don’t know or not applicable</t>
        </is>
      </c>
      <c r="FG75" s="6" t="inlineStr">
        <is>
          <t>Don’t know or not applicable</t>
        </is>
      </c>
      <c r="FH75" s="6" t="inlineStr">
        <is>
          <t>To a slight extent</t>
        </is>
      </c>
      <c r="FI75" s="6" t="inlineStr">
        <is>
          <t>To a moderate extent</t>
        </is>
      </c>
      <c r="FJ75" s="6" t="inlineStr">
        <is>
          <t>To a slight extent</t>
        </is>
      </c>
      <c r="FK75" s="6" t="inlineStr">
        <is>
          <t>Don’t know or not applicable</t>
        </is>
      </c>
      <c r="FL75" s="6" t="inlineStr">
        <is>
          <t>Don’t know or not applicable</t>
        </is>
      </c>
      <c r="FM75" s="6" t="inlineStr">
        <is>
          <t>To a moderate extent</t>
        </is>
      </c>
      <c r="FN75" s="6" t="inlineStr">
        <is>
          <t>To a moderate extent</t>
        </is>
      </c>
      <c r="FO75" s="6" t="inlineStr">
        <is>
          <t>Don’t know or not applicable</t>
        </is>
      </c>
      <c r="FP75" s="6" t="inlineStr">
        <is>
          <t>Don’t know or not applicable</t>
        </is>
      </c>
      <c r="FQ75" s="6" t="inlineStr">
        <is>
          <t>Don’t know or not applicable</t>
        </is>
      </c>
      <c r="FR75" s="6" t="inlineStr">
        <is>
          <t>Don’t know or not applicable</t>
        </is>
      </c>
      <c r="FS75" s="6" t="inlineStr">
        <is>
          <t>Don’t know or not applicable</t>
        </is>
      </c>
      <c r="FT75" s="6" t="inlineStr">
        <is>
          <t>Don’t know or not applicable</t>
        </is>
      </c>
      <c r="FU75" s="6" t="inlineStr">
        <is>
          <t>Don’t know or not applicable</t>
        </is>
      </c>
      <c r="FV75" s="6" t="n"/>
      <c r="FW75" s="6" t="inlineStr">
        <is>
          <t>The IMF should have dedicated more resources</t>
        </is>
      </c>
      <c r="FX75" s="6" t="n"/>
      <c r="FY75" s="6" t="inlineStr">
        <is>
          <t>To a great extent</t>
        </is>
      </c>
      <c r="FZ75" s="6" t="inlineStr">
        <is>
          <t>To a moderate extent</t>
        </is>
      </c>
      <c r="GA75" s="6" t="inlineStr">
        <is>
          <t>To a moderate extent</t>
        </is>
      </c>
      <c r="GB75" s="6" t="inlineStr">
        <is>
          <t>To a moderate extent</t>
        </is>
      </c>
      <c r="GC75" s="6" t="inlineStr">
        <is>
          <t>Don’t know or not applicable</t>
        </is>
      </c>
      <c r="GD75" s="6" t="n"/>
      <c r="GE75" s="6" t="inlineStr">
        <is>
          <t>To a great extent</t>
        </is>
      </c>
      <c r="GF75" s="6" t="inlineStr">
        <is>
          <t>To a great extent</t>
        </is>
      </c>
      <c r="GG75" s="6" t="inlineStr">
        <is>
          <t>To a great extent</t>
        </is>
      </c>
      <c r="GH75" s="6" t="inlineStr">
        <is>
          <t>To a moderate extent</t>
        </is>
      </c>
      <c r="GI75" s="6" t="inlineStr">
        <is>
          <t>To a moderate extent</t>
        </is>
      </c>
      <c r="GJ75" s="6" t="inlineStr">
        <is>
          <t>To a moderate extent</t>
        </is>
      </c>
      <c r="GK75" s="6" t="n"/>
      <c r="GL75" s="7">
        <f>DATE(2025,6,3)+TIME(10,37,2)</f>
        <v/>
      </c>
    </row>
    <row r="76" ht="47.25" customHeight="1">
      <c r="A76" s="3" t="inlineStr">
        <is>
          <t>Raj</t>
        </is>
      </c>
      <c r="B76" s="3" t="inlineStr">
        <is>
          <t>Santos</t>
        </is>
      </c>
      <c r="C76" s="3" t="inlineStr">
        <is>
          <t>rsantos@organization.org</t>
        </is>
      </c>
      <c r="D76" s="3" t="inlineStr">
        <is>
          <t>N6NW16I9Z</t>
        </is>
      </c>
      <c r="E76" s="3" t="n"/>
      <c r="F76" s="3" t="inlineStr">
        <is>
          <t>OEDIT</t>
        </is>
      </c>
      <c r="G76" s="3" t="n"/>
      <c r="H76" s="3" t="n"/>
      <c r="I76" s="3" t="n"/>
      <c r="J76" s="3" t="n"/>
      <c r="K76" s="3" t="n"/>
      <c r="L76" s="3" t="n"/>
      <c r="M76" s="3" t="n"/>
      <c r="N76" s="3" t="n"/>
      <c r="O76" s="3" t="n"/>
      <c r="P76" s="3" t="n"/>
      <c r="Q76" s="3" t="n"/>
      <c r="R76" s="3" t="n"/>
      <c r="S76" s="3" t="n"/>
      <c r="T76" s="3" t="inlineStr">
        <is>
          <t>Italy</t>
        </is>
      </c>
      <c r="U76" s="3" t="n"/>
      <c r="V76" s="3" t="n"/>
      <c r="W76" s="3" t="n"/>
      <c r="X76" s="3" t="n"/>
      <c r="Y76" s="3" t="n"/>
      <c r="Z76" s="3" t="n"/>
      <c r="AA76" s="3" t="n"/>
      <c r="AB76" s="3" t="n"/>
      <c r="AC76" s="3" t="n"/>
      <c r="AD76" s="3" t="n"/>
      <c r="AE76" s="3" t="n"/>
      <c r="AF76" s="4" t="inlineStr">
        <is>
          <t>Italy</t>
        </is>
      </c>
      <c r="AG76" s="3" t="inlineStr">
        <is>
          <t>The IMF should engage a similar amount on climate change-related issues</t>
        </is>
      </c>
      <c r="AH76" s="3" t="inlineStr">
        <is>
          <t>To a moderate extent</t>
        </is>
      </c>
      <c r="AI76" s="3" t="inlineStr">
        <is>
          <t>To a moderate extent</t>
        </is>
      </c>
      <c r="AJ76" s="3" t="inlineStr">
        <is>
          <t>Don’t know or not applicable</t>
        </is>
      </c>
      <c r="AK76" s="3" t="inlineStr">
        <is>
          <t>To a great extent</t>
        </is>
      </c>
      <c r="AL76" s="3" t="inlineStr">
        <is>
          <t>To a great extent</t>
        </is>
      </c>
      <c r="AM76" s="3" t="inlineStr">
        <is>
          <t>Don’t know or not applicable</t>
        </is>
      </c>
      <c r="AN76" s="3" t="inlineStr">
        <is>
          <t>Don’t know or not applicable</t>
        </is>
      </c>
      <c r="AO76" s="3" t="inlineStr">
        <is>
          <t>Don’t know or not applicable</t>
        </is>
      </c>
      <c r="AP76" s="3" t="inlineStr">
        <is>
          <t>Don’t know or not applicable</t>
        </is>
      </c>
      <c r="AQ76" s="3" t="inlineStr">
        <is>
          <t>To a moderate extent</t>
        </is>
      </c>
      <c r="AR76" s="3" t="inlineStr">
        <is>
          <t>Don’t know or not applicable</t>
        </is>
      </c>
      <c r="AS76" s="3" t="n"/>
      <c r="AT76" s="3" t="inlineStr">
        <is>
          <t>To a moderate extent</t>
        </is>
      </c>
      <c r="AU76" s="3" t="inlineStr">
        <is>
          <t>To a moderate extent</t>
        </is>
      </c>
      <c r="AV76" s="3" t="inlineStr">
        <is>
          <t>Not at all</t>
        </is>
      </c>
      <c r="AW76" s="3" t="inlineStr">
        <is>
          <t>To a slight extent</t>
        </is>
      </c>
      <c r="AX76" s="3" t="inlineStr">
        <is>
          <t>To a moderate extent</t>
        </is>
      </c>
      <c r="AY76" s="3" t="inlineStr">
        <is>
          <t>To a great extent</t>
        </is>
      </c>
      <c r="AZ76" s="3" t="inlineStr">
        <is>
          <t>To a great extent</t>
        </is>
      </c>
      <c r="BA76" s="3" t="inlineStr">
        <is>
          <t>Not at all</t>
        </is>
      </c>
      <c r="BB76" s="3" t="inlineStr">
        <is>
          <t>To a slight extent</t>
        </is>
      </c>
      <c r="BC76" s="3" t="inlineStr">
        <is>
          <t>To a moderate extent</t>
        </is>
      </c>
      <c r="BD76" s="3" t="inlineStr">
        <is>
          <t>To a great extent</t>
        </is>
      </c>
      <c r="BE76" s="3" t="inlineStr">
        <is>
          <t>Don’t know or not applicable</t>
        </is>
      </c>
      <c r="BF76" s="3" t="inlineStr">
        <is>
          <t>Don’t know or not applicable</t>
        </is>
      </c>
      <c r="BG76" s="3" t="inlineStr">
        <is>
          <t>Don’t know or not applicable</t>
        </is>
      </c>
      <c r="BH76" s="3" t="inlineStr">
        <is>
          <t>Don’t know or not applicable</t>
        </is>
      </c>
      <c r="BI76" s="3" t="inlineStr">
        <is>
          <t>Don’t know or not applicable</t>
        </is>
      </c>
      <c r="BJ76" s="3" t="inlineStr">
        <is>
          <t>To a great extent</t>
        </is>
      </c>
      <c r="BK76" s="3" t="inlineStr">
        <is>
          <t>Not at all</t>
        </is>
      </c>
      <c r="BL76" s="3" t="inlineStr">
        <is>
          <t>To a slight extent</t>
        </is>
      </c>
      <c r="BM76" s="3" t="inlineStr">
        <is>
          <t>To a moderate extent</t>
        </is>
      </c>
      <c r="BN76" s="3" t="inlineStr">
        <is>
          <t>To a great extent</t>
        </is>
      </c>
      <c r="BO76" s="3" t="inlineStr">
        <is>
          <t>Not at all</t>
        </is>
      </c>
      <c r="BP76" s="3" t="inlineStr">
        <is>
          <t>Not at all</t>
        </is>
      </c>
      <c r="BQ76" s="3" t="inlineStr">
        <is>
          <t>Not at all</t>
        </is>
      </c>
      <c r="BR76" s="3" t="inlineStr">
        <is>
          <t>Not at all</t>
        </is>
      </c>
      <c r="BS76" s="3" t="n"/>
      <c r="BT76" s="3" t="inlineStr">
        <is>
          <t>The IMF dedicated an appropriate amount of resources</t>
        </is>
      </c>
      <c r="BU76" s="3" t="inlineStr">
        <is>
          <t>To a great extent</t>
        </is>
      </c>
      <c r="BV76" s="3" t="inlineStr">
        <is>
          <t>To a great extent</t>
        </is>
      </c>
      <c r="BW76" s="3" t="inlineStr">
        <is>
          <t>To a great extent</t>
        </is>
      </c>
      <c r="BX76" s="3" t="inlineStr">
        <is>
          <t>To a great extent</t>
        </is>
      </c>
      <c r="BY76" s="3" t="inlineStr">
        <is>
          <t>To a great extent</t>
        </is>
      </c>
      <c r="BZ76" s="3" t="inlineStr">
        <is>
          <t>To a great extent</t>
        </is>
      </c>
      <c r="CA76" s="3" t="inlineStr">
        <is>
          <t>To a great extent</t>
        </is>
      </c>
      <c r="CB76" s="3" t="inlineStr">
        <is>
          <t>To a great extent</t>
        </is>
      </c>
      <c r="CC76" s="3" t="inlineStr">
        <is>
          <t>To a great extent</t>
        </is>
      </c>
      <c r="CD76" s="3" t="inlineStr">
        <is>
          <t>To a great extent</t>
        </is>
      </c>
      <c r="CE76" s="3" t="inlineStr">
        <is>
          <t>To a great extent</t>
        </is>
      </c>
      <c r="CF76" s="3" t="inlineStr">
        <is>
          <t>To a great extent</t>
        </is>
      </c>
      <c r="CG76" s="3" t="n"/>
      <c r="CH76" s="3" t="inlineStr">
        <is>
          <t>No</t>
        </is>
      </c>
      <c r="CI76" s="3" t="inlineStr">
        <is>
          <t>No</t>
        </is>
      </c>
      <c r="CJ76" s="3" t="n"/>
      <c r="CK76" s="3" t="n"/>
      <c r="CL76" s="3" t="n"/>
      <c r="CM76" s="3" t="n"/>
      <c r="CN76" s="3" t="n"/>
      <c r="CO76" s="3" t="n"/>
      <c r="CP76" s="3" t="n"/>
      <c r="CQ76" s="3" t="n"/>
      <c r="CR76" s="3" t="n"/>
      <c r="CS76" s="3" t="n"/>
      <c r="CT76" s="3" t="n"/>
      <c r="CU76" s="3" t="n"/>
      <c r="CV76" s="3" t="n"/>
      <c r="CW76" s="3" t="n"/>
      <c r="CX76" s="3" t="n"/>
      <c r="CY76" s="3" t="n"/>
      <c r="CZ76" s="3" t="n"/>
      <c r="DA76" s="3" t="n"/>
      <c r="DB76" s="3" t="n"/>
      <c r="DC76" s="3" t="n"/>
      <c r="DD76" s="3" t="n"/>
      <c r="DE76" s="3" t="n"/>
      <c r="DF76" s="3" t="n"/>
      <c r="DG76" s="3" t="n"/>
      <c r="DH76" s="3" t="n"/>
      <c r="DI76" s="3" t="n"/>
      <c r="DJ76" s="3" t="n"/>
      <c r="DK76" s="3" t="n"/>
      <c r="DL76" s="3" t="n"/>
      <c r="DM76" s="3" t="n"/>
      <c r="DN76" s="3" t="n"/>
      <c r="DO76" s="3" t="n"/>
      <c r="DP76" s="3" t="inlineStr">
        <is>
          <t>My country is not eligible for an RSF arrangement</t>
        </is>
      </c>
      <c r="DQ76" s="3" t="n"/>
      <c r="DR76" s="3" t="n"/>
      <c r="DS76" s="3" t="n"/>
      <c r="DT76" s="3" t="n"/>
      <c r="DU76" s="3" t="n"/>
      <c r="DV76" s="3" t="n"/>
      <c r="DW76" s="3" t="inlineStr">
        <is>
          <t>Yes</t>
        </is>
      </c>
      <c r="DX76" s="3" t="n"/>
      <c r="DY76" s="3" t="inlineStr">
        <is>
          <t>Regional development banks</t>
        </is>
      </c>
      <c r="DZ76" s="3" t="n"/>
      <c r="EA76" s="3" t="n"/>
      <c r="EB76" s="3" t="inlineStr">
        <is>
          <t>Other (please specify) : EU budget</t>
        </is>
      </c>
      <c r="EC76" s="3" t="inlineStr">
        <is>
          <t>Don’t know or not applicable</t>
        </is>
      </c>
      <c r="ED76" s="3" t="inlineStr">
        <is>
          <t>Don’t know or not applicable</t>
        </is>
      </c>
      <c r="EE76" s="3" t="inlineStr">
        <is>
          <t>Don’t know or not applicable</t>
        </is>
      </c>
      <c r="EF76" s="3" t="inlineStr">
        <is>
          <t>To a great extent</t>
        </is>
      </c>
      <c r="EG76" s="3" t="inlineStr">
        <is>
          <t>To a slight extent</t>
        </is>
      </c>
      <c r="EH76" s="3" t="inlineStr">
        <is>
          <t>Not at all</t>
        </is>
      </c>
      <c r="EI76" s="3" t="inlineStr">
        <is>
          <t>To a great extent</t>
        </is>
      </c>
      <c r="EJ76" s="3" t="inlineStr">
        <is>
          <t>Not at all</t>
        </is>
      </c>
      <c r="EK76" s="3" t="inlineStr">
        <is>
          <t>Not at all</t>
        </is>
      </c>
      <c r="EL76" s="3" t="inlineStr">
        <is>
          <t>To a moderate extent</t>
        </is>
      </c>
      <c r="EM76" s="3" t="n"/>
      <c r="EN76" s="3" t="n"/>
      <c r="EO76" s="3" t="n"/>
      <c r="EP76" s="3" t="n"/>
      <c r="EQ76" s="3" t="inlineStr">
        <is>
          <t>Not at all</t>
        </is>
      </c>
      <c r="ER76" s="3" t="inlineStr">
        <is>
          <t>Not at all</t>
        </is>
      </c>
      <c r="ES76" s="3" t="n"/>
      <c r="ET76" s="3" t="n"/>
      <c r="EU76" s="3" t="n"/>
      <c r="EV76" s="3" t="n"/>
      <c r="EW76" s="3" t="n"/>
      <c r="EX76" s="3" t="n"/>
      <c r="EY76" s="3" t="n"/>
      <c r="EZ76" s="3" t="n"/>
      <c r="FA76" s="3" t="n"/>
      <c r="FB76" s="3" t="n"/>
      <c r="FC76" s="3" t="n"/>
      <c r="FD76" s="3" t="n"/>
      <c r="FE76" s="3" t="n"/>
      <c r="FF76" s="3" t="n"/>
      <c r="FG76" s="3" t="n"/>
      <c r="FH76" s="3" t="n"/>
      <c r="FI76" s="3" t="n"/>
      <c r="FJ76" s="3" t="n"/>
      <c r="FK76" s="3" t="n"/>
      <c r="FL76" s="3" t="n"/>
      <c r="FM76" s="3" t="n"/>
      <c r="FN76" s="3" t="n"/>
      <c r="FO76" s="3" t="n"/>
      <c r="FP76" s="3" t="n"/>
      <c r="FQ76" s="3" t="n"/>
      <c r="FR76" s="3" t="n"/>
      <c r="FS76" s="3" t="n"/>
      <c r="FT76" s="3" t="n"/>
      <c r="FU76" s="3" t="n"/>
      <c r="FV76" s="3" t="n"/>
      <c r="FW76" s="3" t="n"/>
      <c r="FX76" s="3" t="n"/>
      <c r="FY76" s="3" t="inlineStr">
        <is>
          <t>To a slight extent</t>
        </is>
      </c>
      <c r="FZ76" s="3" t="inlineStr">
        <is>
          <t>To a great extent</t>
        </is>
      </c>
      <c r="GA76" s="3" t="inlineStr">
        <is>
          <t>To a great extent</t>
        </is>
      </c>
      <c r="GB76" s="3" t="inlineStr">
        <is>
          <t>To a great extent</t>
        </is>
      </c>
      <c r="GC76" s="3" t="n"/>
      <c r="GD76" s="3" t="n"/>
      <c r="GE76" s="3" t="inlineStr">
        <is>
          <t>To a great extent</t>
        </is>
      </c>
      <c r="GF76" s="3" t="inlineStr">
        <is>
          <t>To a moderate extent</t>
        </is>
      </c>
      <c r="GG76" s="3" t="inlineStr">
        <is>
          <t>To a great extent</t>
        </is>
      </c>
      <c r="GH76" s="3" t="inlineStr">
        <is>
          <t>To a moderate extent</t>
        </is>
      </c>
      <c r="GI76" s="3" t="inlineStr">
        <is>
          <t>To a moderate extent</t>
        </is>
      </c>
      <c r="GJ76" s="3" t="inlineStr">
        <is>
          <t>To a great extent</t>
        </is>
      </c>
      <c r="GK76" s="3" t="n"/>
      <c r="GL76" s="5">
        <f>DATE(2025,7,11)+TIME(18,10,11)</f>
        <v/>
      </c>
    </row>
    <row r="77" ht="409.5" customHeight="1">
      <c r="A77" s="6" t="inlineStr">
        <is>
          <t>Yara</t>
        </is>
      </c>
      <c r="B77" s="6" t="inlineStr">
        <is>
          <t>Yamamoto</t>
        </is>
      </c>
      <c r="C77" s="6" t="inlineStr">
        <is>
          <t>yyamamoto@organization.org</t>
        </is>
      </c>
      <c r="D77" s="6" t="inlineStr">
        <is>
          <t>BWIQMACHZ</t>
        </is>
      </c>
      <c r="E77" s="6" t="n"/>
      <c r="F77" s="6" t="inlineStr">
        <is>
          <t>OEDST</t>
        </is>
      </c>
      <c r="G77" s="6" t="n"/>
      <c r="H77" s="6" t="n"/>
      <c r="I77" s="6" t="n"/>
      <c r="J77" s="6" t="n"/>
      <c r="K77" s="6" t="n"/>
      <c r="L77" s="6" t="n"/>
      <c r="M77" s="6" t="n"/>
      <c r="N77" s="6" t="n"/>
      <c r="O77" s="6" t="n"/>
      <c r="P77" s="6" t="n"/>
      <c r="Q77" s="6" t="n"/>
      <c r="R77" s="6" t="n"/>
      <c r="S77" s="6" t="n"/>
      <c r="T77" s="6" t="n"/>
      <c r="U77" s="6" t="n"/>
      <c r="V77" s="6" t="n"/>
      <c r="W77" s="6" t="n"/>
      <c r="X77" s="6" t="n"/>
      <c r="Y77" s="6" t="n"/>
      <c r="Z77" s="6" t="n"/>
      <c r="AA77" s="6" t="n"/>
      <c r="AB77" s="6" t="inlineStr">
        <is>
          <t>Malaysia</t>
        </is>
      </c>
      <c r="AC77" s="6" t="n"/>
      <c r="AD77" s="6" t="n"/>
      <c r="AE77" s="6" t="n"/>
      <c r="AF77" s="4" t="inlineStr">
        <is>
          <t>Malaysia</t>
        </is>
      </c>
      <c r="AG77" s="6" t="inlineStr">
        <is>
          <t>The IMF should engage more on climate change-related issues</t>
        </is>
      </c>
      <c r="AH77" s="6" t="inlineStr">
        <is>
          <t>To a slight extent</t>
        </is>
      </c>
      <c r="AI77" s="6" t="inlineStr">
        <is>
          <t>To a slight extent</t>
        </is>
      </c>
      <c r="AJ77" s="6" t="inlineStr">
        <is>
          <t>Don’t know or not applicable</t>
        </is>
      </c>
      <c r="AK77" s="6" t="inlineStr">
        <is>
          <t>To a moderate extent</t>
        </is>
      </c>
      <c r="AL77" s="6" t="inlineStr">
        <is>
          <t>To a slight extent</t>
        </is>
      </c>
      <c r="AM77" s="6" t="inlineStr">
        <is>
          <t>Don’t know or not applicable</t>
        </is>
      </c>
      <c r="AN77" s="6" t="inlineStr">
        <is>
          <t>To a slight extent</t>
        </is>
      </c>
      <c r="AO77" s="6" t="inlineStr">
        <is>
          <t>Don’t know or not applicable</t>
        </is>
      </c>
      <c r="AP77" s="6" t="inlineStr">
        <is>
          <t>To a slight extent</t>
        </is>
      </c>
      <c r="AQ77" s="6" t="inlineStr">
        <is>
          <t>To a moderate extent</t>
        </is>
      </c>
      <c r="AR77" s="6" t="inlineStr">
        <is>
          <t>Don’t know or not applicable</t>
        </is>
      </c>
      <c r="AS77" s="6" t="n"/>
      <c r="AT77" s="6" t="inlineStr">
        <is>
          <t>To a moderate extent</t>
        </is>
      </c>
      <c r="AU77" s="6" t="inlineStr">
        <is>
          <t>To a slight extent</t>
        </is>
      </c>
      <c r="AV77" s="6" t="inlineStr">
        <is>
          <t>Not at all</t>
        </is>
      </c>
      <c r="AW77" s="6" t="inlineStr">
        <is>
          <t>To a slight extent</t>
        </is>
      </c>
      <c r="AX77" s="6" t="inlineStr">
        <is>
          <t>Not at all</t>
        </is>
      </c>
      <c r="AY77" s="6" t="inlineStr">
        <is>
          <t>Don’t know or not applicable</t>
        </is>
      </c>
      <c r="AZ77" s="6" t="inlineStr">
        <is>
          <t>To a slight extent</t>
        </is>
      </c>
      <c r="BA77" s="6" t="inlineStr">
        <is>
          <t>Not at all</t>
        </is>
      </c>
      <c r="BB77" s="6" t="inlineStr">
        <is>
          <t>To a slight extent</t>
        </is>
      </c>
      <c r="BC77" s="6" t="inlineStr">
        <is>
          <t>Not at all</t>
        </is>
      </c>
      <c r="BD77" s="6" t="inlineStr">
        <is>
          <t>Don’t know or not applicable</t>
        </is>
      </c>
      <c r="BE77" s="6" t="inlineStr">
        <is>
          <t>Don’t know or not applicable</t>
        </is>
      </c>
      <c r="BF77" s="6" t="inlineStr">
        <is>
          <t>Don’t know or not applicable</t>
        </is>
      </c>
      <c r="BG77" s="6" t="inlineStr">
        <is>
          <t>Don’t know or not applicable</t>
        </is>
      </c>
      <c r="BH77" s="6" t="inlineStr">
        <is>
          <t>Don’t know or not applicable</t>
        </is>
      </c>
      <c r="BI77" s="6" t="inlineStr">
        <is>
          <t>Don’t know or not applicable</t>
        </is>
      </c>
      <c r="BJ77" s="6" t="inlineStr">
        <is>
          <t>To a slight extent</t>
        </is>
      </c>
      <c r="BK77" s="6" t="inlineStr">
        <is>
          <t>Not at all</t>
        </is>
      </c>
      <c r="BL77" s="6" t="inlineStr">
        <is>
          <t>To a slight extent</t>
        </is>
      </c>
      <c r="BM77" s="6" t="inlineStr">
        <is>
          <t>Not at all</t>
        </is>
      </c>
      <c r="BN77" s="6" t="inlineStr">
        <is>
          <t>Don’t know or not applicable</t>
        </is>
      </c>
      <c r="BO77" s="6" t="inlineStr">
        <is>
          <t>To a slight extent</t>
        </is>
      </c>
      <c r="BP77" s="6" t="inlineStr">
        <is>
          <t>Don’t know or not applicable</t>
        </is>
      </c>
      <c r="BQ77" s="6" t="inlineStr">
        <is>
          <t>Don’t know or not applicable</t>
        </is>
      </c>
      <c r="BR77" s="6" t="inlineStr">
        <is>
          <t>To a moderate extent</t>
        </is>
      </c>
      <c r="BS77" s="6" t="inlineStr">
        <is>
          <t>The Central Bank and Supervisors Network for Greening the Financial System (NGFS), in relation to work on climate scenarios.</t>
        </is>
      </c>
      <c r="BT77" s="6" t="inlineStr">
        <is>
          <t>The IMF dedicated an appropriate amount of resources</t>
        </is>
      </c>
      <c r="BU77" s="6" t="inlineStr">
        <is>
          <t>To a great extent</t>
        </is>
      </c>
      <c r="BV77" s="6" t="inlineStr">
        <is>
          <t>To a great extent</t>
        </is>
      </c>
      <c r="BW77" s="6" t="inlineStr">
        <is>
          <t>To a great extent</t>
        </is>
      </c>
      <c r="BX77" s="6" t="inlineStr">
        <is>
          <t>To a great extent</t>
        </is>
      </c>
      <c r="BY77" s="6" t="inlineStr">
        <is>
          <t>To a great extent</t>
        </is>
      </c>
      <c r="BZ77" s="6" t="inlineStr">
        <is>
          <t>To a great extent</t>
        </is>
      </c>
      <c r="CA77" s="6" t="inlineStr">
        <is>
          <t>To a moderate extent</t>
        </is>
      </c>
      <c r="CB77" s="6" t="inlineStr">
        <is>
          <t>To a moderate extent</t>
        </is>
      </c>
      <c r="CC77" s="6" t="inlineStr">
        <is>
          <t>To a moderate extent</t>
        </is>
      </c>
      <c r="CD77" s="6" t="inlineStr">
        <is>
          <t>To a great extent</t>
        </is>
      </c>
      <c r="CE77" s="6" t="inlineStr">
        <is>
          <t>To a great extent</t>
        </is>
      </c>
      <c r="CF77" s="6" t="inlineStr">
        <is>
          <t>To a great extent</t>
        </is>
      </c>
      <c r="CG77" s="6" t="n"/>
      <c r="CH77" s="6" t="inlineStr">
        <is>
          <t>No</t>
        </is>
      </c>
      <c r="CI77" s="6" t="inlineStr">
        <is>
          <t>No</t>
        </is>
      </c>
      <c r="CJ77" s="6" t="n"/>
      <c r="CK77" s="6" t="n"/>
      <c r="CL77" s="6" t="n"/>
      <c r="CM77" s="6" t="n"/>
      <c r="CN77" s="6" t="n"/>
      <c r="CO77" s="6" t="n"/>
      <c r="CP77" s="6" t="n"/>
      <c r="CQ77" s="6" t="n"/>
      <c r="CR77" s="6" t="n"/>
      <c r="CS77" s="6" t="n"/>
      <c r="CT77" s="6" t="n"/>
      <c r="CU77" s="6" t="n"/>
      <c r="CV77" s="6" t="n"/>
      <c r="CW77" s="6" t="n"/>
      <c r="CX77" s="6" t="n"/>
      <c r="CY77" s="6" t="n"/>
      <c r="CZ77" s="6" t="n"/>
      <c r="DA77" s="6" t="n"/>
      <c r="DB77" s="6" t="n"/>
      <c r="DC77" s="6" t="n"/>
      <c r="DD77" s="6" t="n"/>
      <c r="DE77" s="6" t="n"/>
      <c r="DF77" s="6" t="n"/>
      <c r="DG77" s="6" t="n"/>
      <c r="DH77" s="6" t="n"/>
      <c r="DI77" s="6" t="n"/>
      <c r="DJ77" s="6" t="n"/>
      <c r="DK77" s="6" t="n"/>
      <c r="DL77" s="6" t="n"/>
      <c r="DM77" s="6" t="n"/>
      <c r="DN77" s="6" t="n"/>
      <c r="DO77" s="6" t="n"/>
      <c r="DP77" s="6" t="n"/>
      <c r="DQ77" s="6" t="n"/>
      <c r="DR77" s="6" t="n"/>
      <c r="DS77" s="6" t="n"/>
      <c r="DT77" s="6" t="n"/>
      <c r="DU77" s="6" t="n"/>
      <c r="DV77" s="6" t="inlineStr">
        <is>
          <t>Other (please specify) : The Malaysian Government does not require any external financing at the moment</t>
        </is>
      </c>
      <c r="DW77" s="6" t="inlineStr">
        <is>
          <t>Yes</t>
        </is>
      </c>
      <c r="DX77" s="6" t="n"/>
      <c r="DY77" s="6" t="n"/>
      <c r="DZ77" s="6" t="n"/>
      <c r="EA77" s="6" t="n"/>
      <c r="EB77" s="6" t="inlineStr">
        <is>
          <t>Other (please specify) : Green Climate Fund, Global Environment Facility, Adaptation Fund</t>
        </is>
      </c>
      <c r="EC77" s="6" t="inlineStr">
        <is>
          <t>Don’t know or not applicable</t>
        </is>
      </c>
      <c r="ED77" s="6" t="inlineStr">
        <is>
          <t>Don’t know or not applicable</t>
        </is>
      </c>
      <c r="EE77" s="6" t="inlineStr">
        <is>
          <t>Don’t know or not applicable</t>
        </is>
      </c>
      <c r="EF77" s="6" t="inlineStr">
        <is>
          <t>Don’t know or not applicable</t>
        </is>
      </c>
      <c r="EG77" s="6" t="inlineStr">
        <is>
          <t>Don’t know or not applicable</t>
        </is>
      </c>
      <c r="EH77" s="6" t="inlineStr">
        <is>
          <t>Don’t know or not applicable</t>
        </is>
      </c>
      <c r="EI77" s="6" t="inlineStr">
        <is>
          <t>Don’t know or not applicable</t>
        </is>
      </c>
      <c r="EJ77" s="6" t="inlineStr">
        <is>
          <t>Don’t know or not applicable</t>
        </is>
      </c>
      <c r="EK77" s="6" t="inlineStr">
        <is>
          <t>Don’t know or not applicable</t>
        </is>
      </c>
      <c r="EL77" s="6" t="inlineStr">
        <is>
          <t>Don’t know or not applicable</t>
        </is>
      </c>
      <c r="EM77" s="6" t="n"/>
      <c r="EN77" s="6" t="n"/>
      <c r="EO77" s="6" t="n"/>
      <c r="EP77" s="6" t="n"/>
      <c r="EQ77" s="6" t="inlineStr">
        <is>
          <t>Not at all</t>
        </is>
      </c>
      <c r="ER77" s="6" t="inlineStr">
        <is>
          <t>To a slight extent</t>
        </is>
      </c>
      <c r="ES77" s="6" t="n"/>
      <c r="ET77" s="6" t="n"/>
      <c r="EU77" s="6" t="n"/>
      <c r="EV77" s="6" t="n"/>
      <c r="EW77" s="6" t="n"/>
      <c r="EX77" s="6" t="n"/>
      <c r="EY77" s="6" t="n"/>
      <c r="EZ77" s="6" t="n"/>
      <c r="FA77" s="6" t="n"/>
      <c r="FB77" s="6" t="n"/>
      <c r="FC77" s="6" t="n"/>
      <c r="FD77" s="6" t="n"/>
      <c r="FE77" s="6" t="n"/>
      <c r="FF77" s="6" t="n"/>
      <c r="FG77" s="6" t="n"/>
      <c r="FH77" s="6" t="inlineStr">
        <is>
          <t>Don’t know or not applicable</t>
        </is>
      </c>
      <c r="FI77" s="6" t="inlineStr">
        <is>
          <t>Don’t know or not applicable</t>
        </is>
      </c>
      <c r="FJ77" s="6" t="inlineStr">
        <is>
          <t>Don’t know or not applicable</t>
        </is>
      </c>
      <c r="FK77" s="6" t="inlineStr">
        <is>
          <t>Don’t know or not applicable</t>
        </is>
      </c>
      <c r="FL77" s="6" t="inlineStr">
        <is>
          <t>Don’t know or not applicable</t>
        </is>
      </c>
      <c r="FM77" s="6" t="inlineStr">
        <is>
          <t>Don’t know or not applicable</t>
        </is>
      </c>
      <c r="FN77" s="6" t="inlineStr">
        <is>
          <t>Don’t know or not applicable</t>
        </is>
      </c>
      <c r="FO77" s="6" t="inlineStr">
        <is>
          <t>Don’t know or not applicable</t>
        </is>
      </c>
      <c r="FP77" s="6" t="inlineStr">
        <is>
          <t>Don’t know or not applicable</t>
        </is>
      </c>
      <c r="FQ77" s="6" t="inlineStr">
        <is>
          <t>Don’t know or not applicable</t>
        </is>
      </c>
      <c r="FR77" s="6" t="inlineStr">
        <is>
          <t>Don’t know or not applicable</t>
        </is>
      </c>
      <c r="FS77" s="6" t="inlineStr">
        <is>
          <t>Don’t know or not applicable</t>
        </is>
      </c>
      <c r="FT77" s="6" t="inlineStr">
        <is>
          <t>Don’t know or not applicable</t>
        </is>
      </c>
      <c r="FU77" s="6" t="inlineStr">
        <is>
          <t>Don’t know or not applicable</t>
        </is>
      </c>
      <c r="FV77" s="6" t="n"/>
      <c r="FW77" s="6" t="inlineStr">
        <is>
          <t>The IMF should have dedicated more resources</t>
        </is>
      </c>
      <c r="FX77" s="6" t="n"/>
      <c r="FY77" s="6" t="inlineStr">
        <is>
          <t>To a great extent</t>
        </is>
      </c>
      <c r="FZ77" s="6" t="inlineStr">
        <is>
          <t>To a great extent</t>
        </is>
      </c>
      <c r="GA77" s="6" t="inlineStr">
        <is>
          <t>To a great extent</t>
        </is>
      </c>
      <c r="GB77" s="6" t="inlineStr">
        <is>
          <t>To a moderate extent</t>
        </is>
      </c>
      <c r="GC77" s="6" t="n"/>
      <c r="GD77" s="6" t="n"/>
      <c r="GE77" s="6" t="inlineStr">
        <is>
          <t>To a slight extent</t>
        </is>
      </c>
      <c r="GF77" s="6" t="inlineStr">
        <is>
          <t>To a great extent</t>
        </is>
      </c>
      <c r="GG77" s="6" t="inlineStr">
        <is>
          <t>To a slight extent</t>
        </is>
      </c>
      <c r="GH77" s="6" t="inlineStr">
        <is>
          <t>To a slight extent</t>
        </is>
      </c>
      <c r="GI77" s="6" t="inlineStr">
        <is>
          <t>To a slight extent</t>
        </is>
      </c>
      <c r="GJ77" s="6" t="inlineStr">
        <is>
          <t>To a slight extent</t>
        </is>
      </c>
      <c r="GK77" s="6" t="inlineStr">
        <is>
          <t>Climate risk has increasing significance and there is global urgency to manage this risk to ensure financial and macroeconomic stability. We appreciate the IMF’s commitment and interest in addressing climate risk and would like to propose these actionable recommendations to enhance its efforts:
1. The IMF needs to deepen its support by fostering knowledge exchange and capacity-building initiatives focused on climate risk and climate data-related issues. Given the critical role of technical expertise in shaping effective climate policies and conducting risk assessments, this would help bridge one of the most significant gaps facing policymakers today.
2. By leveraging its extensive cross-country analysis, the IMF needs to offer more targeted policy insights and best practices. The IMF’s global perspective could deliver invaluable contributions to advancing national and regional climate strategies.
3. On climate scenarios, the IMF needs to complement the work of the NGFS by focusing its research on the monetary policy aspects when assessing the impact of the various climate scenarios by the NGFS.
4. Given the increasing importance of nature-related risks such as biodiversity loss and ecosystem degradation, and their impact on macroeconomic and financial stability, the IMF needs to deepen its engagement on this area for completeness.</t>
        </is>
      </c>
      <c r="GL77" s="7">
        <f>DATE(2025,6,13)+TIME(12,19,58)</f>
        <v/>
      </c>
    </row>
    <row r="78" ht="47.25" customHeight="1">
      <c r="A78" s="3" t="inlineStr">
        <is>
          <t>Isla</t>
        </is>
      </c>
      <c r="B78" s="3" t="inlineStr">
        <is>
          <t>Visser</t>
        </is>
      </c>
      <c r="C78" s="3" t="inlineStr">
        <is>
          <t>ivisser@organization.org</t>
        </is>
      </c>
      <c r="D78" s="3" t="inlineStr">
        <is>
          <t>9OU0G5VJW</t>
        </is>
      </c>
      <c r="E78" s="3" t="n"/>
      <c r="F78" s="3" t="inlineStr">
        <is>
          <t>OEDNE</t>
        </is>
      </c>
      <c r="G78" s="3" t="n"/>
      <c r="H78" s="3" t="n"/>
      <c r="I78" s="3" t="n"/>
      <c r="J78" s="3" t="n"/>
      <c r="K78" s="3" t="n"/>
      <c r="L78" s="3" t="n"/>
      <c r="M78" s="3" t="n"/>
      <c r="N78" s="3" t="n"/>
      <c r="O78" s="3" t="n"/>
      <c r="P78" s="3" t="n"/>
      <c r="Q78" s="3" t="n"/>
      <c r="R78" s="3" t="n"/>
      <c r="S78" s="3" t="n"/>
      <c r="T78" s="3" t="n"/>
      <c r="U78" s="3" t="n"/>
      <c r="V78" s="3" t="n"/>
      <c r="W78" s="3" t="n"/>
      <c r="X78" s="3" t="inlineStr">
        <is>
          <t>Bulgaria</t>
        </is>
      </c>
      <c r="Y78" s="3" t="n"/>
      <c r="Z78" s="3" t="n"/>
      <c r="AA78" s="3" t="n"/>
      <c r="AB78" s="3" t="n"/>
      <c r="AC78" s="3" t="n"/>
      <c r="AD78" s="3" t="n"/>
      <c r="AE78" s="3" t="n"/>
      <c r="AF78" s="4" t="inlineStr">
        <is>
          <t>Bulgaria</t>
        </is>
      </c>
      <c r="AG78" s="3" t="inlineStr">
        <is>
          <t>The IMF should engage less on climate change-related issues</t>
        </is>
      </c>
      <c r="AH78" s="3" t="inlineStr">
        <is>
          <t>Don’t know or not applicable</t>
        </is>
      </c>
      <c r="AI78" s="3" t="inlineStr">
        <is>
          <t>To a great extent</t>
        </is>
      </c>
      <c r="AJ78" s="3" t="inlineStr">
        <is>
          <t>Don’t know or not applicable</t>
        </is>
      </c>
      <c r="AK78" s="3" t="inlineStr">
        <is>
          <t>To a great extent</t>
        </is>
      </c>
      <c r="AL78" s="3" t="inlineStr">
        <is>
          <t>Don’t know or not applicable</t>
        </is>
      </c>
      <c r="AM78" s="3" t="inlineStr">
        <is>
          <t>Don’t know or not applicable</t>
        </is>
      </c>
      <c r="AN78" s="3" t="inlineStr">
        <is>
          <t>Don’t know or not applicable</t>
        </is>
      </c>
      <c r="AO78" s="3" t="inlineStr">
        <is>
          <t>Don’t know or not applicable</t>
        </is>
      </c>
      <c r="AP78" s="3" t="inlineStr">
        <is>
          <t>Don’t know or not applicable</t>
        </is>
      </c>
      <c r="AQ78" s="3" t="inlineStr">
        <is>
          <t>Don’t know or not applicable</t>
        </is>
      </c>
      <c r="AR78" s="3" t="inlineStr">
        <is>
          <t>To a great extent</t>
        </is>
      </c>
      <c r="AS78" s="3" t="n"/>
      <c r="AT78" s="3" t="inlineStr">
        <is>
          <t>Not at all</t>
        </is>
      </c>
      <c r="AU78" s="3" t="inlineStr">
        <is>
          <t>Not at all</t>
        </is>
      </c>
      <c r="AV78" s="3" t="inlineStr">
        <is>
          <t>Not at all</t>
        </is>
      </c>
      <c r="AW78" s="3" t="inlineStr">
        <is>
          <t>Don’t know or not applicable</t>
        </is>
      </c>
      <c r="AX78" s="3" t="inlineStr">
        <is>
          <t>Don’t know or not applicable</t>
        </is>
      </c>
      <c r="AY78" s="3" t="inlineStr">
        <is>
          <t>Don’t know or not applicable</t>
        </is>
      </c>
      <c r="AZ78" s="3" t="inlineStr">
        <is>
          <t>To a moderate extent</t>
        </is>
      </c>
      <c r="BA78" s="3" t="inlineStr">
        <is>
          <t>To a slight extent</t>
        </is>
      </c>
      <c r="BB78" s="3" t="inlineStr">
        <is>
          <t>To a slight extent</t>
        </is>
      </c>
      <c r="BC78" s="3" t="inlineStr">
        <is>
          <t>Not at all</t>
        </is>
      </c>
      <c r="BD78" s="3" t="inlineStr">
        <is>
          <t>To a great extent</t>
        </is>
      </c>
      <c r="BE78" s="3" t="inlineStr">
        <is>
          <t>Not at all</t>
        </is>
      </c>
      <c r="BF78" s="3" t="inlineStr">
        <is>
          <t>Not at all</t>
        </is>
      </c>
      <c r="BG78" s="3" t="inlineStr">
        <is>
          <t>Don’t know or not applicable</t>
        </is>
      </c>
      <c r="BH78" s="3" t="inlineStr">
        <is>
          <t>Don’t know or not applicable</t>
        </is>
      </c>
      <c r="BI78" s="3" t="inlineStr">
        <is>
          <t>Don’t know or not applicable</t>
        </is>
      </c>
      <c r="BJ78" s="3" t="inlineStr">
        <is>
          <t>To a moderate extent</t>
        </is>
      </c>
      <c r="BK78" s="3" t="inlineStr">
        <is>
          <t>To a slight extent</t>
        </is>
      </c>
      <c r="BL78" s="3" t="inlineStr">
        <is>
          <t>To a moderate extent</t>
        </is>
      </c>
      <c r="BM78" s="3" t="inlineStr">
        <is>
          <t>Don’t know or not applicable</t>
        </is>
      </c>
      <c r="BN78" s="3" t="inlineStr">
        <is>
          <t>To a great extent</t>
        </is>
      </c>
      <c r="BO78" s="3" t="inlineStr">
        <is>
          <t>Don’t know or not applicable</t>
        </is>
      </c>
      <c r="BP78" s="3" t="inlineStr">
        <is>
          <t>Don’t know or not applicable</t>
        </is>
      </c>
      <c r="BQ78" s="3" t="inlineStr">
        <is>
          <t>Don’t know or not applicable</t>
        </is>
      </c>
      <c r="BR78" s="3" t="inlineStr">
        <is>
          <t>Don’t know or not applicable</t>
        </is>
      </c>
      <c r="BS78" s="3" t="n"/>
      <c r="BT78" s="3" t="inlineStr">
        <is>
          <t>The IMF dedicated an appropriate amount of resources</t>
        </is>
      </c>
      <c r="BU78" s="3" t="inlineStr">
        <is>
          <t>To a slight extent</t>
        </is>
      </c>
      <c r="BV78" s="3" t="inlineStr">
        <is>
          <t>To a slight extent</t>
        </is>
      </c>
      <c r="BW78" s="3" t="inlineStr">
        <is>
          <t>To a slight extent</t>
        </is>
      </c>
      <c r="BX78" s="3" t="inlineStr">
        <is>
          <t>To a slight extent</t>
        </is>
      </c>
      <c r="BY78" s="3" t="inlineStr">
        <is>
          <t>To a slight extent</t>
        </is>
      </c>
      <c r="BZ78" s="3" t="inlineStr">
        <is>
          <t>To a slight extent</t>
        </is>
      </c>
      <c r="CA78" s="3" t="inlineStr">
        <is>
          <t>To a slight extent</t>
        </is>
      </c>
      <c r="CB78" s="3" t="inlineStr">
        <is>
          <t>To a slight extent</t>
        </is>
      </c>
      <c r="CC78" s="3" t="inlineStr">
        <is>
          <t>To a slight extent</t>
        </is>
      </c>
      <c r="CD78" s="3" t="inlineStr">
        <is>
          <t>To a slight extent</t>
        </is>
      </c>
      <c r="CE78" s="3" t="inlineStr">
        <is>
          <t>To a slight extent</t>
        </is>
      </c>
      <c r="CF78" s="3" t="inlineStr">
        <is>
          <t>To a slight extent</t>
        </is>
      </c>
      <c r="CG78" s="3" t="n"/>
      <c r="CH78" s="3" t="inlineStr">
        <is>
          <t>No</t>
        </is>
      </c>
      <c r="CI78" s="3" t="inlineStr">
        <is>
          <t>No</t>
        </is>
      </c>
      <c r="CJ78" s="3" t="n"/>
      <c r="CK78" s="3" t="n"/>
      <c r="CL78" s="3" t="n"/>
      <c r="CM78" s="3" t="n"/>
      <c r="CN78" s="3" t="n"/>
      <c r="CO78" s="3" t="n"/>
      <c r="CP78" s="3" t="n"/>
      <c r="CQ78" s="3" t="n"/>
      <c r="CR78" s="3" t="n"/>
      <c r="CS78" s="3" t="n"/>
      <c r="CT78" s="3" t="n"/>
      <c r="CU78" s="3" t="n"/>
      <c r="CV78" s="3" t="n"/>
      <c r="CW78" s="3" t="n"/>
      <c r="CX78" s="3" t="n"/>
      <c r="CY78" s="3" t="n"/>
      <c r="CZ78" s="3" t="n"/>
      <c r="DA78" s="3" t="n"/>
      <c r="DB78" s="3" t="n"/>
      <c r="DC78" s="3" t="n"/>
      <c r="DD78" s="3" t="n"/>
      <c r="DE78" s="3" t="n"/>
      <c r="DF78" s="3" t="n"/>
      <c r="DG78" s="3" t="n"/>
      <c r="DH78" s="3" t="n"/>
      <c r="DI78" s="3" t="n"/>
      <c r="DJ78" s="3" t="n"/>
      <c r="DK78" s="3" t="n"/>
      <c r="DL78" s="3" t="n"/>
      <c r="DM78" s="3" t="n"/>
      <c r="DN78" s="3" t="n"/>
      <c r="DO78" s="3" t="n"/>
      <c r="DP78" s="3" t="n"/>
      <c r="DQ78" s="3" t="inlineStr">
        <is>
          <t>Climate change does not pose a major balance of payments risk in my country</t>
        </is>
      </c>
      <c r="DR78" s="3" t="n"/>
      <c r="DS78" s="3" t="n"/>
      <c r="DT78" s="3" t="n"/>
      <c r="DU78" s="3" t="n"/>
      <c r="DV78" s="3" t="n"/>
      <c r="DW78" s="3" t="inlineStr">
        <is>
          <t>Don't know</t>
        </is>
      </c>
      <c r="DX78" s="3" t="n"/>
      <c r="DY78" s="3" t="n"/>
      <c r="DZ78" s="3" t="n"/>
      <c r="EA78" s="3" t="n"/>
      <c r="EB78" s="3" t="n"/>
      <c r="EC78" s="3" t="n"/>
      <c r="ED78" s="3" t="n"/>
      <c r="EE78" s="3" t="n"/>
      <c r="EF78" s="3" t="inlineStr">
        <is>
          <t>To a great extent</t>
        </is>
      </c>
      <c r="EG78" s="3" t="inlineStr">
        <is>
          <t>Don’t know or not applicable</t>
        </is>
      </c>
      <c r="EH78" s="3" t="inlineStr">
        <is>
          <t>To a moderate extent</t>
        </is>
      </c>
      <c r="EI78" s="3" t="inlineStr">
        <is>
          <t>To a great extent</t>
        </is>
      </c>
      <c r="EJ78" s="3" t="inlineStr">
        <is>
          <t>Not at all</t>
        </is>
      </c>
      <c r="EK78" s="3" t="inlineStr">
        <is>
          <t>Not at all</t>
        </is>
      </c>
      <c r="EL78" s="3" t="inlineStr">
        <is>
          <t>Not at all</t>
        </is>
      </c>
      <c r="EM78" s="3" t="n"/>
      <c r="EN78" s="3" t="n"/>
      <c r="EO78" s="3" t="n"/>
      <c r="EP78" s="3" t="n"/>
      <c r="EQ78" s="3" t="inlineStr">
        <is>
          <t>Not at all</t>
        </is>
      </c>
      <c r="ER78" s="3" t="inlineStr">
        <is>
          <t>Not at all</t>
        </is>
      </c>
      <c r="ES78" s="3" t="n"/>
      <c r="ET78" s="3" t="n"/>
      <c r="EU78" s="3" t="n"/>
      <c r="EV78" s="3" t="n"/>
      <c r="EW78" s="3" t="n"/>
      <c r="EX78" s="3" t="n"/>
      <c r="EY78" s="3" t="n"/>
      <c r="EZ78" s="3" t="n"/>
      <c r="FA78" s="3" t="n"/>
      <c r="FB78" s="3" t="n"/>
      <c r="FC78" s="3" t="n"/>
      <c r="FD78" s="3" t="n"/>
      <c r="FE78" s="3" t="n"/>
      <c r="FF78" s="3" t="n"/>
      <c r="FG78" s="3" t="n"/>
      <c r="FH78" s="3" t="n"/>
      <c r="FI78" s="3" t="n"/>
      <c r="FJ78" s="3" t="n"/>
      <c r="FK78" s="3" t="n"/>
      <c r="FL78" s="3" t="n"/>
      <c r="FM78" s="3" t="n"/>
      <c r="FN78" s="3" t="n"/>
      <c r="FO78" s="3" t="n"/>
      <c r="FP78" s="3" t="n"/>
      <c r="FQ78" s="3" t="n"/>
      <c r="FR78" s="3" t="n"/>
      <c r="FS78" s="3" t="n"/>
      <c r="FT78" s="3" t="n"/>
      <c r="FU78" s="3" t="n"/>
      <c r="FV78" s="3" t="n"/>
      <c r="FW78" s="3" t="n"/>
      <c r="FX78" s="3" t="n"/>
      <c r="FY78" s="3" t="inlineStr">
        <is>
          <t>To a great extent</t>
        </is>
      </c>
      <c r="FZ78" s="3" t="inlineStr">
        <is>
          <t>To a moderate extent</t>
        </is>
      </c>
      <c r="GA78" s="3" t="inlineStr">
        <is>
          <t>To a great extent</t>
        </is>
      </c>
      <c r="GB78" s="3" t="inlineStr">
        <is>
          <t>To a moderate extent</t>
        </is>
      </c>
      <c r="GC78" s="3" t="inlineStr">
        <is>
          <t>Don’t know or not applicable</t>
        </is>
      </c>
      <c r="GD78" s="3" t="n"/>
      <c r="GE78" s="3" t="inlineStr">
        <is>
          <t>To a slight extent</t>
        </is>
      </c>
      <c r="GF78" s="3" t="inlineStr">
        <is>
          <t>To a slight extent</t>
        </is>
      </c>
      <c r="GG78" s="3" t="inlineStr">
        <is>
          <t>To a moderate extent</t>
        </is>
      </c>
      <c r="GH78" s="3" t="inlineStr">
        <is>
          <t>To a slight extent</t>
        </is>
      </c>
      <c r="GI78" s="3" t="inlineStr">
        <is>
          <t>To a moderate extent</t>
        </is>
      </c>
      <c r="GJ78" s="3" t="inlineStr">
        <is>
          <t>To a moderate extent</t>
        </is>
      </c>
      <c r="GK78" s="3" t="n"/>
      <c r="GL78" s="5">
        <f>DATE(2025,6,4)+TIME(12,8,50)</f>
        <v/>
      </c>
    </row>
    <row r="79" ht="409.5" customHeight="1">
      <c r="A79" s="6" t="inlineStr">
        <is>
          <t>Victor</t>
        </is>
      </c>
      <c r="B79" s="6" t="inlineStr">
        <is>
          <t>Reyes</t>
        </is>
      </c>
      <c r="C79" s="6" t="inlineStr">
        <is>
          <t>vreyes@organization.org</t>
        </is>
      </c>
      <c r="D79" s="6" t="inlineStr">
        <is>
          <t>55LD1WIA8</t>
        </is>
      </c>
      <c r="E79" s="6" t="n"/>
      <c r="F79" s="6" t="inlineStr">
        <is>
          <t>OEDST</t>
        </is>
      </c>
      <c r="G79" s="6" t="n"/>
      <c r="H79" s="6" t="n"/>
      <c r="I79" s="6" t="n"/>
      <c r="J79" s="6" t="n"/>
      <c r="K79" s="6" t="n"/>
      <c r="L79" s="6" t="n"/>
      <c r="M79" s="6" t="n"/>
      <c r="N79" s="6" t="n"/>
      <c r="O79" s="6" t="n"/>
      <c r="P79" s="6" t="n"/>
      <c r="Q79" s="6" t="n"/>
      <c r="R79" s="6" t="n"/>
      <c r="S79" s="6" t="n"/>
      <c r="T79" s="6" t="n"/>
      <c r="U79" s="6" t="n"/>
      <c r="V79" s="6" t="n"/>
      <c r="W79" s="6" t="n"/>
      <c r="X79" s="6" t="n"/>
      <c r="Y79" s="6" t="n"/>
      <c r="Z79" s="6" t="n"/>
      <c r="AA79" s="6" t="n"/>
      <c r="AB79" s="6" t="inlineStr">
        <is>
          <t>Fiji</t>
        </is>
      </c>
      <c r="AC79" s="6" t="n"/>
      <c r="AD79" s="6" t="n"/>
      <c r="AE79" s="6" t="n"/>
      <c r="AF79" s="4" t="inlineStr">
        <is>
          <t>Fiji</t>
        </is>
      </c>
      <c r="AG79" s="6" t="inlineStr">
        <is>
          <t>The IMF should engage more on climate change-related issues</t>
        </is>
      </c>
      <c r="AH79" s="6" t="inlineStr">
        <is>
          <t>To a great extent</t>
        </is>
      </c>
      <c r="AI79" s="6" t="inlineStr">
        <is>
          <t>To a great extent</t>
        </is>
      </c>
      <c r="AJ79" s="6" t="inlineStr">
        <is>
          <t>To a great extent</t>
        </is>
      </c>
      <c r="AK79" s="6" t="inlineStr">
        <is>
          <t>To a great extent</t>
        </is>
      </c>
      <c r="AL79" s="6" t="inlineStr">
        <is>
          <t>To a great extent</t>
        </is>
      </c>
      <c r="AM79" s="6" t="inlineStr">
        <is>
          <t>Not at all</t>
        </is>
      </c>
      <c r="AN79" s="6" t="inlineStr">
        <is>
          <t>Not at all</t>
        </is>
      </c>
      <c r="AO79" s="6" t="inlineStr">
        <is>
          <t>To a great extent</t>
        </is>
      </c>
      <c r="AP79" s="6" t="inlineStr">
        <is>
          <t>To a moderate extent</t>
        </is>
      </c>
      <c r="AQ79" s="6" t="inlineStr">
        <is>
          <t>To a great extent</t>
        </is>
      </c>
      <c r="AR79" s="6" t="inlineStr">
        <is>
          <t>To a great extent</t>
        </is>
      </c>
      <c r="AS79" s="6" t="n"/>
      <c r="AT79" s="6" t="inlineStr">
        <is>
          <t>To a moderate extent</t>
        </is>
      </c>
      <c r="AU79" s="6" t="inlineStr">
        <is>
          <t>To a moderate extent</t>
        </is>
      </c>
      <c r="AV79" s="6" t="inlineStr">
        <is>
          <t>Not at all</t>
        </is>
      </c>
      <c r="AW79" s="6" t="inlineStr">
        <is>
          <t>To a great extent</t>
        </is>
      </c>
      <c r="AX79" s="6" t="inlineStr">
        <is>
          <t>To a slight extent</t>
        </is>
      </c>
      <c r="AY79" s="6" t="inlineStr">
        <is>
          <t>Don’t know or not applicable</t>
        </is>
      </c>
      <c r="AZ79" s="6" t="inlineStr">
        <is>
          <t>To a great extent</t>
        </is>
      </c>
      <c r="BA79" s="6" t="inlineStr">
        <is>
          <t>Not at all</t>
        </is>
      </c>
      <c r="BB79" s="6" t="inlineStr">
        <is>
          <t>To a great extent</t>
        </is>
      </c>
      <c r="BC79" s="6" t="inlineStr">
        <is>
          <t>To a moderate extent</t>
        </is>
      </c>
      <c r="BD79" s="6" t="inlineStr">
        <is>
          <t>To a moderate extent</t>
        </is>
      </c>
      <c r="BE79" s="6" t="inlineStr">
        <is>
          <t>Don’t know or not applicable</t>
        </is>
      </c>
      <c r="BF79" s="6" t="inlineStr">
        <is>
          <t>Don’t know or not applicable</t>
        </is>
      </c>
      <c r="BG79" s="6" t="inlineStr">
        <is>
          <t>Don’t know or not applicable</t>
        </is>
      </c>
      <c r="BH79" s="6" t="inlineStr">
        <is>
          <t>Don’t know or not applicable</t>
        </is>
      </c>
      <c r="BI79" s="6" t="inlineStr">
        <is>
          <t>Don’t know or not applicable</t>
        </is>
      </c>
      <c r="BJ79" s="6" t="inlineStr">
        <is>
          <t>To a great extent</t>
        </is>
      </c>
      <c r="BK79" s="6" t="inlineStr">
        <is>
          <t>Not at all</t>
        </is>
      </c>
      <c r="BL79" s="6" t="inlineStr">
        <is>
          <t>To a great extent</t>
        </is>
      </c>
      <c r="BM79" s="6" t="inlineStr">
        <is>
          <t>To a moderate extent</t>
        </is>
      </c>
      <c r="BN79" s="6" t="inlineStr">
        <is>
          <t>To a moderate extent</t>
        </is>
      </c>
      <c r="BO79" s="6" t="inlineStr">
        <is>
          <t>To a moderate extent</t>
        </is>
      </c>
      <c r="BP79" s="6" t="inlineStr">
        <is>
          <t>To a slight extent</t>
        </is>
      </c>
      <c r="BQ79" s="6" t="inlineStr">
        <is>
          <t>To a slight extent</t>
        </is>
      </c>
      <c r="BR79" s="6" t="inlineStr">
        <is>
          <t>Don’t know or not applicable</t>
        </is>
      </c>
      <c r="BS79" s="6" t="n"/>
      <c r="BT79" s="6" t="inlineStr">
        <is>
          <t>The IMF dedicated an appropriate amount of resources</t>
        </is>
      </c>
      <c r="BU79" s="6" t="inlineStr">
        <is>
          <t>To a great extent</t>
        </is>
      </c>
      <c r="BV79" s="6" t="inlineStr">
        <is>
          <t>To a moderate extent</t>
        </is>
      </c>
      <c r="BW79" s="6" t="inlineStr">
        <is>
          <t>To a great extent</t>
        </is>
      </c>
      <c r="BX79" s="6" t="inlineStr">
        <is>
          <t>To a great extent</t>
        </is>
      </c>
      <c r="BY79" s="6" t="inlineStr">
        <is>
          <t>To a great extent</t>
        </is>
      </c>
      <c r="BZ79" s="6" t="inlineStr">
        <is>
          <t>To a great extent</t>
        </is>
      </c>
      <c r="CA79" s="6" t="inlineStr">
        <is>
          <t>To a great extent</t>
        </is>
      </c>
      <c r="CB79" s="6" t="inlineStr">
        <is>
          <t>To a great extent</t>
        </is>
      </c>
      <c r="CC79" s="6" t="inlineStr">
        <is>
          <t>To a great extent</t>
        </is>
      </c>
      <c r="CD79" s="6" t="inlineStr">
        <is>
          <t>To a great extent</t>
        </is>
      </c>
      <c r="CE79" s="6" t="inlineStr">
        <is>
          <t>To a great extent</t>
        </is>
      </c>
      <c r="CF79" s="6" t="inlineStr">
        <is>
          <t>To a great extent</t>
        </is>
      </c>
      <c r="CG79" s="6" t="n"/>
      <c r="CH79" s="6" t="inlineStr">
        <is>
          <t>No</t>
        </is>
      </c>
      <c r="CI79" s="6" t="inlineStr">
        <is>
          <t>No</t>
        </is>
      </c>
      <c r="CJ79" s="6" t="n"/>
      <c r="CK79" s="6" t="n"/>
      <c r="CL79" s="6" t="n"/>
      <c r="CM79" s="6" t="n"/>
      <c r="CN79" s="6" t="n"/>
      <c r="CO79" s="6" t="n"/>
      <c r="CP79" s="6" t="n"/>
      <c r="CQ79" s="6" t="n"/>
      <c r="CR79" s="6" t="n"/>
      <c r="CS79" s="6" t="n"/>
      <c r="CT79" s="6" t="n"/>
      <c r="CU79" s="6" t="n"/>
      <c r="CV79" s="6" t="n"/>
      <c r="CW79" s="6" t="n"/>
      <c r="CX79" s="6" t="n"/>
      <c r="CY79" s="6" t="n"/>
      <c r="CZ79" s="6" t="n"/>
      <c r="DA79" s="6" t="n"/>
      <c r="DB79" s="6" t="n"/>
      <c r="DC79" s="6" t="n"/>
      <c r="DD79" s="6" t="n"/>
      <c r="DE79" s="6" t="n"/>
      <c r="DF79" s="6" t="n"/>
      <c r="DG79" s="6" t="n"/>
      <c r="DH79" s="6" t="n"/>
      <c r="DI79" s="6" t="n"/>
      <c r="DJ79" s="6" t="n"/>
      <c r="DK79" s="6" t="n"/>
      <c r="DL79" s="6" t="n"/>
      <c r="DM79" s="6" t="n"/>
      <c r="DN79" s="6" t="n"/>
      <c r="DO79" s="6" t="n"/>
      <c r="DP79" s="6" t="n"/>
      <c r="DQ79" s="6" t="n"/>
      <c r="DR79" s="6" t="inlineStr">
        <is>
          <t>Insufficient administrative capacity to implement an IMF   program concurrent with an RSF arrangement</t>
        </is>
      </c>
      <c r="DS79" s="6" t="inlineStr">
        <is>
          <t>More convenient alternative financing options</t>
        </is>
      </c>
      <c r="DT79" s="6" t="n"/>
      <c r="DU79" s="6" t="inlineStr">
        <is>
          <t>An RSF arrangement would have been useful, but my country had no balance of payments issues/did not need/was not willing to commit to the underlying UCT program</t>
        </is>
      </c>
      <c r="DV79" s="6" t="n"/>
      <c r="DW79" s="6" t="inlineStr">
        <is>
          <t>Yes</t>
        </is>
      </c>
      <c r="DX79" s="6" t="inlineStr">
        <is>
          <t>World Bank Group</t>
        </is>
      </c>
      <c r="DY79" s="6" t="inlineStr">
        <is>
          <t>Regional development banks</t>
        </is>
      </c>
      <c r="DZ79" s="6" t="n"/>
      <c r="EA79" s="6" t="n"/>
      <c r="EB79" s="6" t="n"/>
      <c r="EC79" s="6" t="inlineStr">
        <is>
          <t>Not at all</t>
        </is>
      </c>
      <c r="ED79" s="6" t="inlineStr">
        <is>
          <t>Not at all</t>
        </is>
      </c>
      <c r="EE79" s="6" t="inlineStr">
        <is>
          <t>To a great extent</t>
        </is>
      </c>
      <c r="EF79" s="6" t="inlineStr">
        <is>
          <t>Not at all</t>
        </is>
      </c>
      <c r="EG79" s="6" t="inlineStr">
        <is>
          <t>Not at all</t>
        </is>
      </c>
      <c r="EH79" s="6" t="inlineStr">
        <is>
          <t>To a moderate extent</t>
        </is>
      </c>
      <c r="EI79" s="6" t="inlineStr">
        <is>
          <t>Not at all</t>
        </is>
      </c>
      <c r="EJ79" s="6" t="inlineStr">
        <is>
          <t>To a great extent</t>
        </is>
      </c>
      <c r="EK79" s="6" t="inlineStr">
        <is>
          <t>To a slight extent</t>
        </is>
      </c>
      <c r="EL79" s="6" t="inlineStr">
        <is>
          <t>To a slight extent</t>
        </is>
      </c>
      <c r="EM79" s="6" t="n"/>
      <c r="EN79" s="6" t="n"/>
      <c r="EO79" s="6" t="n"/>
      <c r="EP79" s="6" t="n"/>
      <c r="EQ79" s="6" t="inlineStr">
        <is>
          <t>To a moderate extent</t>
        </is>
      </c>
      <c r="ER79" s="6" t="inlineStr">
        <is>
          <t>To a moderate extent</t>
        </is>
      </c>
      <c r="ES79" s="6" t="n"/>
      <c r="ET79" s="6" t="inlineStr">
        <is>
          <t>To a moderate extent</t>
        </is>
      </c>
      <c r="EU79" s="6" t="inlineStr">
        <is>
          <t>To a great extent</t>
        </is>
      </c>
      <c r="EV79" s="6" t="inlineStr">
        <is>
          <t>To a moderate extent</t>
        </is>
      </c>
      <c r="EW79" s="6" t="inlineStr">
        <is>
          <t>Don’t know or not applicable</t>
        </is>
      </c>
      <c r="EX79" s="6" t="n"/>
      <c r="EY79" s="6" t="inlineStr">
        <is>
          <t>To a moderate extent</t>
        </is>
      </c>
      <c r="EZ79" s="6" t="inlineStr">
        <is>
          <t>To a slight extent</t>
        </is>
      </c>
      <c r="FA79" s="6" t="inlineStr">
        <is>
          <t>To a moderate extent</t>
        </is>
      </c>
      <c r="FB79" s="6" t="inlineStr">
        <is>
          <t>To a great extent</t>
        </is>
      </c>
      <c r="FC79" s="6" t="inlineStr">
        <is>
          <t>To a great extent</t>
        </is>
      </c>
      <c r="FD79" s="6" t="inlineStr">
        <is>
          <t>Not at all</t>
        </is>
      </c>
      <c r="FE79" s="6" t="inlineStr">
        <is>
          <t>Don’t know or not applicable</t>
        </is>
      </c>
      <c r="FF79" s="6" t="inlineStr">
        <is>
          <t>Don’t know or not applicable</t>
        </is>
      </c>
      <c r="FG79" s="6" t="inlineStr">
        <is>
          <t>Don’t know or not applicable</t>
        </is>
      </c>
      <c r="FH79" s="6" t="inlineStr">
        <is>
          <t>To a slight extent</t>
        </is>
      </c>
      <c r="FI79" s="6" t="inlineStr">
        <is>
          <t>To a slight extent</t>
        </is>
      </c>
      <c r="FJ79" s="6" t="inlineStr">
        <is>
          <t>Don’t know or not applicable</t>
        </is>
      </c>
      <c r="FK79" s="6" t="inlineStr">
        <is>
          <t>To a slight extent</t>
        </is>
      </c>
      <c r="FL79" s="6" t="inlineStr">
        <is>
          <t>To a slight extent</t>
        </is>
      </c>
      <c r="FM79" s="6" t="inlineStr">
        <is>
          <t>To a slight extent</t>
        </is>
      </c>
      <c r="FN79" s="6" t="inlineStr">
        <is>
          <t>Not at all</t>
        </is>
      </c>
      <c r="FO79" s="6" t="inlineStr">
        <is>
          <t>Don’t know or not applicable</t>
        </is>
      </c>
      <c r="FP79" s="6" t="inlineStr">
        <is>
          <t>Don’t know or not applicable</t>
        </is>
      </c>
      <c r="FQ79" s="6" t="inlineStr">
        <is>
          <t>Don’t know or not applicable</t>
        </is>
      </c>
      <c r="FR79" s="6" t="inlineStr">
        <is>
          <t>To a moderate extent</t>
        </is>
      </c>
      <c r="FS79" s="6" t="inlineStr">
        <is>
          <t>To a moderate extent</t>
        </is>
      </c>
      <c r="FT79" s="6" t="inlineStr">
        <is>
          <t>Don’t know or not applicable</t>
        </is>
      </c>
      <c r="FU79" s="6" t="inlineStr">
        <is>
          <t>Don’t know or not applicable</t>
        </is>
      </c>
      <c r="FV79" s="6" t="n"/>
      <c r="FW79" s="6" t="inlineStr">
        <is>
          <t>The IMF should have dedicated more resources</t>
        </is>
      </c>
      <c r="FX79" s="6" t="n"/>
      <c r="FY79" s="6" t="inlineStr">
        <is>
          <t>To a great extent</t>
        </is>
      </c>
      <c r="FZ79" s="6" t="inlineStr">
        <is>
          <t>To a great extent</t>
        </is>
      </c>
      <c r="GA79" s="6" t="inlineStr">
        <is>
          <t>To a great extent</t>
        </is>
      </c>
      <c r="GB79" s="6" t="inlineStr">
        <is>
          <t>To a great extent</t>
        </is>
      </c>
      <c r="GC79" s="6" t="n"/>
      <c r="GD79" s="6" t="n"/>
      <c r="GE79" s="6" t="inlineStr">
        <is>
          <t>To a moderate extent</t>
        </is>
      </c>
      <c r="GF79" s="6" t="inlineStr">
        <is>
          <t>To a great extent</t>
        </is>
      </c>
      <c r="GG79" s="6" t="inlineStr">
        <is>
          <t>To a slight extent</t>
        </is>
      </c>
      <c r="GH79" s="6" t="inlineStr">
        <is>
          <t>To a great extent</t>
        </is>
      </c>
      <c r="GI79" s="6" t="inlineStr">
        <is>
          <t>To a great extent</t>
        </is>
      </c>
      <c r="GJ79" s="6" t="inlineStr">
        <is>
          <t>To a moderate extent</t>
        </is>
      </c>
      <c r="GK79" s="6" t="inlineStr">
        <is>
          <t>More should be done to sharpen the narrative on climate change being macro-critical and therefore within the mandate of the Fund. Many development challenges can be argued to be macrocritical e.g. security in conflicted affected states or human capital development in low income and developing states. However, anyone would be hard pressed to come up with a source of shock that can destabilize macroeconomic stability of an economy in a few hours as category 4 cyclones have done in the Carribean and the Pacific. In 2016 Cyclone Winston inflicted infrastructure damages in Fiji equivalent to one third of the country's GDP. And there is the slow burn of other climate change impact - shoreline erosion due to rising sea levels, soil acidification, floods, droughts etc. 
The disproportionate impact of climate change on SDS necessitates tailored strategies and enhanced support from the Fund. I therefore feel more can be done by the Fund in roundtable discussions or some convening role to provide the catalytical impetus to unlock other climate funding sources (World Bank, Green Climate Fund, private sector based on commitment to reforms and assistance of MDBs, donors, WB) to assist and address climate vulnerabilities specific to Small Developing States (SDS).</t>
        </is>
      </c>
      <c r="GL79" s="7">
        <f>DATE(2025,5,29)+TIME(11,9,31)</f>
        <v/>
      </c>
    </row>
    <row r="80" ht="409.5" customHeight="1">
      <c r="A80" s="3" t="inlineStr">
        <is>
          <t>Raj</t>
        </is>
      </c>
      <c r="B80" s="3" t="inlineStr">
        <is>
          <t>Reddy</t>
        </is>
      </c>
      <c r="C80" s="3" t="inlineStr">
        <is>
          <t>rreddy@organization.org</t>
        </is>
      </c>
      <c r="D80" s="3" t="inlineStr">
        <is>
          <t>RS5M03H42</t>
        </is>
      </c>
      <c r="E80" s="3" t="n"/>
      <c r="F80" s="3" t="inlineStr">
        <is>
          <t>OEDMI</t>
        </is>
      </c>
      <c r="G80" s="3" t="n"/>
      <c r="H80" s="3" t="n"/>
      <c r="I80" s="3" t="n"/>
      <c r="J80" s="3" t="n"/>
      <c r="K80" s="3" t="n"/>
      <c r="L80" s="3" t="n"/>
      <c r="M80" s="3" t="n"/>
      <c r="N80" s="3" t="n"/>
      <c r="O80" s="3" t="n"/>
      <c r="P80" s="3" t="n"/>
      <c r="Q80" s="3" t="n"/>
      <c r="R80" s="3" t="n"/>
      <c r="S80" s="3" t="n"/>
      <c r="T80" s="3" t="n"/>
      <c r="U80" s="3" t="n"/>
      <c r="V80" s="3" t="n"/>
      <c r="W80" s="3" t="inlineStr">
        <is>
          <t>Qatar</t>
        </is>
      </c>
      <c r="X80" s="3" t="n"/>
      <c r="Y80" s="3" t="n"/>
      <c r="Z80" s="3" t="n"/>
      <c r="AA80" s="3" t="n"/>
      <c r="AB80" s="3" t="n"/>
      <c r="AC80" s="3" t="n"/>
      <c r="AD80" s="3" t="n"/>
      <c r="AE80" s="3" t="n"/>
      <c r="AF80" s="4" t="inlineStr">
        <is>
          <t>Qatar</t>
        </is>
      </c>
      <c r="AG80" s="3" t="inlineStr">
        <is>
          <t>The IMF should engage less on climate change-related issues</t>
        </is>
      </c>
      <c r="AH80" s="3" t="inlineStr">
        <is>
          <t>To a slight extent</t>
        </is>
      </c>
      <c r="AI80" s="3" t="inlineStr">
        <is>
          <t>To a slight extent</t>
        </is>
      </c>
      <c r="AJ80" s="3" t="inlineStr">
        <is>
          <t>To a slight extent</t>
        </is>
      </c>
      <c r="AK80" s="3" t="inlineStr">
        <is>
          <t>To a slight extent</t>
        </is>
      </c>
      <c r="AL80" s="3" t="inlineStr">
        <is>
          <t>To a moderate extent</t>
        </is>
      </c>
      <c r="AM80" s="3" t="inlineStr">
        <is>
          <t>To a moderate extent</t>
        </is>
      </c>
      <c r="AN80" s="3" t="inlineStr">
        <is>
          <t>To a slight extent</t>
        </is>
      </c>
      <c r="AO80" s="3" t="inlineStr">
        <is>
          <t>To a moderate extent</t>
        </is>
      </c>
      <c r="AP80" s="3" t="inlineStr">
        <is>
          <t>To a moderate extent</t>
        </is>
      </c>
      <c r="AQ80" s="3" t="inlineStr">
        <is>
          <t>To a moderate extent</t>
        </is>
      </c>
      <c r="AR80" s="3" t="inlineStr">
        <is>
          <t>To a slight extent</t>
        </is>
      </c>
      <c r="AS80" s="3" t="n"/>
      <c r="AT80" s="3" t="inlineStr">
        <is>
          <t>Not at all</t>
        </is>
      </c>
      <c r="AU80" s="3" t="inlineStr">
        <is>
          <t>To a slight extent</t>
        </is>
      </c>
      <c r="AV80" s="3" t="inlineStr">
        <is>
          <t>To a slight extent</t>
        </is>
      </c>
      <c r="AW80" s="3" t="inlineStr">
        <is>
          <t>Not at all</t>
        </is>
      </c>
      <c r="AX80" s="3" t="inlineStr">
        <is>
          <t>To a slight extent</t>
        </is>
      </c>
      <c r="AY80" s="3" t="inlineStr">
        <is>
          <t>To a slight extent</t>
        </is>
      </c>
      <c r="AZ80" s="3" t="inlineStr">
        <is>
          <t>To a moderate extent</t>
        </is>
      </c>
      <c r="BA80" s="3" t="inlineStr">
        <is>
          <t>To a moderate extent</t>
        </is>
      </c>
      <c r="BB80" s="3" t="inlineStr">
        <is>
          <t>Not at all</t>
        </is>
      </c>
      <c r="BC80" s="3" t="inlineStr">
        <is>
          <t>Not at all</t>
        </is>
      </c>
      <c r="BD80" s="3" t="inlineStr">
        <is>
          <t>To a slight extent</t>
        </is>
      </c>
      <c r="BE80" s="3" t="inlineStr">
        <is>
          <t>To a slight extent</t>
        </is>
      </c>
      <c r="BF80" s="3" t="inlineStr">
        <is>
          <t>To a slight extent</t>
        </is>
      </c>
      <c r="BG80" s="3" t="inlineStr">
        <is>
          <t>To a slight extent</t>
        </is>
      </c>
      <c r="BH80" s="3" t="inlineStr">
        <is>
          <t>Not at all</t>
        </is>
      </c>
      <c r="BI80" s="3" t="inlineStr">
        <is>
          <t>To a slight extent</t>
        </is>
      </c>
      <c r="BJ80" s="3" t="inlineStr">
        <is>
          <t>To a slight extent</t>
        </is>
      </c>
      <c r="BK80" s="3" t="inlineStr">
        <is>
          <t>To a slight extent</t>
        </is>
      </c>
      <c r="BL80" s="3" t="inlineStr">
        <is>
          <t>To a slight extent</t>
        </is>
      </c>
      <c r="BM80" s="3" t="inlineStr">
        <is>
          <t>Not at all</t>
        </is>
      </c>
      <c r="BN80" s="3" t="inlineStr">
        <is>
          <t>To a slight extent</t>
        </is>
      </c>
      <c r="BO80" s="3" t="inlineStr">
        <is>
          <t>Not at all</t>
        </is>
      </c>
      <c r="BP80" s="3" t="inlineStr">
        <is>
          <t>Not at all</t>
        </is>
      </c>
      <c r="BQ80" s="3" t="inlineStr">
        <is>
          <t>Not at all</t>
        </is>
      </c>
      <c r="BR80" s="3" t="inlineStr">
        <is>
          <t>Not at all</t>
        </is>
      </c>
      <c r="BS80" s="3" t="n"/>
      <c r="BT80" s="3" t="inlineStr">
        <is>
          <t>The IMF should have dedicated less resources</t>
        </is>
      </c>
      <c r="BU80" s="3" t="inlineStr">
        <is>
          <t>To a slight extent</t>
        </is>
      </c>
      <c r="BV80" s="3" t="inlineStr">
        <is>
          <t>To a slight extent</t>
        </is>
      </c>
      <c r="BW80" s="3" t="inlineStr">
        <is>
          <t>To a slight extent</t>
        </is>
      </c>
      <c r="BX80" s="3" t="inlineStr">
        <is>
          <t>To a slight extent</t>
        </is>
      </c>
      <c r="BY80" s="3" t="inlineStr">
        <is>
          <t>To a slight extent</t>
        </is>
      </c>
      <c r="BZ80" s="3" t="inlineStr">
        <is>
          <t>To a slight extent</t>
        </is>
      </c>
      <c r="CA80" s="3" t="inlineStr">
        <is>
          <t>To a slight extent</t>
        </is>
      </c>
      <c r="CB80" s="3" t="inlineStr">
        <is>
          <t>To a slight extent</t>
        </is>
      </c>
      <c r="CC80" s="3" t="inlineStr">
        <is>
          <t>To a slight extent</t>
        </is>
      </c>
      <c r="CD80" s="3" t="inlineStr">
        <is>
          <t>To a slight extent</t>
        </is>
      </c>
      <c r="CE80" s="3" t="inlineStr">
        <is>
          <t>To a slight extent</t>
        </is>
      </c>
      <c r="CF80" s="3" t="inlineStr">
        <is>
          <t>To a slight extent</t>
        </is>
      </c>
      <c r="CG80" s="3" t="n"/>
      <c r="CH80" s="3" t="inlineStr">
        <is>
          <t>No</t>
        </is>
      </c>
      <c r="CI80" s="3" t="inlineStr">
        <is>
          <t>No</t>
        </is>
      </c>
      <c r="CJ80" s="3" t="n"/>
      <c r="CK80" s="3" t="n"/>
      <c r="CL80" s="3" t="n"/>
      <c r="CM80" s="3" t="n"/>
      <c r="CN80" s="3" t="n"/>
      <c r="CO80" s="3" t="n"/>
      <c r="CP80" s="3" t="n"/>
      <c r="CQ80" s="3" t="n"/>
      <c r="CR80" s="3" t="n"/>
      <c r="CS80" s="3" t="n"/>
      <c r="CT80" s="3" t="n"/>
      <c r="CU80" s="3" t="n"/>
      <c r="CV80" s="3" t="n"/>
      <c r="CW80" s="3" t="n"/>
      <c r="CX80" s="3" t="n"/>
      <c r="CY80" s="3" t="n"/>
      <c r="CZ80" s="3" t="n"/>
      <c r="DA80" s="3" t="n"/>
      <c r="DB80" s="3" t="n"/>
      <c r="DC80" s="3" t="n"/>
      <c r="DD80" s="3" t="n"/>
      <c r="DE80" s="3" t="n"/>
      <c r="DF80" s="3" t="n"/>
      <c r="DG80" s="3" t="n"/>
      <c r="DH80" s="3" t="n"/>
      <c r="DI80" s="3" t="n"/>
      <c r="DJ80" s="3" t="n"/>
      <c r="DK80" s="3" t="n"/>
      <c r="DL80" s="3" t="n"/>
      <c r="DM80" s="3" t="n"/>
      <c r="DN80" s="3" t="n"/>
      <c r="DO80" s="3" t="n"/>
      <c r="DP80" s="3" t="n"/>
      <c r="DQ80" s="3" t="n"/>
      <c r="DR80" s="3" t="n"/>
      <c r="DS80" s="3" t="n"/>
      <c r="DT80" s="3" t="n"/>
      <c r="DU80" s="3" t="n"/>
      <c r="DV80" s="3" t="inlineStr">
        <is>
          <t>Other (please specify) : doesnt need fund resources</t>
        </is>
      </c>
      <c r="DW80" s="3" t="inlineStr">
        <is>
          <t>No</t>
        </is>
      </c>
      <c r="DX80" s="3" t="n"/>
      <c r="DY80" s="3" t="n"/>
      <c r="DZ80" s="3" t="n"/>
      <c r="EA80" s="3" t="n"/>
      <c r="EB80" s="3" t="n"/>
      <c r="EC80" s="3" t="n"/>
      <c r="ED80" s="3" t="n"/>
      <c r="EE80" s="3" t="n"/>
      <c r="EF80" s="3" t="inlineStr">
        <is>
          <t>To a slight extent</t>
        </is>
      </c>
      <c r="EG80" s="3" t="inlineStr">
        <is>
          <t>Not at all</t>
        </is>
      </c>
      <c r="EH80" s="3" t="inlineStr">
        <is>
          <t>To a slight extent</t>
        </is>
      </c>
      <c r="EI80" s="3" t="inlineStr">
        <is>
          <t>To a moderate extent</t>
        </is>
      </c>
      <c r="EJ80" s="3" t="inlineStr">
        <is>
          <t>To a slight extent</t>
        </is>
      </c>
      <c r="EK80" s="3" t="inlineStr">
        <is>
          <t>To a slight extent</t>
        </is>
      </c>
      <c r="EL80" s="3" t="inlineStr">
        <is>
          <t>To a slight extent</t>
        </is>
      </c>
      <c r="EM80" s="3" t="n"/>
      <c r="EN80" s="3" t="n"/>
      <c r="EO80" s="3" t="n"/>
      <c r="EP80" s="3" t="n"/>
      <c r="EQ80" s="3" t="inlineStr">
        <is>
          <t>To a slight extent</t>
        </is>
      </c>
      <c r="ER80" s="3" t="inlineStr">
        <is>
          <t>Not at all</t>
        </is>
      </c>
      <c r="ES80" s="3" t="n"/>
      <c r="ET80" s="3" t="inlineStr">
        <is>
          <t>Not at all</t>
        </is>
      </c>
      <c r="EU80" s="3" t="inlineStr">
        <is>
          <t>Don’t know or not applicable</t>
        </is>
      </c>
      <c r="EV80" s="3" t="inlineStr">
        <is>
          <t>Don’t know or not applicable</t>
        </is>
      </c>
      <c r="EW80" s="3" t="inlineStr">
        <is>
          <t>Don’t know or not applicable</t>
        </is>
      </c>
      <c r="EX80" s="3" t="n"/>
      <c r="EY80" s="3" t="inlineStr">
        <is>
          <t>To a slight extent</t>
        </is>
      </c>
      <c r="EZ80" s="3" t="inlineStr">
        <is>
          <t>To a slight extent</t>
        </is>
      </c>
      <c r="FA80" s="3" t="inlineStr">
        <is>
          <t>To a slight extent</t>
        </is>
      </c>
      <c r="FB80" s="3" t="inlineStr">
        <is>
          <t>Not at all</t>
        </is>
      </c>
      <c r="FC80" s="3" t="inlineStr">
        <is>
          <t>Not at all</t>
        </is>
      </c>
      <c r="FD80" s="3" t="inlineStr">
        <is>
          <t>Not at all</t>
        </is>
      </c>
      <c r="FE80" s="3" t="inlineStr">
        <is>
          <t>To a slight extent</t>
        </is>
      </c>
      <c r="FF80" s="3" t="inlineStr">
        <is>
          <t>Don’t know or not applicable</t>
        </is>
      </c>
      <c r="FG80" s="3" t="inlineStr">
        <is>
          <t>To a slight extent</t>
        </is>
      </c>
      <c r="FH80" s="3" t="n"/>
      <c r="FI80" s="3" t="n"/>
      <c r="FJ80" s="3" t="n"/>
      <c r="FK80" s="3" t="n"/>
      <c r="FL80" s="3" t="n"/>
      <c r="FM80" s="3" t="n"/>
      <c r="FN80" s="3" t="n"/>
      <c r="FO80" s="3" t="n"/>
      <c r="FP80" s="3" t="n"/>
      <c r="FQ80" s="3" t="n"/>
      <c r="FR80" s="3" t="inlineStr">
        <is>
          <t>Don’t know or not applicable</t>
        </is>
      </c>
      <c r="FS80" s="3" t="inlineStr">
        <is>
          <t>Don’t know or not applicable</t>
        </is>
      </c>
      <c r="FT80" s="3" t="inlineStr">
        <is>
          <t>Don’t know or not applicable</t>
        </is>
      </c>
      <c r="FU80" s="3" t="inlineStr">
        <is>
          <t>Don’t know or not applicable</t>
        </is>
      </c>
      <c r="FV80" s="3" t="n"/>
      <c r="FW80" s="3" t="inlineStr">
        <is>
          <t>The IMF should have dedicated less resources</t>
        </is>
      </c>
      <c r="FX80" s="3" t="n"/>
      <c r="FY80" s="3" t="inlineStr">
        <is>
          <t>To a slight extent</t>
        </is>
      </c>
      <c r="FZ80" s="3" t="inlineStr">
        <is>
          <t>To a slight extent</t>
        </is>
      </c>
      <c r="GA80" s="3" t="inlineStr">
        <is>
          <t>To a slight extent</t>
        </is>
      </c>
      <c r="GB80" s="3" t="inlineStr">
        <is>
          <t>To a slight extent</t>
        </is>
      </c>
      <c r="GC80" s="3" t="inlineStr">
        <is>
          <t>Not at all</t>
        </is>
      </c>
      <c r="GD80" s="3" t="n"/>
      <c r="GE80" s="3" t="inlineStr">
        <is>
          <t>To a moderate extent</t>
        </is>
      </c>
      <c r="GF80" s="3" t="inlineStr">
        <is>
          <t>To a slight extent</t>
        </is>
      </c>
      <c r="GG80" s="3" t="inlineStr">
        <is>
          <t>To a great extent</t>
        </is>
      </c>
      <c r="GH80" s="3" t="inlineStr">
        <is>
          <t>Not at all</t>
        </is>
      </c>
      <c r="GI80" s="3" t="inlineStr">
        <is>
          <t>To a slight extent</t>
        </is>
      </c>
      <c r="GJ80" s="3" t="inlineStr">
        <is>
          <t>To a slight extent</t>
        </is>
      </c>
      <c r="GK80" s="3" t="inlineStr">
        <is>
          <t>The Comprehensive Surveillance Review (CSR) should determine the
Fund's engagement in non-core areas, mindful of the need to prioritize the core mandate.
Such engagement should be conditional on macro-criticality, which needs to be carefully defined in the context of the CSR.
This applies to the Fund's work on climate change-related issues. When carried out, the Fund's work on climate change-related issues should pay close attention to adaptation and transition challenges, especially in countries facing heightened vulnerabilities.
need to engage on climate issues only when its macrocritical</t>
        </is>
      </c>
      <c r="GL80" s="5">
        <f>DATE(2025,6,10)+TIME(15,7,39)</f>
        <v/>
      </c>
    </row>
    <row r="81" ht="173.25" customHeight="1">
      <c r="A81" s="6" t="inlineStr">
        <is>
          <t>Henrik</t>
        </is>
      </c>
      <c r="B81" s="6" t="inlineStr">
        <is>
          <t>Larsson</t>
        </is>
      </c>
      <c r="C81" s="6" t="inlineStr">
        <is>
          <t>hlarsson@organization.org</t>
        </is>
      </c>
      <c r="D81" s="6" t="inlineStr">
        <is>
          <t>4OQ5B24ZR</t>
        </is>
      </c>
      <c r="E81" s="6" t="n"/>
      <c r="F81" s="6" t="inlineStr">
        <is>
          <t>OEDSZ</t>
        </is>
      </c>
      <c r="G81" s="6" t="n"/>
      <c r="H81" s="6" t="n"/>
      <c r="I81" s="6" t="n"/>
      <c r="J81" s="6" t="n"/>
      <c r="K81" s="6" t="n"/>
      <c r="L81" s="6" t="n"/>
      <c r="M81" s="6" t="n"/>
      <c r="N81" s="6" t="n"/>
      <c r="O81" s="6" t="n"/>
      <c r="P81" s="6" t="n"/>
      <c r="Q81" s="6" t="n"/>
      <c r="R81" s="6" t="n"/>
      <c r="S81" s="6" t="n"/>
      <c r="T81" s="6" t="n"/>
      <c r="U81" s="6" t="n"/>
      <c r="V81" s="6" t="n"/>
      <c r="W81" s="6" t="n"/>
      <c r="X81" s="6" t="n"/>
      <c r="Y81" s="6" t="n"/>
      <c r="Z81" s="6" t="n"/>
      <c r="AA81" s="6" t="n"/>
      <c r="AB81" s="6" t="n"/>
      <c r="AC81" s="6" t="inlineStr">
        <is>
          <t>Serbia</t>
        </is>
      </c>
      <c r="AD81" s="6" t="n"/>
      <c r="AE81" s="6" t="n"/>
      <c r="AF81" s="4" t="inlineStr">
        <is>
          <t>Serbia</t>
        </is>
      </c>
      <c r="AG81" s="6" t="inlineStr">
        <is>
          <t>The IMF should engage less on climate change-related issues</t>
        </is>
      </c>
      <c r="AH81" s="6" t="inlineStr">
        <is>
          <t>To a slight extent</t>
        </is>
      </c>
      <c r="AI81" s="6" t="inlineStr">
        <is>
          <t>To a slight extent</t>
        </is>
      </c>
      <c r="AJ81" s="6" t="inlineStr">
        <is>
          <t>Don’t know or not applicable</t>
        </is>
      </c>
      <c r="AK81" s="6" t="inlineStr">
        <is>
          <t>Not at all</t>
        </is>
      </c>
      <c r="AL81" s="6" t="inlineStr">
        <is>
          <t>Not at all</t>
        </is>
      </c>
      <c r="AM81" s="6" t="inlineStr">
        <is>
          <t>Not at all</t>
        </is>
      </c>
      <c r="AN81" s="6" t="inlineStr">
        <is>
          <t>Not at all</t>
        </is>
      </c>
      <c r="AO81" s="6" t="inlineStr">
        <is>
          <t>Don’t know or not applicable</t>
        </is>
      </c>
      <c r="AP81" s="6" t="inlineStr">
        <is>
          <t>Don’t know or not applicable</t>
        </is>
      </c>
      <c r="AQ81" s="6" t="inlineStr">
        <is>
          <t>Not at all</t>
        </is>
      </c>
      <c r="AR81" s="6" t="inlineStr">
        <is>
          <t>To a slight extent</t>
        </is>
      </c>
      <c r="AS81" s="6" t="n"/>
      <c r="AT81" s="6" t="inlineStr">
        <is>
          <t>Not at all</t>
        </is>
      </c>
      <c r="AU81" s="6" t="inlineStr">
        <is>
          <t>To a moderate extent</t>
        </is>
      </c>
      <c r="AV81" s="6" t="inlineStr">
        <is>
          <t>Not at all</t>
        </is>
      </c>
      <c r="AW81" s="6" t="inlineStr">
        <is>
          <t>To a slight extent</t>
        </is>
      </c>
      <c r="AX81" s="6" t="inlineStr">
        <is>
          <t>To a slight extent</t>
        </is>
      </c>
      <c r="AY81" s="6" t="inlineStr">
        <is>
          <t>To a great extent</t>
        </is>
      </c>
      <c r="AZ81" s="6" t="inlineStr">
        <is>
          <t>Don’t know or not applicable</t>
        </is>
      </c>
      <c r="BA81" s="6" t="inlineStr">
        <is>
          <t>Not at all</t>
        </is>
      </c>
      <c r="BB81" s="6" t="inlineStr">
        <is>
          <t>Don’t know or not applicable</t>
        </is>
      </c>
      <c r="BC81" s="6" t="inlineStr">
        <is>
          <t>To a slight extent</t>
        </is>
      </c>
      <c r="BD81" s="6" t="inlineStr">
        <is>
          <t>To a great extent</t>
        </is>
      </c>
      <c r="BE81" s="6" t="inlineStr">
        <is>
          <t>Don’t know or not applicable</t>
        </is>
      </c>
      <c r="BF81" s="6" t="inlineStr">
        <is>
          <t>Don’t know or not applicable</t>
        </is>
      </c>
      <c r="BG81" s="6" t="inlineStr">
        <is>
          <t>Don’t know or not applicable</t>
        </is>
      </c>
      <c r="BH81" s="6" t="inlineStr">
        <is>
          <t>Don’t know or not applicable</t>
        </is>
      </c>
      <c r="BI81" s="6" t="inlineStr">
        <is>
          <t>Don’t know or not applicable</t>
        </is>
      </c>
      <c r="BJ81" s="6" t="inlineStr">
        <is>
          <t>Don’t know or not applicable</t>
        </is>
      </c>
      <c r="BK81" s="6" t="inlineStr">
        <is>
          <t>Not at all</t>
        </is>
      </c>
      <c r="BL81" s="6" t="inlineStr">
        <is>
          <t>Don’t know or not applicable</t>
        </is>
      </c>
      <c r="BM81" s="6" t="inlineStr">
        <is>
          <t>Not at all</t>
        </is>
      </c>
      <c r="BN81" s="6" t="inlineStr">
        <is>
          <t>To a great extent</t>
        </is>
      </c>
      <c r="BO81" s="6" t="inlineStr">
        <is>
          <t>Don’t know or not applicable</t>
        </is>
      </c>
      <c r="BP81" s="6" t="inlineStr">
        <is>
          <t>Don’t know or not applicable</t>
        </is>
      </c>
      <c r="BQ81" s="6" t="inlineStr">
        <is>
          <t>Don’t know or not applicable</t>
        </is>
      </c>
      <c r="BR81" s="6" t="inlineStr">
        <is>
          <t>To a slight extent</t>
        </is>
      </c>
      <c r="BS81" s="6" t="inlineStr">
        <is>
          <t>EU</t>
        </is>
      </c>
      <c r="BT81" s="6" t="inlineStr">
        <is>
          <t>The IMF dedicated an appropriate amount of resources</t>
        </is>
      </c>
      <c r="BU81" s="6" t="inlineStr">
        <is>
          <t>To a slight extent</t>
        </is>
      </c>
      <c r="BV81" s="6" t="inlineStr">
        <is>
          <t>To a slight extent</t>
        </is>
      </c>
      <c r="BW81" s="6" t="inlineStr">
        <is>
          <t>To a slight extent</t>
        </is>
      </c>
      <c r="BX81" s="6" t="inlineStr">
        <is>
          <t>To a moderate extent</t>
        </is>
      </c>
      <c r="BY81" s="6" t="inlineStr">
        <is>
          <t>To a moderate extent</t>
        </is>
      </c>
      <c r="BZ81" s="6" t="inlineStr">
        <is>
          <t>To a moderate extent</t>
        </is>
      </c>
      <c r="CA81" s="6" t="inlineStr">
        <is>
          <t>Don’t know or not applicable</t>
        </is>
      </c>
      <c r="CB81" s="6" t="inlineStr">
        <is>
          <t>Don’t know or not applicable</t>
        </is>
      </c>
      <c r="CC81" s="6" t="inlineStr">
        <is>
          <t>Don’t know or not applicable</t>
        </is>
      </c>
      <c r="CD81" s="6" t="inlineStr">
        <is>
          <t>To a moderate extent</t>
        </is>
      </c>
      <c r="CE81" s="6" t="inlineStr">
        <is>
          <t>To a slight extent</t>
        </is>
      </c>
      <c r="CF81" s="6" t="inlineStr">
        <is>
          <t>To a moderate extent</t>
        </is>
      </c>
      <c r="CG81" s="6" t="n"/>
      <c r="CH81" s="6" t="inlineStr">
        <is>
          <t>No</t>
        </is>
      </c>
      <c r="CI81" s="6" t="inlineStr">
        <is>
          <t>Yes</t>
        </is>
      </c>
      <c r="CJ81" s="6" t="n"/>
      <c r="CK81" s="6" t="n"/>
      <c r="CL81" s="6" t="n"/>
      <c r="CM81" s="6" t="n"/>
      <c r="CN81" s="6" t="n"/>
      <c r="CO81" s="6" t="n"/>
      <c r="CP81" s="6" t="n"/>
      <c r="CQ81" s="6" t="n"/>
      <c r="CR81" s="6" t="n"/>
      <c r="CS81" s="6" t="n"/>
      <c r="CT81" s="6" t="n"/>
      <c r="CU81" s="6" t="n"/>
      <c r="CV81" s="6" t="n"/>
      <c r="CW81" s="6" t="n"/>
      <c r="CX81" s="6" t="n"/>
      <c r="CY81" s="6" t="n"/>
      <c r="CZ81" s="6" t="n"/>
      <c r="DA81" s="6" t="n"/>
      <c r="DB81" s="6" t="n"/>
      <c r="DC81" s="6" t="n"/>
      <c r="DD81" s="6" t="n"/>
      <c r="DE81" s="6" t="n"/>
      <c r="DF81" s="6" t="n"/>
      <c r="DG81" s="6" t="n"/>
      <c r="DH81" s="6" t="n"/>
      <c r="DI81" s="6" t="n"/>
      <c r="DJ81" s="6" t="n"/>
      <c r="DK81" s="6" t="n"/>
      <c r="DL81" s="6" t="n"/>
      <c r="DM81" s="6" t="n"/>
      <c r="DN81" s="6" t="n"/>
      <c r="DO81" s="6" t="n"/>
      <c r="DP81" s="6" t="n"/>
      <c r="DQ81" s="6" t="inlineStr">
        <is>
          <t>Climate change does not pose a major balance of payments risk in my country</t>
        </is>
      </c>
      <c r="DR81" s="6" t="n"/>
      <c r="DS81" s="6" t="n"/>
      <c r="DT81" s="6" t="n"/>
      <c r="DU81" s="6" t="n"/>
      <c r="DV81" s="6" t="inlineStr">
        <is>
          <t>Other (please specify) : Authorities declined RST</t>
        </is>
      </c>
      <c r="DW81" s="6" t="inlineStr">
        <is>
          <t>Don't know</t>
        </is>
      </c>
      <c r="DX81" s="6" t="n"/>
      <c r="DY81" s="6" t="n"/>
      <c r="DZ81" s="6" t="n"/>
      <c r="EA81" s="6" t="n"/>
      <c r="EB81" s="6" t="n"/>
      <c r="EC81" s="6" t="n"/>
      <c r="ED81" s="6" t="n"/>
      <c r="EE81" s="6" t="n"/>
      <c r="EF81" s="6" t="inlineStr">
        <is>
          <t>To a great extent</t>
        </is>
      </c>
      <c r="EG81" s="6" t="inlineStr">
        <is>
          <t>To a slight extent</t>
        </is>
      </c>
      <c r="EH81" s="6" t="inlineStr">
        <is>
          <t>Don’t know or not applicable</t>
        </is>
      </c>
      <c r="EI81" s="6" t="inlineStr">
        <is>
          <t>To a great extent</t>
        </is>
      </c>
      <c r="EJ81" s="6" t="inlineStr">
        <is>
          <t>Not at all</t>
        </is>
      </c>
      <c r="EK81" s="6" t="inlineStr">
        <is>
          <t>To a great extent</t>
        </is>
      </c>
      <c r="EL81" s="6" t="inlineStr">
        <is>
          <t>Not at all</t>
        </is>
      </c>
      <c r="EM81" s="6" t="inlineStr">
        <is>
          <t>Not at all</t>
        </is>
      </c>
      <c r="EN81" s="6" t="inlineStr">
        <is>
          <t>Not at all</t>
        </is>
      </c>
      <c r="EO81" s="6" t="inlineStr">
        <is>
          <t>Not at all</t>
        </is>
      </c>
      <c r="EP81" s="6" t="n"/>
      <c r="EQ81" s="6" t="inlineStr">
        <is>
          <t>To a slight extent</t>
        </is>
      </c>
      <c r="ER81" s="6" t="inlineStr">
        <is>
          <t>Not at all</t>
        </is>
      </c>
      <c r="ES81" s="6" t="n"/>
      <c r="ET81" s="6" t="inlineStr">
        <is>
          <t>To a slight extent</t>
        </is>
      </c>
      <c r="EU81" s="6" t="inlineStr">
        <is>
          <t>To a slight extent</t>
        </is>
      </c>
      <c r="EV81" s="6" t="inlineStr">
        <is>
          <t>Don’t know or not applicable</t>
        </is>
      </c>
      <c r="EW81" s="6" t="inlineStr">
        <is>
          <t>To a slight extent</t>
        </is>
      </c>
      <c r="EX81" s="6" t="inlineStr">
        <is>
          <t>EU</t>
        </is>
      </c>
      <c r="EY81" s="6" t="inlineStr">
        <is>
          <t>To a moderate extent</t>
        </is>
      </c>
      <c r="EZ81" s="6" t="inlineStr">
        <is>
          <t>Not at all</t>
        </is>
      </c>
      <c r="FA81" s="6" t="inlineStr">
        <is>
          <t>To a slight extent</t>
        </is>
      </c>
      <c r="FB81" s="6" t="inlineStr">
        <is>
          <t>To a slight extent</t>
        </is>
      </c>
      <c r="FC81" s="6" t="inlineStr">
        <is>
          <t>Not at all</t>
        </is>
      </c>
      <c r="FD81" s="6" t="inlineStr">
        <is>
          <t>Not at all</t>
        </is>
      </c>
      <c r="FE81" s="6" t="inlineStr">
        <is>
          <t>Don’t know or not applicable</t>
        </is>
      </c>
      <c r="FF81" s="6" t="inlineStr">
        <is>
          <t>Don’t know or not applicable</t>
        </is>
      </c>
      <c r="FG81" s="6" t="inlineStr">
        <is>
          <t>Don’t know or not applicable</t>
        </is>
      </c>
      <c r="FH81" s="6" t="n"/>
      <c r="FI81" s="6" t="n"/>
      <c r="FJ81" s="6" t="n"/>
      <c r="FK81" s="6" t="n"/>
      <c r="FL81" s="6" t="n"/>
      <c r="FM81" s="6" t="n"/>
      <c r="FN81" s="6" t="n"/>
      <c r="FO81" s="6" t="n"/>
      <c r="FP81" s="6" t="n"/>
      <c r="FQ81" s="6" t="n"/>
      <c r="FR81" s="6" t="inlineStr">
        <is>
          <t>Don’t know or not applicable</t>
        </is>
      </c>
      <c r="FS81" s="6" t="inlineStr">
        <is>
          <t>Don’t know or not applicable</t>
        </is>
      </c>
      <c r="FT81" s="6" t="inlineStr">
        <is>
          <t>Don’t know or not applicable</t>
        </is>
      </c>
      <c r="FU81" s="6" t="inlineStr">
        <is>
          <t>Don’t know or not applicable</t>
        </is>
      </c>
      <c r="FV81" s="6" t="n"/>
      <c r="FW81" s="6" t="inlineStr">
        <is>
          <t>The IMF dedicated the appropriate amount of resources</t>
        </is>
      </c>
      <c r="FX81" s="6" t="n"/>
      <c r="FY81" s="6" t="inlineStr">
        <is>
          <t>To a slight extent</t>
        </is>
      </c>
      <c r="FZ81" s="6" t="inlineStr">
        <is>
          <t>To a moderate extent</t>
        </is>
      </c>
      <c r="GA81" s="6" t="inlineStr">
        <is>
          <t>To a moderate extent</t>
        </is>
      </c>
      <c r="GB81" s="6" t="inlineStr">
        <is>
          <t>Don’t know or not applicable</t>
        </is>
      </c>
      <c r="GC81" s="6" t="inlineStr">
        <is>
          <t>Don’t know or not applicable</t>
        </is>
      </c>
      <c r="GD81" s="6" t="n"/>
      <c r="GE81" s="6" t="inlineStr">
        <is>
          <t>To a moderate extent</t>
        </is>
      </c>
      <c r="GF81" s="6" t="inlineStr">
        <is>
          <t>To a slight extent</t>
        </is>
      </c>
      <c r="GG81" s="6" t="inlineStr">
        <is>
          <t>To a great extent</t>
        </is>
      </c>
      <c r="GH81" s="6" t="inlineStr">
        <is>
          <t>Not at all</t>
        </is>
      </c>
      <c r="GI81" s="6" t="inlineStr">
        <is>
          <t>To a great extent</t>
        </is>
      </c>
      <c r="GJ81" s="6" t="inlineStr">
        <is>
          <t>To a moderate extent</t>
        </is>
      </c>
      <c r="GK81" s="6" t="inlineStr">
        <is>
          <t>Regarding the abovementioned IMF's comparative advantage, having comparative advantage does not mean that it should be used. among other things as those might undermine Fund's creditibility. There are more urgent macro priorities at this point.</t>
        </is>
      </c>
      <c r="GL81" s="7">
        <f>DATE(2025,6,13)+TIME(10,41,28)</f>
        <v/>
      </c>
    </row>
    <row r="82" ht="47.25" customHeight="1">
      <c r="A82" s="3" t="inlineStr">
        <is>
          <t>James</t>
        </is>
      </c>
      <c r="B82" s="3" t="inlineStr">
        <is>
          <t>Reyes</t>
        </is>
      </c>
      <c r="C82" s="3" t="inlineStr">
        <is>
          <t>jreyes@organization.org</t>
        </is>
      </c>
      <c r="D82" s="3" t="inlineStr">
        <is>
          <t>KFG8FXYFQ</t>
        </is>
      </c>
      <c r="E82" s="3" t="n"/>
      <c r="F82" s="3" t="inlineStr">
        <is>
          <t>OEDNE</t>
        </is>
      </c>
      <c r="G82" s="3" t="n"/>
      <c r="H82" s="3" t="n"/>
      <c r="I82" s="3" t="n"/>
      <c r="J82" s="3" t="n"/>
      <c r="K82" s="3" t="n"/>
      <c r="L82" s="3" t="n"/>
      <c r="M82" s="3" t="n"/>
      <c r="N82" s="3" t="n"/>
      <c r="O82" s="3" t="n"/>
      <c r="P82" s="3" t="n"/>
      <c r="Q82" s="3" t="n"/>
      <c r="R82" s="3" t="n"/>
      <c r="S82" s="3" t="n"/>
      <c r="T82" s="3" t="n"/>
      <c r="U82" s="3" t="n"/>
      <c r="V82" s="3" t="n"/>
      <c r="W82" s="3" t="n"/>
      <c r="X82" s="3" t="inlineStr">
        <is>
          <t>Montenegro</t>
        </is>
      </c>
      <c r="Y82" s="3" t="n"/>
      <c r="Z82" s="3" t="n"/>
      <c r="AA82" s="3" t="n"/>
      <c r="AB82" s="3" t="n"/>
      <c r="AC82" s="3" t="n"/>
      <c r="AD82" s="3" t="n"/>
      <c r="AE82" s="3" t="n"/>
      <c r="AF82" s="4" t="inlineStr">
        <is>
          <t>Montenegro</t>
        </is>
      </c>
      <c r="AG82" s="3" t="inlineStr">
        <is>
          <t>The IMF should engage a similar amount on climate change-related issues</t>
        </is>
      </c>
      <c r="AH82" s="3" t="inlineStr">
        <is>
          <t>To a slight extent</t>
        </is>
      </c>
      <c r="AI82" s="3" t="inlineStr">
        <is>
          <t>To a great extent</t>
        </is>
      </c>
      <c r="AJ82" s="3" t="inlineStr">
        <is>
          <t>Don’t know or not applicable</t>
        </is>
      </c>
      <c r="AK82" s="3" t="inlineStr">
        <is>
          <t>To a great extent</t>
        </is>
      </c>
      <c r="AL82" s="3" t="inlineStr">
        <is>
          <t>Don’t know or not applicable</t>
        </is>
      </c>
      <c r="AM82" s="3" t="inlineStr">
        <is>
          <t>Don’t know or not applicable</t>
        </is>
      </c>
      <c r="AN82" s="3" t="inlineStr">
        <is>
          <t>Don’t know or not applicable</t>
        </is>
      </c>
      <c r="AO82" s="3" t="inlineStr">
        <is>
          <t>To a great extent</t>
        </is>
      </c>
      <c r="AP82" s="3" t="inlineStr">
        <is>
          <t>To a great extent</t>
        </is>
      </c>
      <c r="AQ82" s="3" t="inlineStr">
        <is>
          <t>To a great extent</t>
        </is>
      </c>
      <c r="AR82" s="3" t="inlineStr">
        <is>
          <t>To a great extent</t>
        </is>
      </c>
      <c r="AS82" s="3" t="n"/>
      <c r="AT82" s="3" t="inlineStr">
        <is>
          <t>To a moderate extent</t>
        </is>
      </c>
      <c r="AU82" s="3" t="inlineStr">
        <is>
          <t>To a moderate extent</t>
        </is>
      </c>
      <c r="AV82" s="3" t="inlineStr">
        <is>
          <t>Not at all</t>
        </is>
      </c>
      <c r="AW82" s="3" t="inlineStr">
        <is>
          <t>To a great extent</t>
        </is>
      </c>
      <c r="AX82" s="3" t="inlineStr">
        <is>
          <t>To a slight extent</t>
        </is>
      </c>
      <c r="AY82" s="3" t="inlineStr">
        <is>
          <t>Don’t know or not applicable</t>
        </is>
      </c>
      <c r="AZ82" s="3" t="inlineStr">
        <is>
          <t>To a moderate extent</t>
        </is>
      </c>
      <c r="BA82" s="3" t="inlineStr">
        <is>
          <t>To a slight extent</t>
        </is>
      </c>
      <c r="BB82" s="3" t="inlineStr">
        <is>
          <t>To a great extent</t>
        </is>
      </c>
      <c r="BC82" s="3" t="inlineStr">
        <is>
          <t>To a slight extent</t>
        </is>
      </c>
      <c r="BD82" s="3" t="inlineStr">
        <is>
          <t>To a moderate extent</t>
        </is>
      </c>
      <c r="BE82" s="3" t="inlineStr">
        <is>
          <t>Don’t know or not applicable</t>
        </is>
      </c>
      <c r="BF82" s="3" t="inlineStr">
        <is>
          <t>Don’t know or not applicable</t>
        </is>
      </c>
      <c r="BG82" s="3" t="inlineStr">
        <is>
          <t>Don’t know or not applicable</t>
        </is>
      </c>
      <c r="BH82" s="3" t="inlineStr">
        <is>
          <t>Don’t know or not applicable</t>
        </is>
      </c>
      <c r="BI82" s="3" t="inlineStr">
        <is>
          <t>Don’t know or not applicable</t>
        </is>
      </c>
      <c r="BJ82" s="3" t="inlineStr">
        <is>
          <t>To a great extent</t>
        </is>
      </c>
      <c r="BK82" s="3" t="inlineStr">
        <is>
          <t>Not at all</t>
        </is>
      </c>
      <c r="BL82" s="3" t="inlineStr">
        <is>
          <t>To a great extent</t>
        </is>
      </c>
      <c r="BM82" s="3" t="inlineStr">
        <is>
          <t>To a slight extent</t>
        </is>
      </c>
      <c r="BN82" s="3" t="inlineStr">
        <is>
          <t>To a great extent</t>
        </is>
      </c>
      <c r="BO82" s="3" t="inlineStr">
        <is>
          <t>To a moderate extent</t>
        </is>
      </c>
      <c r="BP82" s="3" t="inlineStr">
        <is>
          <t>Don’t know or not applicable</t>
        </is>
      </c>
      <c r="BQ82" s="3" t="inlineStr">
        <is>
          <t>Don’t know or not applicable</t>
        </is>
      </c>
      <c r="BR82" s="3" t="inlineStr">
        <is>
          <t>Don’t know or not applicable</t>
        </is>
      </c>
      <c r="BS82" s="3" t="n"/>
      <c r="BT82" s="3" t="inlineStr">
        <is>
          <t>The IMF dedicated an appropriate amount of resources</t>
        </is>
      </c>
      <c r="BU82" s="3" t="inlineStr">
        <is>
          <t>To a moderate extent</t>
        </is>
      </c>
      <c r="BV82" s="3" t="inlineStr">
        <is>
          <t>To a moderate extent</t>
        </is>
      </c>
      <c r="BW82" s="3" t="inlineStr">
        <is>
          <t>To a moderate extent</t>
        </is>
      </c>
      <c r="BX82" s="3" t="inlineStr">
        <is>
          <t>To a moderate extent</t>
        </is>
      </c>
      <c r="BY82" s="3" t="inlineStr">
        <is>
          <t>To a moderate extent</t>
        </is>
      </c>
      <c r="BZ82" s="3" t="inlineStr">
        <is>
          <t>To a moderate extent</t>
        </is>
      </c>
      <c r="CA82" s="3" t="inlineStr">
        <is>
          <t>To a moderate extent</t>
        </is>
      </c>
      <c r="CB82" s="3" t="inlineStr">
        <is>
          <t>To a moderate extent</t>
        </is>
      </c>
      <c r="CC82" s="3" t="inlineStr">
        <is>
          <t>To a moderate extent</t>
        </is>
      </c>
      <c r="CD82" s="3" t="inlineStr">
        <is>
          <t>To a moderate extent</t>
        </is>
      </c>
      <c r="CE82" s="3" t="inlineStr">
        <is>
          <t>To a moderate extent</t>
        </is>
      </c>
      <c r="CF82" s="3" t="inlineStr">
        <is>
          <t>To a moderate extent</t>
        </is>
      </c>
      <c r="CG82" s="3" t="n"/>
      <c r="CH82" s="3" t="inlineStr">
        <is>
          <t>No</t>
        </is>
      </c>
      <c r="CI82" s="3" t="inlineStr">
        <is>
          <t>No</t>
        </is>
      </c>
      <c r="CJ82" s="3" t="n"/>
      <c r="CK82" s="3" t="n"/>
      <c r="CL82" s="3" t="n"/>
      <c r="CM82" s="3" t="n"/>
      <c r="CN82" s="3" t="n"/>
      <c r="CO82" s="3" t="n"/>
      <c r="CP82" s="3" t="n"/>
      <c r="CQ82" s="3" t="n"/>
      <c r="CR82" s="3" t="n"/>
      <c r="CS82" s="3" t="n"/>
      <c r="CT82" s="3" t="n"/>
      <c r="CU82" s="3" t="n"/>
      <c r="CV82" s="3" t="n"/>
      <c r="CW82" s="3" t="n"/>
      <c r="CX82" s="3" t="n"/>
      <c r="CY82" s="3" t="n"/>
      <c r="CZ82" s="3" t="n"/>
      <c r="DA82" s="3" t="n"/>
      <c r="DB82" s="3" t="n"/>
      <c r="DC82" s="3" t="n"/>
      <c r="DD82" s="3" t="n"/>
      <c r="DE82" s="3" t="n"/>
      <c r="DF82" s="3" t="n"/>
      <c r="DG82" s="3" t="n"/>
      <c r="DH82" s="3" t="n"/>
      <c r="DI82" s="3" t="n"/>
      <c r="DJ82" s="3" t="n"/>
      <c r="DK82" s="3" t="n"/>
      <c r="DL82" s="3" t="n"/>
      <c r="DM82" s="3" t="n"/>
      <c r="DN82" s="3" t="n"/>
      <c r="DO82" s="3" t="n"/>
      <c r="DP82" s="3" t="inlineStr">
        <is>
          <t>My country is not eligible for an RSF arrangement</t>
        </is>
      </c>
      <c r="DQ82" s="3" t="n"/>
      <c r="DR82" s="3" t="n"/>
      <c r="DS82" s="3" t="n"/>
      <c r="DT82" s="3" t="n"/>
      <c r="DU82" s="3" t="n"/>
      <c r="DV82" s="3" t="n"/>
      <c r="DW82" s="3" t="inlineStr">
        <is>
          <t>No</t>
        </is>
      </c>
      <c r="DX82" s="3" t="n"/>
      <c r="DY82" s="3" t="n"/>
      <c r="DZ82" s="3" t="n"/>
      <c r="EA82" s="3" t="n"/>
      <c r="EB82" s="3" t="n"/>
      <c r="EC82" s="3" t="n"/>
      <c r="ED82" s="3" t="n"/>
      <c r="EE82" s="3" t="n"/>
      <c r="EF82" s="3" t="inlineStr">
        <is>
          <t>Don’t know or not applicable</t>
        </is>
      </c>
      <c r="EG82" s="3" t="inlineStr">
        <is>
          <t>Don’t know or not applicable</t>
        </is>
      </c>
      <c r="EH82" s="3" t="inlineStr">
        <is>
          <t>Don’t know or not applicable</t>
        </is>
      </c>
      <c r="EI82" s="3" t="inlineStr">
        <is>
          <t>Don’t know or not applicable</t>
        </is>
      </c>
      <c r="EJ82" s="3" t="inlineStr">
        <is>
          <t>Don’t know or not applicable</t>
        </is>
      </c>
      <c r="EK82" s="3" t="inlineStr">
        <is>
          <t>Don’t know or not applicable</t>
        </is>
      </c>
      <c r="EL82" s="3" t="inlineStr">
        <is>
          <t>Don’t know or not applicable</t>
        </is>
      </c>
      <c r="EM82" s="3" t="n"/>
      <c r="EN82" s="3" t="n"/>
      <c r="EO82" s="3" t="n"/>
      <c r="EP82" s="3" t="n"/>
      <c r="EQ82" s="3" t="inlineStr">
        <is>
          <t>To a great extent</t>
        </is>
      </c>
      <c r="ER82" s="3" t="inlineStr">
        <is>
          <t>To a moderate extent</t>
        </is>
      </c>
      <c r="ES82" s="3" t="n"/>
      <c r="ET82" s="3" t="inlineStr">
        <is>
          <t>To a great extent</t>
        </is>
      </c>
      <c r="EU82" s="3" t="inlineStr">
        <is>
          <t>To a great extent</t>
        </is>
      </c>
      <c r="EV82" s="3" t="inlineStr">
        <is>
          <t>Don’t know or not applicable</t>
        </is>
      </c>
      <c r="EW82" s="3" t="inlineStr">
        <is>
          <t>Don’t know or not applicable</t>
        </is>
      </c>
      <c r="EX82" s="3" t="n"/>
      <c r="EY82" s="3" t="inlineStr">
        <is>
          <t>To a moderate extent</t>
        </is>
      </c>
      <c r="EZ82" s="3" t="inlineStr">
        <is>
          <t>To a slight extent</t>
        </is>
      </c>
      <c r="FA82" s="3" t="inlineStr">
        <is>
          <t>To a great extent</t>
        </is>
      </c>
      <c r="FB82" s="3" t="inlineStr">
        <is>
          <t>To a great extent</t>
        </is>
      </c>
      <c r="FC82" s="3" t="inlineStr">
        <is>
          <t>To a great extent</t>
        </is>
      </c>
      <c r="FD82" s="3" t="inlineStr">
        <is>
          <t>Don’t know or not applicable</t>
        </is>
      </c>
      <c r="FE82" s="3" t="inlineStr">
        <is>
          <t>Don’t know or not applicable</t>
        </is>
      </c>
      <c r="FF82" s="3" t="inlineStr">
        <is>
          <t>Don’t know or not applicable</t>
        </is>
      </c>
      <c r="FG82" s="3" t="inlineStr">
        <is>
          <t>Don’t know or not applicable</t>
        </is>
      </c>
      <c r="FH82" s="3" t="inlineStr">
        <is>
          <t>To a moderate extent</t>
        </is>
      </c>
      <c r="FI82" s="3" t="inlineStr">
        <is>
          <t>To a moderate extent</t>
        </is>
      </c>
      <c r="FJ82" s="3" t="inlineStr">
        <is>
          <t>Not at all</t>
        </is>
      </c>
      <c r="FK82" s="3" t="inlineStr">
        <is>
          <t>Not at all</t>
        </is>
      </c>
      <c r="FL82" s="3" t="inlineStr">
        <is>
          <t>To a great extent</t>
        </is>
      </c>
      <c r="FM82" s="3" t="inlineStr">
        <is>
          <t>Don’t know or not applicable</t>
        </is>
      </c>
      <c r="FN82" s="3" t="inlineStr">
        <is>
          <t>Don’t know or not applicable</t>
        </is>
      </c>
      <c r="FO82" s="3" t="inlineStr">
        <is>
          <t>Don’t know or not applicable</t>
        </is>
      </c>
      <c r="FP82" s="3" t="inlineStr">
        <is>
          <t>Don’t know or not applicable</t>
        </is>
      </c>
      <c r="FQ82" s="3" t="inlineStr">
        <is>
          <t>To a slight extent</t>
        </is>
      </c>
      <c r="FR82" s="3" t="inlineStr">
        <is>
          <t>To a moderate extent</t>
        </is>
      </c>
      <c r="FS82" s="3" t="inlineStr">
        <is>
          <t>Don’t know or not applicable</t>
        </is>
      </c>
      <c r="FT82" s="3" t="inlineStr">
        <is>
          <t>Don’t know or not applicable</t>
        </is>
      </c>
      <c r="FU82" s="3" t="inlineStr">
        <is>
          <t>Don’t know or not applicable</t>
        </is>
      </c>
      <c r="FV82" s="3" t="n"/>
      <c r="FW82" s="3" t="inlineStr">
        <is>
          <t>The IMF dedicated the appropriate amount of resources</t>
        </is>
      </c>
      <c r="FX82" s="3" t="n"/>
      <c r="FY82" s="3" t="inlineStr">
        <is>
          <t>To a great extent</t>
        </is>
      </c>
      <c r="FZ82" s="3" t="inlineStr">
        <is>
          <t>To a great extent</t>
        </is>
      </c>
      <c r="GA82" s="3" t="inlineStr">
        <is>
          <t>To a great extent</t>
        </is>
      </c>
      <c r="GB82" s="3" t="inlineStr">
        <is>
          <t>To a moderate extent</t>
        </is>
      </c>
      <c r="GC82" s="3" t="inlineStr">
        <is>
          <t>Don’t know or not applicable</t>
        </is>
      </c>
      <c r="GD82" s="3" t="n"/>
      <c r="GE82" s="3" t="inlineStr">
        <is>
          <t>To a great extent</t>
        </is>
      </c>
      <c r="GF82" s="3" t="inlineStr">
        <is>
          <t>To a moderate extent</t>
        </is>
      </c>
      <c r="GG82" s="3" t="inlineStr">
        <is>
          <t>To a great extent</t>
        </is>
      </c>
      <c r="GH82" s="3" t="inlineStr">
        <is>
          <t>To a moderate extent</t>
        </is>
      </c>
      <c r="GI82" s="3" t="inlineStr">
        <is>
          <t>To a great extent</t>
        </is>
      </c>
      <c r="GJ82" s="3" t="inlineStr">
        <is>
          <t>To a great extent</t>
        </is>
      </c>
      <c r="GK82" s="3" t="n"/>
      <c r="GL82" s="5">
        <f>DATE(2025,6,6)+TIME(11,51,52)</f>
        <v/>
      </c>
    </row>
    <row r="83" ht="409.5" customHeight="1">
      <c r="A83" s="6" t="inlineStr">
        <is>
          <t>Kofi</t>
        </is>
      </c>
      <c r="B83" s="6" t="inlineStr">
        <is>
          <t>Torres</t>
        </is>
      </c>
      <c r="C83" s="6" t="inlineStr">
        <is>
          <t>ktorres@organization.org</t>
        </is>
      </c>
      <c r="D83" s="6" t="inlineStr">
        <is>
          <t>1DG35NJTC</t>
        </is>
      </c>
      <c r="E83" s="6" t="n"/>
      <c r="F83" s="6" t="inlineStr">
        <is>
          <t>OEDMI</t>
        </is>
      </c>
      <c r="G83" s="6" t="n"/>
      <c r="H83" s="6" t="n"/>
      <c r="I83" s="6" t="n"/>
      <c r="J83" s="6" t="n"/>
      <c r="K83" s="6" t="n"/>
      <c r="L83" s="6" t="n"/>
      <c r="M83" s="6" t="n"/>
      <c r="N83" s="6" t="n"/>
      <c r="O83" s="6" t="n"/>
      <c r="P83" s="6" t="n"/>
      <c r="Q83" s="6" t="n"/>
      <c r="R83" s="6" t="n"/>
      <c r="S83" s="6" t="n"/>
      <c r="T83" s="6" t="n"/>
      <c r="U83" s="6" t="n"/>
      <c r="V83" s="6" t="n"/>
      <c r="W83" s="6" t="inlineStr">
        <is>
          <t>Somalia</t>
        </is>
      </c>
      <c r="X83" s="6" t="n"/>
      <c r="Y83" s="6" t="n"/>
      <c r="Z83" s="6" t="n"/>
      <c r="AA83" s="6" t="n"/>
      <c r="AB83" s="6" t="n"/>
      <c r="AC83" s="6" t="n"/>
      <c r="AD83" s="6" t="n"/>
      <c r="AE83" s="6" t="n"/>
      <c r="AF83" s="4" t="inlineStr">
        <is>
          <t>Somalia</t>
        </is>
      </c>
      <c r="AG83" s="6" t="inlineStr">
        <is>
          <t>The IMF should engage less on climate change-related issues</t>
        </is>
      </c>
      <c r="AH83" s="6" t="inlineStr">
        <is>
          <t>To a moderate extent</t>
        </is>
      </c>
      <c r="AI83" s="6" t="inlineStr">
        <is>
          <t>Don’t know or not applicable</t>
        </is>
      </c>
      <c r="AJ83" s="6" t="inlineStr">
        <is>
          <t>Don’t know or not applicable</t>
        </is>
      </c>
      <c r="AK83" s="6" t="inlineStr">
        <is>
          <t>Don’t know or not applicable</t>
        </is>
      </c>
      <c r="AL83" s="6" t="inlineStr">
        <is>
          <t>Don’t know or not applicable</t>
        </is>
      </c>
      <c r="AM83" s="6" t="inlineStr">
        <is>
          <t>Don’t know or not applicable</t>
        </is>
      </c>
      <c r="AN83" s="6" t="inlineStr">
        <is>
          <t>To a moderate extent</t>
        </is>
      </c>
      <c r="AO83" s="6" t="inlineStr">
        <is>
          <t>To a moderate extent</t>
        </is>
      </c>
      <c r="AP83" s="6" t="inlineStr">
        <is>
          <t>Don’t know or not applicable</t>
        </is>
      </c>
      <c r="AQ83" s="6" t="inlineStr">
        <is>
          <t>Don’t know or not applicable</t>
        </is>
      </c>
      <c r="AR83" s="6" t="inlineStr">
        <is>
          <t>Don’t know or not applicable</t>
        </is>
      </c>
      <c r="AS83" s="6" t="n"/>
      <c r="AT83" s="6" t="inlineStr">
        <is>
          <t>Don’t know or not applicable</t>
        </is>
      </c>
      <c r="AU83" s="6" t="inlineStr">
        <is>
          <t>To a slight extent</t>
        </is>
      </c>
      <c r="AV83" s="6" t="inlineStr">
        <is>
          <t>Not at all</t>
        </is>
      </c>
      <c r="AW83" s="6" t="inlineStr">
        <is>
          <t>To a moderate extent</t>
        </is>
      </c>
      <c r="AX83" s="6" t="inlineStr">
        <is>
          <t>Not at all</t>
        </is>
      </c>
      <c r="AY83" s="6" t="inlineStr">
        <is>
          <t>Don’t know or not applicable</t>
        </is>
      </c>
      <c r="AZ83" s="6" t="inlineStr">
        <is>
          <t>To a moderate extent</t>
        </is>
      </c>
      <c r="BA83" s="6" t="inlineStr">
        <is>
          <t>To a moderate extent</t>
        </is>
      </c>
      <c r="BB83" s="6" t="inlineStr">
        <is>
          <t>To a moderate extent</t>
        </is>
      </c>
      <c r="BC83" s="6" t="inlineStr">
        <is>
          <t>Don’t know or not applicable</t>
        </is>
      </c>
      <c r="BD83" s="6" t="inlineStr">
        <is>
          <t>Don’t know or not applicable</t>
        </is>
      </c>
      <c r="BE83" s="6" t="inlineStr">
        <is>
          <t>Not at all</t>
        </is>
      </c>
      <c r="BF83" s="6" t="inlineStr">
        <is>
          <t>Not at all</t>
        </is>
      </c>
      <c r="BG83" s="6" t="inlineStr">
        <is>
          <t>Not at all</t>
        </is>
      </c>
      <c r="BH83" s="6" t="inlineStr">
        <is>
          <t>Not at all</t>
        </is>
      </c>
      <c r="BI83" s="6" t="inlineStr">
        <is>
          <t>Don’t know or not applicable</t>
        </is>
      </c>
      <c r="BJ83" s="6" t="inlineStr">
        <is>
          <t>To a slight extent</t>
        </is>
      </c>
      <c r="BK83" s="6" t="inlineStr">
        <is>
          <t>To a slight extent</t>
        </is>
      </c>
      <c r="BL83" s="6" t="inlineStr">
        <is>
          <t>Don’t know or not applicable</t>
        </is>
      </c>
      <c r="BM83" s="6" t="inlineStr">
        <is>
          <t>Not at all</t>
        </is>
      </c>
      <c r="BN83" s="6" t="inlineStr">
        <is>
          <t>Don’t know or not applicable</t>
        </is>
      </c>
      <c r="BO83" s="6" t="inlineStr">
        <is>
          <t>To a moderate extent</t>
        </is>
      </c>
      <c r="BP83" s="6" t="inlineStr">
        <is>
          <t>To a moderate extent</t>
        </is>
      </c>
      <c r="BQ83" s="6" t="inlineStr">
        <is>
          <t>Don’t know or not applicable</t>
        </is>
      </c>
      <c r="BR83" s="6" t="n"/>
      <c r="BS83" s="6" t="n"/>
      <c r="BT83" s="6" t="inlineStr">
        <is>
          <t>The IMF should have dedicated less resources</t>
        </is>
      </c>
      <c r="BU83" s="6" t="inlineStr">
        <is>
          <t>To a great extent</t>
        </is>
      </c>
      <c r="BV83" s="6" t="inlineStr">
        <is>
          <t>To a moderate extent</t>
        </is>
      </c>
      <c r="BW83" s="6" t="inlineStr">
        <is>
          <t>To a great extent</t>
        </is>
      </c>
      <c r="BX83" s="6" t="inlineStr">
        <is>
          <t>To a moderate extent</t>
        </is>
      </c>
      <c r="BY83" s="6" t="inlineStr">
        <is>
          <t>To a moderate extent</t>
        </is>
      </c>
      <c r="BZ83" s="6" t="inlineStr">
        <is>
          <t>To a great extent</t>
        </is>
      </c>
      <c r="CA83" s="6" t="inlineStr">
        <is>
          <t>To a great extent</t>
        </is>
      </c>
      <c r="CB83" s="6" t="inlineStr">
        <is>
          <t>To a moderate extent</t>
        </is>
      </c>
      <c r="CC83" s="6" t="inlineStr">
        <is>
          <t>To a moderate extent</t>
        </is>
      </c>
      <c r="CD83" s="6" t="inlineStr">
        <is>
          <t>To a great extent</t>
        </is>
      </c>
      <c r="CE83" s="6" t="inlineStr">
        <is>
          <t>To a moderate extent</t>
        </is>
      </c>
      <c r="CF83" s="6" t="inlineStr">
        <is>
          <t>To a great extent</t>
        </is>
      </c>
      <c r="CG83" s="6" t="n"/>
      <c r="CH83" s="6" t="inlineStr">
        <is>
          <t>No</t>
        </is>
      </c>
      <c r="CI83" s="6" t="inlineStr">
        <is>
          <t>Yes</t>
        </is>
      </c>
      <c r="CJ83" s="6" t="n"/>
      <c r="CK83" s="6" t="n"/>
      <c r="CL83" s="6" t="n"/>
      <c r="CM83" s="6" t="n"/>
      <c r="CN83" s="6" t="n"/>
      <c r="CO83" s="6" t="n"/>
      <c r="CP83" s="6" t="n"/>
      <c r="CQ83" s="6" t="n"/>
      <c r="CR83" s="6" t="n"/>
      <c r="CS83" s="6" t="n"/>
      <c r="CT83" s="6" t="n"/>
      <c r="CU83" s="6" t="n"/>
      <c r="CV83" s="6" t="n"/>
      <c r="CW83" s="6" t="n"/>
      <c r="CX83" s="6" t="n"/>
      <c r="CY83" s="6" t="n"/>
      <c r="CZ83" s="6" t="n"/>
      <c r="DA83" s="6" t="n"/>
      <c r="DB83" s="6" t="n"/>
      <c r="DC83" s="6" t="n"/>
      <c r="DD83" s="6" t="n"/>
      <c r="DE83" s="6" t="n"/>
      <c r="DF83" s="6" t="n"/>
      <c r="DG83" s="6" t="n"/>
      <c r="DH83" s="6" t="n"/>
      <c r="DI83" s="6" t="n"/>
      <c r="DJ83" s="6" t="n"/>
      <c r="DK83" s="6" t="n"/>
      <c r="DL83" s="6" t="n"/>
      <c r="DM83" s="6" t="n"/>
      <c r="DN83" s="6" t="n"/>
      <c r="DO83" s="6" t="n"/>
      <c r="DP83" s="6" t="n"/>
      <c r="DQ83" s="6" t="n"/>
      <c r="DR83" s="6" t="inlineStr">
        <is>
          <t>Insufficient administrative capacity to implement an IMF   program concurrent with an RSF arrangement</t>
        </is>
      </c>
      <c r="DS83" s="6" t="inlineStr">
        <is>
          <t>More convenient alternative financing options</t>
        </is>
      </c>
      <c r="DT83" s="6" t="n"/>
      <c r="DU83" s="6" t="n"/>
      <c r="DV83" s="6" t="n"/>
      <c r="DW83" s="6" t="inlineStr">
        <is>
          <t>Yes</t>
        </is>
      </c>
      <c r="DX83" s="6" t="inlineStr">
        <is>
          <t>World Bank Group</t>
        </is>
      </c>
      <c r="DY83" s="6" t="n"/>
      <c r="DZ83" s="6" t="inlineStr">
        <is>
          <t>Bilateral sources</t>
        </is>
      </c>
      <c r="EA83" s="6" t="n"/>
      <c r="EB83" s="6" t="n"/>
      <c r="EC83" s="6" t="inlineStr">
        <is>
          <t>Not at all</t>
        </is>
      </c>
      <c r="ED83" s="6" t="inlineStr">
        <is>
          <t>Not at all</t>
        </is>
      </c>
      <c r="EE83" s="6" t="inlineStr">
        <is>
          <t>Don’t know or not applicable</t>
        </is>
      </c>
      <c r="EF83" s="6" t="inlineStr">
        <is>
          <t>Don’t know or not applicable</t>
        </is>
      </c>
      <c r="EG83" s="6" t="inlineStr">
        <is>
          <t>To a slight extent</t>
        </is>
      </c>
      <c r="EH83" s="6" t="inlineStr">
        <is>
          <t>Don’t know or not applicable</t>
        </is>
      </c>
      <c r="EI83" s="6" t="inlineStr">
        <is>
          <t>To a slight extent</t>
        </is>
      </c>
      <c r="EJ83" s="6" t="inlineStr">
        <is>
          <t>To a moderate extent</t>
        </is>
      </c>
      <c r="EK83" s="6" t="inlineStr">
        <is>
          <t>To a great extent</t>
        </is>
      </c>
      <c r="EL83" s="6" t="inlineStr">
        <is>
          <t>To a slight extent</t>
        </is>
      </c>
      <c r="EM83" s="6" t="inlineStr">
        <is>
          <t>Not at all</t>
        </is>
      </c>
      <c r="EN83" s="6" t="inlineStr">
        <is>
          <t>Not at all</t>
        </is>
      </c>
      <c r="EO83" s="6" t="inlineStr">
        <is>
          <t>To a slight extent</t>
        </is>
      </c>
      <c r="EP83" s="6" t="n"/>
      <c r="EQ83" s="6" t="inlineStr">
        <is>
          <t>To a slight extent</t>
        </is>
      </c>
      <c r="ER83" s="6" t="inlineStr">
        <is>
          <t>To a slight extent</t>
        </is>
      </c>
      <c r="ES83" s="6" t="n"/>
      <c r="ET83" s="6" t="inlineStr">
        <is>
          <t>To a slight extent</t>
        </is>
      </c>
      <c r="EU83" s="6" t="inlineStr">
        <is>
          <t>To a slight extent</t>
        </is>
      </c>
      <c r="EV83" s="6" t="inlineStr">
        <is>
          <t>Not at all</t>
        </is>
      </c>
      <c r="EW83" s="6" t="n"/>
      <c r="EX83" s="6" t="n"/>
      <c r="EY83" s="6" t="inlineStr">
        <is>
          <t>Don’t know or not applicable</t>
        </is>
      </c>
      <c r="EZ83" s="6" t="inlineStr">
        <is>
          <t>To a slight extent</t>
        </is>
      </c>
      <c r="FA83" s="6" t="inlineStr">
        <is>
          <t>To a slight extent</t>
        </is>
      </c>
      <c r="FB83" s="6" t="inlineStr">
        <is>
          <t>To a slight extent</t>
        </is>
      </c>
      <c r="FC83" s="6" t="inlineStr">
        <is>
          <t>Don’t know or not applicable</t>
        </is>
      </c>
      <c r="FD83" s="6" t="inlineStr">
        <is>
          <t>Don’t know or not applicable</t>
        </is>
      </c>
      <c r="FE83" s="6" t="inlineStr">
        <is>
          <t>Don’t know or not applicable</t>
        </is>
      </c>
      <c r="FF83" s="6" t="inlineStr">
        <is>
          <t>Don’t know or not applicable</t>
        </is>
      </c>
      <c r="FG83" s="6" t="inlineStr">
        <is>
          <t>Don’t know or not applicable</t>
        </is>
      </c>
      <c r="FH83" s="6" t="inlineStr">
        <is>
          <t>To a slight extent</t>
        </is>
      </c>
      <c r="FI83" s="6" t="inlineStr">
        <is>
          <t>Don’t know or not applicable</t>
        </is>
      </c>
      <c r="FJ83" s="6" t="inlineStr">
        <is>
          <t>Don’t know or not applicable</t>
        </is>
      </c>
      <c r="FK83" s="6" t="inlineStr">
        <is>
          <t>To a slight extent</t>
        </is>
      </c>
      <c r="FL83" s="6" t="inlineStr">
        <is>
          <t>To a slight extent</t>
        </is>
      </c>
      <c r="FM83" s="6" t="inlineStr">
        <is>
          <t>Don’t know or not applicable</t>
        </is>
      </c>
      <c r="FN83" s="6" t="inlineStr">
        <is>
          <t>Don’t know or not applicable</t>
        </is>
      </c>
      <c r="FO83" s="6" t="inlineStr">
        <is>
          <t>Don’t know or not applicable</t>
        </is>
      </c>
      <c r="FP83" s="6" t="inlineStr">
        <is>
          <t>Don’t know or not applicable</t>
        </is>
      </c>
      <c r="FQ83" s="6" t="inlineStr">
        <is>
          <t>Don’t know or not applicable</t>
        </is>
      </c>
      <c r="FR83" s="6" t="inlineStr">
        <is>
          <t>To a moderate extent</t>
        </is>
      </c>
      <c r="FS83" s="6" t="inlineStr">
        <is>
          <t>Not at all</t>
        </is>
      </c>
      <c r="FT83" s="6" t="inlineStr">
        <is>
          <t>Don’t know or not applicable</t>
        </is>
      </c>
      <c r="FU83" s="6" t="n"/>
      <c r="FV83" s="6" t="n"/>
      <c r="FW83" s="6" t="inlineStr">
        <is>
          <t>The IMF should have dedicated less resources</t>
        </is>
      </c>
      <c r="FX83" s="6" t="n"/>
      <c r="FY83" s="6" t="inlineStr">
        <is>
          <t>To a moderate extent</t>
        </is>
      </c>
      <c r="FZ83" s="6" t="inlineStr">
        <is>
          <t>To a moderate extent</t>
        </is>
      </c>
      <c r="GA83" s="6" t="inlineStr">
        <is>
          <t>To a great extent</t>
        </is>
      </c>
      <c r="GB83" s="6" t="inlineStr">
        <is>
          <t>To a slight extent</t>
        </is>
      </c>
      <c r="GC83" s="6" t="n"/>
      <c r="GD83" s="6" t="n"/>
      <c r="GE83" s="6" t="inlineStr">
        <is>
          <t>To a great extent</t>
        </is>
      </c>
      <c r="GF83" s="6" t="inlineStr">
        <is>
          <t>To a slight extent</t>
        </is>
      </c>
      <c r="GG83" s="6" t="inlineStr">
        <is>
          <t>To a great extent</t>
        </is>
      </c>
      <c r="GH83" s="6" t="inlineStr">
        <is>
          <t>To a slight extent</t>
        </is>
      </c>
      <c r="GI83" s="6" t="inlineStr">
        <is>
          <t>To a great extent</t>
        </is>
      </c>
      <c r="GJ83" s="6" t="inlineStr">
        <is>
          <t>To a great extent</t>
        </is>
      </c>
      <c r="GK83" s="6" t="inlineStr">
        <is>
          <t>The Comprehensive Surveillance Review (CSR) should
determine the Fund's engagement in non-core areas, mindful
of the need to prioritize the core mandate.
Such engagement should be conditional on macro-criticality,
which needs to be carefully defined in the context of the CSR.
This applies to the Fund's work on climate change-related issues.
When carried out, the Fund's work on climate change-related
issues should pay close attention to adaptation and transition
challenges, especially in countries facing heightened vulnerabilities.</t>
        </is>
      </c>
      <c r="GL83" s="7">
        <f>DATE(2025,6,6)+TIME(16,42,21)</f>
        <v/>
      </c>
    </row>
    <row r="84" ht="78.75" customHeight="1">
      <c r="A84" s="3" t="inlineStr">
        <is>
          <t>Hana</t>
        </is>
      </c>
      <c r="B84" s="3" t="inlineStr">
        <is>
          <t>Visser</t>
        </is>
      </c>
      <c r="C84" s="3" t="inlineStr">
        <is>
          <t>hvisser@organization.org</t>
        </is>
      </c>
      <c r="D84" s="3" t="inlineStr">
        <is>
          <t>FL306Q76N</t>
        </is>
      </c>
      <c r="E84" s="3" t="n"/>
      <c r="F84" s="3" t="inlineStr">
        <is>
          <t>OEDAW</t>
        </is>
      </c>
      <c r="G84" s="3" t="n"/>
      <c r="H84" s="3" t="n"/>
      <c r="I84" s="3" t="n"/>
      <c r="J84" s="3" t="n"/>
      <c r="K84" s="3" t="inlineStr">
        <is>
          <t>Sierra Leone</t>
        </is>
      </c>
      <c r="L84" s="3" t="n"/>
      <c r="M84" s="3" t="n"/>
      <c r="N84" s="3" t="n"/>
      <c r="O84" s="3" t="n"/>
      <c r="P84" s="3" t="n"/>
      <c r="Q84" s="3" t="n"/>
      <c r="R84" s="3" t="n"/>
      <c r="S84" s="3" t="n"/>
      <c r="T84" s="3" t="n"/>
      <c r="U84" s="3" t="n"/>
      <c r="V84" s="3" t="n"/>
      <c r="W84" s="3" t="n"/>
      <c r="X84" s="3" t="n"/>
      <c r="Y84" s="3" t="n"/>
      <c r="Z84" s="3" t="n"/>
      <c r="AA84" s="3" t="n"/>
      <c r="AB84" s="3" t="n"/>
      <c r="AC84" s="3" t="n"/>
      <c r="AD84" s="3" t="n"/>
      <c r="AE84" s="3" t="n"/>
      <c r="AF84" s="4" t="inlineStr">
        <is>
          <t>Sierra Leone</t>
        </is>
      </c>
      <c r="AG84" s="3" t="inlineStr">
        <is>
          <t>The IMF should engage a similar amount on climate change-related issues</t>
        </is>
      </c>
      <c r="AH84" s="3" t="inlineStr">
        <is>
          <t>To a great extent</t>
        </is>
      </c>
      <c r="AI84" s="3" t="inlineStr">
        <is>
          <t>To a great extent</t>
        </is>
      </c>
      <c r="AJ84" s="3" t="inlineStr">
        <is>
          <t>To a great extent</t>
        </is>
      </c>
      <c r="AK84" s="3" t="inlineStr">
        <is>
          <t>To a great extent</t>
        </is>
      </c>
      <c r="AL84" s="3" t="inlineStr">
        <is>
          <t>To a great extent</t>
        </is>
      </c>
      <c r="AM84" s="3" t="inlineStr">
        <is>
          <t>To a great extent</t>
        </is>
      </c>
      <c r="AN84" s="3" t="inlineStr">
        <is>
          <t>To a great extent</t>
        </is>
      </c>
      <c r="AO84" s="3" t="inlineStr">
        <is>
          <t>To a great extent</t>
        </is>
      </c>
      <c r="AP84" s="3" t="inlineStr">
        <is>
          <t>To a great extent</t>
        </is>
      </c>
      <c r="AQ84" s="3" t="inlineStr">
        <is>
          <t>To a great extent</t>
        </is>
      </c>
      <c r="AR84" s="3" t="inlineStr">
        <is>
          <t>To a great extent</t>
        </is>
      </c>
      <c r="AS84" s="3" t="n"/>
      <c r="AT84" s="3" t="inlineStr">
        <is>
          <t>To a great extent</t>
        </is>
      </c>
      <c r="AU84" s="3" t="inlineStr">
        <is>
          <t>To a great extent</t>
        </is>
      </c>
      <c r="AV84" s="3" t="inlineStr">
        <is>
          <t>Not at all</t>
        </is>
      </c>
      <c r="AW84" s="3" t="inlineStr">
        <is>
          <t>To a great extent</t>
        </is>
      </c>
      <c r="AX84" s="3" t="inlineStr">
        <is>
          <t>To a great extent</t>
        </is>
      </c>
      <c r="AY84" s="3" t="inlineStr">
        <is>
          <t>To a great extent</t>
        </is>
      </c>
      <c r="AZ84" s="3" t="inlineStr">
        <is>
          <t>To a great extent</t>
        </is>
      </c>
      <c r="BA84" s="3" t="inlineStr">
        <is>
          <t>Not at all</t>
        </is>
      </c>
      <c r="BB84" s="3" t="inlineStr">
        <is>
          <t>To a great extent</t>
        </is>
      </c>
      <c r="BC84" s="3" t="inlineStr">
        <is>
          <t>To a great extent</t>
        </is>
      </c>
      <c r="BD84" s="3" t="inlineStr">
        <is>
          <t>To a great extent</t>
        </is>
      </c>
      <c r="BE84" s="3" t="inlineStr">
        <is>
          <t>To a great extent</t>
        </is>
      </c>
      <c r="BF84" s="3" t="inlineStr">
        <is>
          <t>Not at all</t>
        </is>
      </c>
      <c r="BG84" s="3" t="inlineStr">
        <is>
          <t>To a great extent</t>
        </is>
      </c>
      <c r="BH84" s="3" t="inlineStr">
        <is>
          <t>To a great extent</t>
        </is>
      </c>
      <c r="BI84" s="3" t="inlineStr">
        <is>
          <t>To a great extent</t>
        </is>
      </c>
      <c r="BJ84" s="3" t="inlineStr">
        <is>
          <t>To a great extent</t>
        </is>
      </c>
      <c r="BK84" s="3" t="inlineStr">
        <is>
          <t>Not at all</t>
        </is>
      </c>
      <c r="BL84" s="3" t="inlineStr">
        <is>
          <t>To a great extent</t>
        </is>
      </c>
      <c r="BM84" s="3" t="inlineStr">
        <is>
          <t>To a great extent</t>
        </is>
      </c>
      <c r="BN84" s="3" t="inlineStr">
        <is>
          <t>To a great extent</t>
        </is>
      </c>
      <c r="BO84" s="3" t="inlineStr">
        <is>
          <t>To a great extent</t>
        </is>
      </c>
      <c r="BP84" s="3" t="inlineStr">
        <is>
          <t>To a great extent</t>
        </is>
      </c>
      <c r="BQ84" s="3" t="inlineStr">
        <is>
          <t>To a great extent</t>
        </is>
      </c>
      <c r="BR84" s="3" t="inlineStr">
        <is>
          <t>Don’t know or not applicable</t>
        </is>
      </c>
      <c r="BS84" s="3" t="n"/>
      <c r="BT84" s="3" t="inlineStr">
        <is>
          <t>The IMF dedicated an appropriate amount of resources</t>
        </is>
      </c>
      <c r="BU84" s="3" t="inlineStr">
        <is>
          <t>To a great extent</t>
        </is>
      </c>
      <c r="BV84" s="3" t="inlineStr">
        <is>
          <t>To a great extent</t>
        </is>
      </c>
      <c r="BW84" s="3" t="inlineStr">
        <is>
          <t>To a great extent</t>
        </is>
      </c>
      <c r="BX84" s="3" t="inlineStr">
        <is>
          <t>To a great extent</t>
        </is>
      </c>
      <c r="BY84" s="3" t="inlineStr">
        <is>
          <t>To a great extent</t>
        </is>
      </c>
      <c r="BZ84" s="3" t="inlineStr">
        <is>
          <t>To a great extent</t>
        </is>
      </c>
      <c r="CA84" s="3" t="inlineStr">
        <is>
          <t>To a great extent</t>
        </is>
      </c>
      <c r="CB84" s="3" t="inlineStr">
        <is>
          <t>To a great extent</t>
        </is>
      </c>
      <c r="CC84" s="3" t="inlineStr">
        <is>
          <t>To a great extent</t>
        </is>
      </c>
      <c r="CD84" s="3" t="inlineStr">
        <is>
          <t>To a great extent</t>
        </is>
      </c>
      <c r="CE84" s="3" t="inlineStr">
        <is>
          <t>To a great extent</t>
        </is>
      </c>
      <c r="CF84" s="3" t="inlineStr">
        <is>
          <t>To a great extent</t>
        </is>
      </c>
      <c r="CG84" s="3" t="n"/>
      <c r="CH84" s="3" t="inlineStr">
        <is>
          <t>No</t>
        </is>
      </c>
      <c r="CI84" s="3" t="inlineStr">
        <is>
          <t>Yes</t>
        </is>
      </c>
      <c r="CJ84" s="3" t="n"/>
      <c r="CK84" s="3" t="n"/>
      <c r="CL84" s="3" t="n"/>
      <c r="CM84" s="3" t="n"/>
      <c r="CN84" s="3" t="n"/>
      <c r="CO84" s="3" t="n"/>
      <c r="CP84" s="3" t="n"/>
      <c r="CQ84" s="3" t="n"/>
      <c r="CR84" s="3" t="n"/>
      <c r="CS84" s="3" t="n"/>
      <c r="CT84" s="3" t="n"/>
      <c r="CU84" s="3" t="n"/>
      <c r="CV84" s="3" t="n"/>
      <c r="CW84" s="3" t="n"/>
      <c r="CX84" s="3" t="n"/>
      <c r="CY84" s="3" t="n"/>
      <c r="CZ84" s="3" t="n"/>
      <c r="DA84" s="3" t="n"/>
      <c r="DB84" s="3" t="n"/>
      <c r="DC84" s="3" t="n"/>
      <c r="DD84" s="3" t="n"/>
      <c r="DE84" s="3" t="n"/>
      <c r="DF84" s="3" t="n"/>
      <c r="DG84" s="3" t="n"/>
      <c r="DH84" s="3" t="n"/>
      <c r="DI84" s="3" t="n"/>
      <c r="DJ84" s="3" t="n"/>
      <c r="DK84" s="3" t="n"/>
      <c r="DL84" s="3" t="n"/>
      <c r="DM84" s="3" t="n"/>
      <c r="DN84" s="3" t="n"/>
      <c r="DO84" s="3" t="n"/>
      <c r="DP84" s="3" t="n"/>
      <c r="DQ84" s="3" t="n"/>
      <c r="DR84" s="3" t="n"/>
      <c r="DS84" s="3" t="n"/>
      <c r="DT84" s="3" t="inlineStr">
        <is>
          <t>My country requested an RSF arrangement but it has not been approved yet or the request did not progress</t>
        </is>
      </c>
      <c r="DU84" s="3" t="n"/>
      <c r="DV84" s="3" t="n"/>
      <c r="DW84" s="3" t="inlineStr">
        <is>
          <t>No</t>
        </is>
      </c>
      <c r="DX84" s="3" t="n"/>
      <c r="DY84" s="3" t="n"/>
      <c r="DZ84" s="3" t="n"/>
      <c r="EA84" s="3" t="n"/>
      <c r="EB84" s="3" t="n"/>
      <c r="EC84" s="3" t="n"/>
      <c r="ED84" s="3" t="n"/>
      <c r="EE84" s="3" t="n"/>
      <c r="EF84" s="3" t="inlineStr">
        <is>
          <t>To a great extent</t>
        </is>
      </c>
      <c r="EG84" s="3" t="inlineStr">
        <is>
          <t>To a moderate extent</t>
        </is>
      </c>
      <c r="EH84" s="3" t="inlineStr">
        <is>
          <t>To a moderate extent</t>
        </is>
      </c>
      <c r="EI84" s="3" t="inlineStr">
        <is>
          <t>To a great extent</t>
        </is>
      </c>
      <c r="EJ84" s="3" t="inlineStr">
        <is>
          <t>To a great extent</t>
        </is>
      </c>
      <c r="EK84" s="3" t="inlineStr">
        <is>
          <t>To a moderate extent</t>
        </is>
      </c>
      <c r="EL84" s="3" t="inlineStr">
        <is>
          <t>To a great extent</t>
        </is>
      </c>
      <c r="EM84" s="3" t="inlineStr">
        <is>
          <t>To a great extent</t>
        </is>
      </c>
      <c r="EN84" s="3" t="inlineStr">
        <is>
          <t>Not at all</t>
        </is>
      </c>
      <c r="EO84" s="3" t="inlineStr">
        <is>
          <t>Not at all</t>
        </is>
      </c>
      <c r="EP84" s="3" t="n"/>
      <c r="EQ84" s="3" t="inlineStr">
        <is>
          <t>To a great extent</t>
        </is>
      </c>
      <c r="ER84" s="3" t="inlineStr">
        <is>
          <t>To a great extent</t>
        </is>
      </c>
      <c r="ES84" s="3" t="n"/>
      <c r="ET84" s="3" t="inlineStr">
        <is>
          <t>To a great extent</t>
        </is>
      </c>
      <c r="EU84" s="3" t="inlineStr">
        <is>
          <t>To a great extent</t>
        </is>
      </c>
      <c r="EV84" s="3" t="inlineStr">
        <is>
          <t>To a great extent</t>
        </is>
      </c>
      <c r="EW84" s="3" t="inlineStr">
        <is>
          <t>Don’t know or not applicable</t>
        </is>
      </c>
      <c r="EX84" s="3" t="n"/>
      <c r="EY84" s="3" t="inlineStr">
        <is>
          <t>To a great extent</t>
        </is>
      </c>
      <c r="EZ84" s="3" t="inlineStr">
        <is>
          <t>Not at all</t>
        </is>
      </c>
      <c r="FA84" s="3" t="inlineStr">
        <is>
          <t>To a great extent</t>
        </is>
      </c>
      <c r="FB84" s="3" t="inlineStr">
        <is>
          <t>To a great extent</t>
        </is>
      </c>
      <c r="FC84" s="3" t="inlineStr">
        <is>
          <t>To a great extent</t>
        </is>
      </c>
      <c r="FD84" s="3" t="inlineStr">
        <is>
          <t>To a great extent</t>
        </is>
      </c>
      <c r="FE84" s="3" t="inlineStr">
        <is>
          <t>To a great extent</t>
        </is>
      </c>
      <c r="FF84" s="3" t="inlineStr">
        <is>
          <t>To a great extent</t>
        </is>
      </c>
      <c r="FG84" s="3" t="inlineStr">
        <is>
          <t>To a great extent</t>
        </is>
      </c>
      <c r="FH84" s="3" t="inlineStr">
        <is>
          <t>To a great extent</t>
        </is>
      </c>
      <c r="FI84" s="3" t="inlineStr">
        <is>
          <t>To a great extent</t>
        </is>
      </c>
      <c r="FJ84" s="3" t="inlineStr">
        <is>
          <t>Not at all</t>
        </is>
      </c>
      <c r="FK84" s="3" t="inlineStr">
        <is>
          <t>To a great extent</t>
        </is>
      </c>
      <c r="FL84" s="3" t="inlineStr">
        <is>
          <t>To a great extent</t>
        </is>
      </c>
      <c r="FM84" s="3" t="inlineStr">
        <is>
          <t>To a great extent</t>
        </is>
      </c>
      <c r="FN84" s="3" t="inlineStr">
        <is>
          <t>To a great extent</t>
        </is>
      </c>
      <c r="FO84" s="3" t="inlineStr">
        <is>
          <t>To a great extent</t>
        </is>
      </c>
      <c r="FP84" s="3" t="inlineStr">
        <is>
          <t>To a great extent</t>
        </is>
      </c>
      <c r="FQ84" s="3" t="inlineStr">
        <is>
          <t>To a great extent</t>
        </is>
      </c>
      <c r="FR84" s="3" t="inlineStr">
        <is>
          <t>To a great extent</t>
        </is>
      </c>
      <c r="FS84" s="3" t="inlineStr">
        <is>
          <t>Don’t know or not applicable</t>
        </is>
      </c>
      <c r="FT84" s="3" t="inlineStr">
        <is>
          <t>To a great extent</t>
        </is>
      </c>
      <c r="FU84" s="3" t="inlineStr">
        <is>
          <t>Don’t know or not applicable</t>
        </is>
      </c>
      <c r="FV84" s="3" t="n"/>
      <c r="FW84" s="3" t="inlineStr">
        <is>
          <t>The IMF dedicated the appropriate amount of resources</t>
        </is>
      </c>
      <c r="FX84" s="3" t="n"/>
      <c r="FY84" s="3" t="inlineStr">
        <is>
          <t>To a great extent</t>
        </is>
      </c>
      <c r="FZ84" s="3" t="inlineStr">
        <is>
          <t>To a great extent</t>
        </is>
      </c>
      <c r="GA84" s="3" t="inlineStr">
        <is>
          <t>To a great extent</t>
        </is>
      </c>
      <c r="GB84" s="3" t="inlineStr">
        <is>
          <t>To a great extent</t>
        </is>
      </c>
      <c r="GC84" s="3" t="inlineStr">
        <is>
          <t>Don’t know or not applicable</t>
        </is>
      </c>
      <c r="GD84" s="3" t="n"/>
      <c r="GE84" s="3" t="inlineStr">
        <is>
          <t>To a moderate extent</t>
        </is>
      </c>
      <c r="GF84" s="3" t="inlineStr">
        <is>
          <t>To a great extent</t>
        </is>
      </c>
      <c r="GG84" s="3" t="inlineStr">
        <is>
          <t>To a moderate extent</t>
        </is>
      </c>
      <c r="GH84" s="3" t="inlineStr">
        <is>
          <t>To a great extent</t>
        </is>
      </c>
      <c r="GI84" s="3" t="inlineStr">
        <is>
          <t>To a great extent</t>
        </is>
      </c>
      <c r="GJ84" s="3" t="inlineStr">
        <is>
          <t>To a great extent</t>
        </is>
      </c>
      <c r="GK84" s="3" t="n"/>
      <c r="GL84" s="5">
        <f>DATE(2025,6,4)+TIME(9,36,40)</f>
        <v/>
      </c>
    </row>
    <row r="85" ht="204.75" customHeight="1">
      <c r="A85" s="6" t="inlineStr">
        <is>
          <t>James</t>
        </is>
      </c>
      <c r="B85" s="6" t="inlineStr">
        <is>
          <t>Garcia</t>
        </is>
      </c>
      <c r="C85" s="6" t="inlineStr">
        <is>
          <t>jgarcia@organization.org</t>
        </is>
      </c>
      <c r="D85" s="6" t="inlineStr">
        <is>
          <t>R6IXHLVE2</t>
        </is>
      </c>
      <c r="E85" s="6" t="n"/>
      <c r="F85" s="6" t="inlineStr">
        <is>
          <t>OEDST</t>
        </is>
      </c>
      <c r="G85" s="6" t="n"/>
      <c r="H85" s="6" t="n"/>
      <c r="I85" s="6" t="n"/>
      <c r="J85" s="6" t="n"/>
      <c r="K85" s="6" t="n"/>
      <c r="L85" s="6" t="n"/>
      <c r="M85" s="6" t="n"/>
      <c r="N85" s="6" t="n"/>
      <c r="O85" s="6" t="n"/>
      <c r="P85" s="6" t="n"/>
      <c r="Q85" s="6" t="n"/>
      <c r="R85" s="6" t="n"/>
      <c r="S85" s="6" t="n"/>
      <c r="T85" s="6" t="n"/>
      <c r="U85" s="6" t="n"/>
      <c r="V85" s="6" t="n"/>
      <c r="W85" s="6" t="n"/>
      <c r="X85" s="6" t="n"/>
      <c r="Y85" s="6" t="n"/>
      <c r="Z85" s="6" t="n"/>
      <c r="AA85" s="6" t="n"/>
      <c r="AB85" s="6" t="inlineStr">
        <is>
          <t>Nepal</t>
        </is>
      </c>
      <c r="AC85" s="6" t="n"/>
      <c r="AD85" s="6" t="n"/>
      <c r="AE85" s="6" t="n"/>
      <c r="AF85" s="4" t="inlineStr">
        <is>
          <t>Nepal</t>
        </is>
      </c>
      <c r="AG85" s="6" t="inlineStr">
        <is>
          <t>The IMF should engage more on climate change-related issues</t>
        </is>
      </c>
      <c r="AH85" s="6" t="inlineStr">
        <is>
          <t>To a great extent</t>
        </is>
      </c>
      <c r="AI85" s="6" t="inlineStr">
        <is>
          <t>To a moderate extent</t>
        </is>
      </c>
      <c r="AJ85" s="6" t="inlineStr">
        <is>
          <t>To a moderate extent</t>
        </is>
      </c>
      <c r="AK85" s="6" t="inlineStr">
        <is>
          <t>To a moderate extent</t>
        </is>
      </c>
      <c r="AL85" s="6" t="inlineStr">
        <is>
          <t>To a moderate extent</t>
        </is>
      </c>
      <c r="AM85" s="6" t="inlineStr">
        <is>
          <t>To a moderate extent</t>
        </is>
      </c>
      <c r="AN85" s="6" t="inlineStr">
        <is>
          <t>To a moderate extent</t>
        </is>
      </c>
      <c r="AO85" s="6" t="inlineStr">
        <is>
          <t>To a moderate extent</t>
        </is>
      </c>
      <c r="AP85" s="6" t="inlineStr">
        <is>
          <t>To a moderate extent</t>
        </is>
      </c>
      <c r="AQ85" s="6" t="inlineStr">
        <is>
          <t>To a great extent</t>
        </is>
      </c>
      <c r="AR85" s="6" t="inlineStr">
        <is>
          <t>To a great extent</t>
        </is>
      </c>
      <c r="AS85" s="6" t="n"/>
      <c r="AT85" s="6" t="inlineStr">
        <is>
          <t>Don’t know or not applicable</t>
        </is>
      </c>
      <c r="AU85" s="6" t="inlineStr">
        <is>
          <t>Don’t know or not applicable</t>
        </is>
      </c>
      <c r="AV85" s="6" t="inlineStr">
        <is>
          <t>Don’t know or not applicable</t>
        </is>
      </c>
      <c r="AW85" s="6" t="inlineStr">
        <is>
          <t>To a great extent</t>
        </is>
      </c>
      <c r="AX85" s="6" t="inlineStr">
        <is>
          <t>To a great extent</t>
        </is>
      </c>
      <c r="AY85" s="6" t="inlineStr">
        <is>
          <t>To a moderate extent</t>
        </is>
      </c>
      <c r="AZ85" s="6" t="inlineStr">
        <is>
          <t>To a moderate extent</t>
        </is>
      </c>
      <c r="BA85" s="6" t="inlineStr">
        <is>
          <t>Don’t know or not applicable</t>
        </is>
      </c>
      <c r="BB85" s="6" t="inlineStr">
        <is>
          <t>To a moderate extent</t>
        </is>
      </c>
      <c r="BC85" s="6" t="inlineStr">
        <is>
          <t>To a moderate extent</t>
        </is>
      </c>
      <c r="BD85" s="6" t="inlineStr">
        <is>
          <t>To a moderate extent</t>
        </is>
      </c>
      <c r="BE85" s="6" t="inlineStr">
        <is>
          <t>Not at all</t>
        </is>
      </c>
      <c r="BF85" s="6" t="inlineStr">
        <is>
          <t>Don’t know or not applicable</t>
        </is>
      </c>
      <c r="BG85" s="6" t="inlineStr">
        <is>
          <t>Not at all</t>
        </is>
      </c>
      <c r="BH85" s="6" t="inlineStr">
        <is>
          <t>Not at all</t>
        </is>
      </c>
      <c r="BI85" s="6" t="inlineStr">
        <is>
          <t>Don’t know or not applicable</t>
        </is>
      </c>
      <c r="BJ85" s="6" t="inlineStr">
        <is>
          <t>To a moderate extent</t>
        </is>
      </c>
      <c r="BK85" s="6" t="inlineStr">
        <is>
          <t>Don’t know or not applicable</t>
        </is>
      </c>
      <c r="BL85" s="6" t="inlineStr">
        <is>
          <t>To a moderate extent</t>
        </is>
      </c>
      <c r="BM85" s="6" t="inlineStr">
        <is>
          <t>To a moderate extent</t>
        </is>
      </c>
      <c r="BN85" s="6" t="inlineStr">
        <is>
          <t>Don’t know or not applicable</t>
        </is>
      </c>
      <c r="BO85" s="6" t="inlineStr">
        <is>
          <t>Don’t know or not applicable</t>
        </is>
      </c>
      <c r="BP85" s="6" t="inlineStr">
        <is>
          <t>Don’t know or not applicable</t>
        </is>
      </c>
      <c r="BQ85" s="6" t="inlineStr">
        <is>
          <t>Don’t know or not applicable</t>
        </is>
      </c>
      <c r="BR85" s="6" t="inlineStr">
        <is>
          <t>Don’t know or not applicable</t>
        </is>
      </c>
      <c r="BS85" s="6" t="n"/>
      <c r="BT85" s="6" t="inlineStr">
        <is>
          <t>The IMF dedicated an appropriate amount of resources</t>
        </is>
      </c>
      <c r="BU85" s="6" t="inlineStr">
        <is>
          <t>To a great extent</t>
        </is>
      </c>
      <c r="BV85" s="6" t="inlineStr">
        <is>
          <t>To a moderate extent</t>
        </is>
      </c>
      <c r="BW85" s="6" t="inlineStr">
        <is>
          <t>To a moderate extent</t>
        </is>
      </c>
      <c r="BX85" s="6" t="inlineStr">
        <is>
          <t>To a moderate extent</t>
        </is>
      </c>
      <c r="BY85" s="6" t="inlineStr">
        <is>
          <t>To a moderate extent</t>
        </is>
      </c>
      <c r="BZ85" s="6" t="inlineStr">
        <is>
          <t>To a moderate extent</t>
        </is>
      </c>
      <c r="CA85" s="6" t="inlineStr">
        <is>
          <t>To a moderate extent</t>
        </is>
      </c>
      <c r="CB85" s="6" t="inlineStr">
        <is>
          <t>To a moderate extent</t>
        </is>
      </c>
      <c r="CC85" s="6" t="inlineStr">
        <is>
          <t>To a moderate extent</t>
        </is>
      </c>
      <c r="CD85" s="6" t="inlineStr">
        <is>
          <t>To a moderate extent</t>
        </is>
      </c>
      <c r="CE85" s="6" t="inlineStr">
        <is>
          <t>To a moderate extent</t>
        </is>
      </c>
      <c r="CF85" s="6" t="inlineStr">
        <is>
          <t>To a moderate extent</t>
        </is>
      </c>
      <c r="CG85" s="6" t="n"/>
      <c r="CH85" s="6" t="inlineStr">
        <is>
          <t>No</t>
        </is>
      </c>
      <c r="CI85" s="6" t="inlineStr">
        <is>
          <t>Yes</t>
        </is>
      </c>
      <c r="CJ85" s="6" t="n"/>
      <c r="CK85" s="6" t="n"/>
      <c r="CL85" s="6" t="n"/>
      <c r="CM85" s="6" t="n"/>
      <c r="CN85" s="6" t="n"/>
      <c r="CO85" s="6" t="n"/>
      <c r="CP85" s="6" t="n"/>
      <c r="CQ85" s="6" t="n"/>
      <c r="CR85" s="6" t="n"/>
      <c r="CS85" s="6" t="n"/>
      <c r="CT85" s="6" t="n"/>
      <c r="CU85" s="6" t="n"/>
      <c r="CV85" s="6" t="n"/>
      <c r="CW85" s="6" t="n"/>
      <c r="CX85" s="6" t="n"/>
      <c r="CY85" s="6" t="n"/>
      <c r="CZ85" s="6" t="n"/>
      <c r="DA85" s="6" t="n"/>
      <c r="DB85" s="6" t="n"/>
      <c r="DC85" s="6" t="n"/>
      <c r="DD85" s="6" t="n"/>
      <c r="DE85" s="6" t="n"/>
      <c r="DF85" s="6" t="n"/>
      <c r="DG85" s="6" t="n"/>
      <c r="DH85" s="6" t="n"/>
      <c r="DI85" s="6" t="n"/>
      <c r="DJ85" s="6" t="n"/>
      <c r="DK85" s="6" t="n"/>
      <c r="DL85" s="6" t="n"/>
      <c r="DM85" s="6" t="n"/>
      <c r="DN85" s="6" t="n"/>
      <c r="DO85" s="6" t="n"/>
      <c r="DP85" s="6" t="n"/>
      <c r="DQ85" s="6" t="n"/>
      <c r="DR85" s="6" t="n"/>
      <c r="DS85" s="6" t="n"/>
      <c r="DT85" s="6" t="n"/>
      <c r="DU85" s="6" t="inlineStr">
        <is>
          <t>An RSF arrangement would have been useful, but my country had no balance of payments issues/did not need/was not willing to commit to the underlying UCT program</t>
        </is>
      </c>
      <c r="DV85" s="6" t="n"/>
      <c r="DW85" s="6" t="inlineStr">
        <is>
          <t>Don't know</t>
        </is>
      </c>
      <c r="DX85" s="6" t="n"/>
      <c r="DY85" s="6" t="n"/>
      <c r="DZ85" s="6" t="n"/>
      <c r="EA85" s="6" t="n"/>
      <c r="EB85" s="6" t="n"/>
      <c r="EC85" s="6" t="n"/>
      <c r="ED85" s="6" t="n"/>
      <c r="EE85" s="6" t="n"/>
      <c r="EF85" s="6" t="inlineStr">
        <is>
          <t>Don’t know or not applicable</t>
        </is>
      </c>
      <c r="EG85" s="6" t="inlineStr">
        <is>
          <t>Don’t know or not applicable</t>
        </is>
      </c>
      <c r="EH85" s="6" t="inlineStr">
        <is>
          <t>Don’t know or not applicable</t>
        </is>
      </c>
      <c r="EI85" s="6" t="inlineStr">
        <is>
          <t>Don’t know or not applicable</t>
        </is>
      </c>
      <c r="EJ85" s="6" t="inlineStr">
        <is>
          <t>To a slight extent</t>
        </is>
      </c>
      <c r="EK85" s="6" t="inlineStr">
        <is>
          <t>To a moderate extent</t>
        </is>
      </c>
      <c r="EL85" s="6" t="inlineStr">
        <is>
          <t>To a moderate extent</t>
        </is>
      </c>
      <c r="EM85" s="6" t="inlineStr">
        <is>
          <t>To a slight extent</t>
        </is>
      </c>
      <c r="EN85" s="6" t="inlineStr">
        <is>
          <t>Not at all</t>
        </is>
      </c>
      <c r="EO85" s="6" t="inlineStr">
        <is>
          <t>To a slight extent</t>
        </is>
      </c>
      <c r="EP85" s="6" t="n"/>
      <c r="EQ85" s="6" t="inlineStr">
        <is>
          <t>To a great extent</t>
        </is>
      </c>
      <c r="ER85" s="6" t="inlineStr">
        <is>
          <t>To a great extent</t>
        </is>
      </c>
      <c r="ES85" s="6" t="n"/>
      <c r="ET85" s="6" t="inlineStr">
        <is>
          <t>To a moderate extent</t>
        </is>
      </c>
      <c r="EU85" s="6" t="inlineStr">
        <is>
          <t>To a moderate extent</t>
        </is>
      </c>
      <c r="EV85" s="6" t="inlineStr">
        <is>
          <t>To a moderate extent</t>
        </is>
      </c>
      <c r="EW85" s="6" t="inlineStr">
        <is>
          <t>To a moderate extent</t>
        </is>
      </c>
      <c r="EX85" s="6" t="inlineStr">
        <is>
          <t>N/A</t>
        </is>
      </c>
      <c r="EY85" s="6" t="inlineStr">
        <is>
          <t>To a moderate extent</t>
        </is>
      </c>
      <c r="EZ85" s="6" t="inlineStr">
        <is>
          <t>Not at all</t>
        </is>
      </c>
      <c r="FA85" s="6" t="inlineStr">
        <is>
          <t>To a moderate extent</t>
        </is>
      </c>
      <c r="FB85" s="6" t="inlineStr">
        <is>
          <t>To a moderate extent</t>
        </is>
      </c>
      <c r="FC85" s="6" t="inlineStr">
        <is>
          <t>To a moderate extent</t>
        </is>
      </c>
      <c r="FD85" s="6" t="inlineStr">
        <is>
          <t>To a moderate extent</t>
        </is>
      </c>
      <c r="FE85" s="6" t="inlineStr">
        <is>
          <t>To a moderate extent</t>
        </is>
      </c>
      <c r="FF85" s="6" t="inlineStr">
        <is>
          <t>To a moderate extent</t>
        </is>
      </c>
      <c r="FG85" s="6" t="inlineStr">
        <is>
          <t>To a moderate extent</t>
        </is>
      </c>
      <c r="FH85" s="6" t="inlineStr">
        <is>
          <t>To a moderate extent</t>
        </is>
      </c>
      <c r="FI85" s="6" t="inlineStr">
        <is>
          <t>To a moderate extent</t>
        </is>
      </c>
      <c r="FJ85" s="6" t="inlineStr">
        <is>
          <t>Not at all</t>
        </is>
      </c>
      <c r="FK85" s="6" t="inlineStr">
        <is>
          <t>To a moderate extent</t>
        </is>
      </c>
      <c r="FL85" s="6" t="inlineStr">
        <is>
          <t>To a moderate extent</t>
        </is>
      </c>
      <c r="FM85" s="6" t="inlineStr">
        <is>
          <t>To a moderate extent</t>
        </is>
      </c>
      <c r="FN85" s="6" t="inlineStr">
        <is>
          <t>To a moderate extent</t>
        </is>
      </c>
      <c r="FO85" s="6" t="inlineStr">
        <is>
          <t>To a moderate extent</t>
        </is>
      </c>
      <c r="FP85" s="6" t="inlineStr">
        <is>
          <t>To a moderate extent</t>
        </is>
      </c>
      <c r="FQ85" s="6" t="inlineStr">
        <is>
          <t>To a moderate extent</t>
        </is>
      </c>
      <c r="FR85" s="6" t="inlineStr">
        <is>
          <t>To a moderate extent</t>
        </is>
      </c>
      <c r="FS85" s="6" t="inlineStr">
        <is>
          <t>To a moderate extent</t>
        </is>
      </c>
      <c r="FT85" s="6" t="inlineStr">
        <is>
          <t>To a moderate extent</t>
        </is>
      </c>
      <c r="FU85" s="6" t="n"/>
      <c r="FV85" s="6" t="n"/>
      <c r="FW85" s="6" t="inlineStr">
        <is>
          <t>The IMF dedicated the appropriate amount of resources</t>
        </is>
      </c>
      <c r="FX85" s="6" t="n"/>
      <c r="FY85" s="6" t="inlineStr">
        <is>
          <t>To a great extent</t>
        </is>
      </c>
      <c r="FZ85" s="6" t="inlineStr">
        <is>
          <t>To a great extent</t>
        </is>
      </c>
      <c r="GA85" s="6" t="inlineStr">
        <is>
          <t>To a great extent</t>
        </is>
      </c>
      <c r="GB85" s="6" t="inlineStr">
        <is>
          <t>To a great extent</t>
        </is>
      </c>
      <c r="GC85" s="6" t="inlineStr">
        <is>
          <t>Don’t know or not applicable</t>
        </is>
      </c>
      <c r="GD85" s="6" t="n"/>
      <c r="GE85" s="6" t="inlineStr">
        <is>
          <t>To a slight extent</t>
        </is>
      </c>
      <c r="GF85" s="6" t="inlineStr">
        <is>
          <t>To a great extent</t>
        </is>
      </c>
      <c r="GG85" s="6" t="inlineStr">
        <is>
          <t>To a great extent</t>
        </is>
      </c>
      <c r="GH85" s="6" t="inlineStr">
        <is>
          <t>To a slight extent</t>
        </is>
      </c>
      <c r="GI85" s="6" t="inlineStr">
        <is>
          <t>To a great extent</t>
        </is>
      </c>
      <c r="GJ85" s="6" t="inlineStr">
        <is>
          <t>To a great extent</t>
        </is>
      </c>
      <c r="GK85" s="6" t="inlineStr">
        <is>
          <t>The Fund’s continued advocacy and efforts on climate-related risks should remain integrated into its policy agenda, surveillance, support programs, and capacity
development, given the significant exposure to climate risks and the high value of its advice to EMDEs and LICs, and especially SDS.</t>
        </is>
      </c>
      <c r="GL85" s="7">
        <f>DATE(2025,5,29)+TIME(14,36,20)</f>
        <v/>
      </c>
    </row>
    <row r="86" ht="47.25" customHeight="1">
      <c r="A86" s="3" t="inlineStr">
        <is>
          <t>Dante</t>
        </is>
      </c>
      <c r="B86" s="3" t="inlineStr">
        <is>
          <t>Gupta</t>
        </is>
      </c>
      <c r="C86" s="3" t="inlineStr">
        <is>
          <t>dgupta@organization.org</t>
        </is>
      </c>
      <c r="D86" s="3" t="inlineStr">
        <is>
          <t>EM4IW0DBM</t>
        </is>
      </c>
      <c r="E86" s="3" t="n"/>
      <c r="F86" s="3" t="inlineStr">
        <is>
          <t>OEDNE</t>
        </is>
      </c>
      <c r="G86" s="3" t="n"/>
      <c r="H86" s="3" t="n"/>
      <c r="I86" s="3" t="n"/>
      <c r="J86" s="3" t="n"/>
      <c r="K86" s="3" t="n"/>
      <c r="L86" s="3" t="n"/>
      <c r="M86" s="3" t="n"/>
      <c r="N86" s="3" t="n"/>
      <c r="O86" s="3" t="n"/>
      <c r="P86" s="3" t="n"/>
      <c r="Q86" s="3" t="n"/>
      <c r="R86" s="3" t="n"/>
      <c r="S86" s="3" t="n"/>
      <c r="T86" s="3" t="n"/>
      <c r="U86" s="3" t="n"/>
      <c r="V86" s="3" t="n"/>
      <c r="W86" s="3" t="n"/>
      <c r="X86" s="3" t="inlineStr">
        <is>
          <t>Croatia</t>
        </is>
      </c>
      <c r="Y86" s="3" t="n"/>
      <c r="Z86" s="3" t="n"/>
      <c r="AA86" s="3" t="n"/>
      <c r="AB86" s="3" t="n"/>
      <c r="AC86" s="3" t="n"/>
      <c r="AD86" s="3" t="n"/>
      <c r="AE86" s="3" t="n"/>
      <c r="AF86" s="4" t="inlineStr">
        <is>
          <t>Croatia</t>
        </is>
      </c>
      <c r="AG86" s="3" t="inlineStr">
        <is>
          <t>The IMF should engage a similar amount on climate change-related issues</t>
        </is>
      </c>
      <c r="AH86" s="3" t="inlineStr">
        <is>
          <t>To a great extent</t>
        </is>
      </c>
      <c r="AI86" s="3" t="inlineStr">
        <is>
          <t>To a great extent</t>
        </is>
      </c>
      <c r="AJ86" s="3" t="inlineStr">
        <is>
          <t>To a great extent</t>
        </is>
      </c>
      <c r="AK86" s="3" t="inlineStr">
        <is>
          <t>To a great extent</t>
        </is>
      </c>
      <c r="AL86" s="3" t="inlineStr">
        <is>
          <t>To a slight extent</t>
        </is>
      </c>
      <c r="AM86" s="3" t="inlineStr">
        <is>
          <t>Don’t know or not applicable</t>
        </is>
      </c>
      <c r="AN86" s="3" t="inlineStr">
        <is>
          <t>To a moderate extent</t>
        </is>
      </c>
      <c r="AO86" s="3" t="inlineStr">
        <is>
          <t>To a slight extent</t>
        </is>
      </c>
      <c r="AP86" s="3" t="inlineStr">
        <is>
          <t>To a slight extent</t>
        </is>
      </c>
      <c r="AQ86" s="3" t="inlineStr">
        <is>
          <t>To a moderate extent</t>
        </is>
      </c>
      <c r="AR86" s="3" t="inlineStr">
        <is>
          <t>To a great extent</t>
        </is>
      </c>
      <c r="AS86" s="3" t="n"/>
      <c r="AT86" s="3" t="inlineStr">
        <is>
          <t>Not at all</t>
        </is>
      </c>
      <c r="AU86" s="3" t="inlineStr">
        <is>
          <t>To a moderate extent</t>
        </is>
      </c>
      <c r="AV86" s="3" t="inlineStr">
        <is>
          <t>To a slight extent</t>
        </is>
      </c>
      <c r="AW86" s="3" t="inlineStr">
        <is>
          <t>To a moderate extent</t>
        </is>
      </c>
      <c r="AX86" s="3" t="inlineStr">
        <is>
          <t>To a slight extent</t>
        </is>
      </c>
      <c r="AY86" s="3" t="inlineStr">
        <is>
          <t>To a great extent</t>
        </is>
      </c>
      <c r="AZ86" s="3" t="inlineStr">
        <is>
          <t>To a moderate extent</t>
        </is>
      </c>
      <c r="BA86" s="3" t="inlineStr">
        <is>
          <t>To a slight extent</t>
        </is>
      </c>
      <c r="BB86" s="3" t="inlineStr">
        <is>
          <t>To a moderate extent</t>
        </is>
      </c>
      <c r="BC86" s="3" t="inlineStr">
        <is>
          <t>To a slight extent</t>
        </is>
      </c>
      <c r="BD86" s="3" t="inlineStr">
        <is>
          <t>To a great extent</t>
        </is>
      </c>
      <c r="BE86" s="3" t="inlineStr">
        <is>
          <t>To a moderate extent</t>
        </is>
      </c>
      <c r="BF86" s="3" t="inlineStr">
        <is>
          <t>To a slight extent</t>
        </is>
      </c>
      <c r="BG86" s="3" t="inlineStr">
        <is>
          <t>To a moderate extent</t>
        </is>
      </c>
      <c r="BH86" s="3" t="inlineStr">
        <is>
          <t>To a slight extent</t>
        </is>
      </c>
      <c r="BI86" s="3" t="inlineStr">
        <is>
          <t>To a great extent</t>
        </is>
      </c>
      <c r="BJ86" s="3" t="inlineStr">
        <is>
          <t>To a moderate extent</t>
        </is>
      </c>
      <c r="BK86" s="3" t="inlineStr">
        <is>
          <t>To a slight extent</t>
        </is>
      </c>
      <c r="BL86" s="3" t="inlineStr">
        <is>
          <t>To a moderate extent</t>
        </is>
      </c>
      <c r="BM86" s="3" t="inlineStr">
        <is>
          <t>To a slight extent</t>
        </is>
      </c>
      <c r="BN86" s="3" t="inlineStr">
        <is>
          <t>To a great extent</t>
        </is>
      </c>
      <c r="BO86" s="3" t="inlineStr">
        <is>
          <t>Don’t know or not applicable</t>
        </is>
      </c>
      <c r="BP86" s="3" t="inlineStr">
        <is>
          <t>Don’t know or not applicable</t>
        </is>
      </c>
      <c r="BQ86" s="3" t="inlineStr">
        <is>
          <t>Don’t know or not applicable</t>
        </is>
      </c>
      <c r="BR86" s="3" t="inlineStr">
        <is>
          <t>Don’t know or not applicable</t>
        </is>
      </c>
      <c r="BS86" s="3" t="n"/>
      <c r="BT86" s="3" t="inlineStr">
        <is>
          <t>The IMF dedicated an appropriate amount of resources</t>
        </is>
      </c>
      <c r="BU86" s="3" t="inlineStr">
        <is>
          <t>To a great extent</t>
        </is>
      </c>
      <c r="BV86" s="3" t="inlineStr">
        <is>
          <t>To a moderate extent</t>
        </is>
      </c>
      <c r="BW86" s="3" t="inlineStr">
        <is>
          <t>To a moderate extent</t>
        </is>
      </c>
      <c r="BX86" s="3" t="inlineStr">
        <is>
          <t>To a moderate extent</t>
        </is>
      </c>
      <c r="BY86" s="3" t="inlineStr">
        <is>
          <t>To a moderate extent</t>
        </is>
      </c>
      <c r="BZ86" s="3" t="inlineStr">
        <is>
          <t>To a moderate extent</t>
        </is>
      </c>
      <c r="CA86" s="3" t="inlineStr">
        <is>
          <t>To a great extent</t>
        </is>
      </c>
      <c r="CB86" s="3" t="inlineStr">
        <is>
          <t>To a moderate extent</t>
        </is>
      </c>
      <c r="CC86" s="3" t="inlineStr">
        <is>
          <t>To a moderate extent</t>
        </is>
      </c>
      <c r="CD86" s="3" t="inlineStr">
        <is>
          <t>To a moderate extent</t>
        </is>
      </c>
      <c r="CE86" s="3" t="inlineStr">
        <is>
          <t>To a moderate extent</t>
        </is>
      </c>
      <c r="CF86" s="3" t="inlineStr">
        <is>
          <t>To a moderate extent</t>
        </is>
      </c>
      <c r="CG86" s="3" t="n"/>
      <c r="CH86" s="3" t="inlineStr">
        <is>
          <t>No</t>
        </is>
      </c>
      <c r="CI86" s="3" t="inlineStr">
        <is>
          <t>No</t>
        </is>
      </c>
      <c r="CJ86" s="3" t="n"/>
      <c r="CK86" s="3" t="n"/>
      <c r="CL86" s="3" t="n"/>
      <c r="CM86" s="3" t="n"/>
      <c r="CN86" s="3" t="n"/>
      <c r="CO86" s="3" t="n"/>
      <c r="CP86" s="3" t="n"/>
      <c r="CQ86" s="3" t="n"/>
      <c r="CR86" s="3" t="n"/>
      <c r="CS86" s="3" t="n"/>
      <c r="CT86" s="3" t="n"/>
      <c r="CU86" s="3" t="n"/>
      <c r="CV86" s="3" t="n"/>
      <c r="CW86" s="3" t="n"/>
      <c r="CX86" s="3" t="n"/>
      <c r="CY86" s="3" t="n"/>
      <c r="CZ86" s="3" t="n"/>
      <c r="DA86" s="3" t="n"/>
      <c r="DB86" s="3" t="n"/>
      <c r="DC86" s="3" t="n"/>
      <c r="DD86" s="3" t="n"/>
      <c r="DE86" s="3" t="n"/>
      <c r="DF86" s="3" t="n"/>
      <c r="DG86" s="3" t="n"/>
      <c r="DH86" s="3" t="n"/>
      <c r="DI86" s="3" t="n"/>
      <c r="DJ86" s="3" t="n"/>
      <c r="DK86" s="3" t="n"/>
      <c r="DL86" s="3" t="n"/>
      <c r="DM86" s="3" t="n"/>
      <c r="DN86" s="3" t="n"/>
      <c r="DO86" s="3" t="n"/>
      <c r="DP86" s="3" t="n"/>
      <c r="DQ86" s="3" t="n"/>
      <c r="DR86" s="3" t="n"/>
      <c r="DS86" s="3" t="n"/>
      <c r="DT86" s="3" t="n"/>
      <c r="DU86" s="3" t="n"/>
      <c r="DV86" s="3" t="inlineStr">
        <is>
          <t>Other (please specify) : Not considered necessary.</t>
        </is>
      </c>
      <c r="DW86" s="3" t="inlineStr">
        <is>
          <t>No</t>
        </is>
      </c>
      <c r="DX86" s="3" t="n"/>
      <c r="DY86" s="3" t="n"/>
      <c r="DZ86" s="3" t="n"/>
      <c r="EA86" s="3" t="n"/>
      <c r="EB86" s="3" t="n"/>
      <c r="EC86" s="3" t="n"/>
      <c r="ED86" s="3" t="n"/>
      <c r="EE86" s="3" t="n"/>
      <c r="EF86" s="3" t="inlineStr">
        <is>
          <t>Don’t know or not applicable</t>
        </is>
      </c>
      <c r="EG86" s="3" t="inlineStr">
        <is>
          <t>Don’t know or not applicable</t>
        </is>
      </c>
      <c r="EH86" s="3" t="inlineStr">
        <is>
          <t>Don’t know or not applicable</t>
        </is>
      </c>
      <c r="EI86" s="3" t="inlineStr">
        <is>
          <t>Don’t know or not applicable</t>
        </is>
      </c>
      <c r="EJ86" s="3" t="inlineStr">
        <is>
          <t>Don’t know or not applicable</t>
        </is>
      </c>
      <c r="EK86" s="3" t="inlineStr">
        <is>
          <t>Don’t know or not applicable</t>
        </is>
      </c>
      <c r="EL86" s="3" t="inlineStr">
        <is>
          <t>Don’t know or not applicable</t>
        </is>
      </c>
      <c r="EM86" s="3" t="n"/>
      <c r="EN86" s="3" t="n"/>
      <c r="EO86" s="3" t="n"/>
      <c r="EP86" s="3" t="n"/>
      <c r="EQ86" s="3" t="inlineStr">
        <is>
          <t>Not at all</t>
        </is>
      </c>
      <c r="ER86" s="3" t="inlineStr">
        <is>
          <t>To a slight extent</t>
        </is>
      </c>
      <c r="ES86" s="3" t="n"/>
      <c r="ET86" s="3" t="n"/>
      <c r="EU86" s="3" t="n"/>
      <c r="EV86" s="3" t="n"/>
      <c r="EW86" s="3" t="n"/>
      <c r="EX86" s="3" t="n"/>
      <c r="EY86" s="3" t="n"/>
      <c r="EZ86" s="3" t="n"/>
      <c r="FA86" s="3" t="n"/>
      <c r="FB86" s="3" t="n"/>
      <c r="FC86" s="3" t="n"/>
      <c r="FD86" s="3" t="n"/>
      <c r="FE86" s="3" t="n"/>
      <c r="FF86" s="3" t="n"/>
      <c r="FG86" s="3" t="n"/>
      <c r="FH86" s="3" t="inlineStr">
        <is>
          <t>Not at all</t>
        </is>
      </c>
      <c r="FI86" s="3" t="inlineStr">
        <is>
          <t>Don’t know or not applicable</t>
        </is>
      </c>
      <c r="FJ86" s="3" t="inlineStr">
        <is>
          <t>Don’t know or not applicable</t>
        </is>
      </c>
      <c r="FK86" s="3" t="inlineStr">
        <is>
          <t>Don’t know or not applicable</t>
        </is>
      </c>
      <c r="FL86" s="3" t="inlineStr">
        <is>
          <t>Don’t know or not applicable</t>
        </is>
      </c>
      <c r="FM86" s="3" t="inlineStr">
        <is>
          <t>Don’t know or not applicable</t>
        </is>
      </c>
      <c r="FN86" s="3" t="inlineStr">
        <is>
          <t>Don’t know or not applicable</t>
        </is>
      </c>
      <c r="FO86" s="3" t="inlineStr">
        <is>
          <t>Don’t know or not applicable</t>
        </is>
      </c>
      <c r="FP86" s="3" t="inlineStr">
        <is>
          <t>Don’t know or not applicable</t>
        </is>
      </c>
      <c r="FQ86" s="3" t="inlineStr">
        <is>
          <t>Don’t know or not applicable</t>
        </is>
      </c>
      <c r="FR86" s="3" t="inlineStr">
        <is>
          <t>Don’t know or not applicable</t>
        </is>
      </c>
      <c r="FS86" s="3" t="inlineStr">
        <is>
          <t>Don’t know or not applicable</t>
        </is>
      </c>
      <c r="FT86" s="3" t="inlineStr">
        <is>
          <t>Don’t know or not applicable</t>
        </is>
      </c>
      <c r="FU86" s="3" t="inlineStr">
        <is>
          <t>Don’t know or not applicable</t>
        </is>
      </c>
      <c r="FV86" s="3" t="n"/>
      <c r="FW86" s="3" t="inlineStr">
        <is>
          <t>The IMF dedicated the appropriate amount of resources</t>
        </is>
      </c>
      <c r="FX86" s="3" t="n"/>
      <c r="FY86" s="3" t="inlineStr">
        <is>
          <t>To a moderate extent</t>
        </is>
      </c>
      <c r="FZ86" s="3" t="inlineStr">
        <is>
          <t>To a moderate extent</t>
        </is>
      </c>
      <c r="GA86" s="3" t="inlineStr">
        <is>
          <t>To a great extent</t>
        </is>
      </c>
      <c r="GB86" s="3" t="inlineStr">
        <is>
          <t>To a moderate extent</t>
        </is>
      </c>
      <c r="GC86" s="3" t="inlineStr">
        <is>
          <t>Not at all</t>
        </is>
      </c>
      <c r="GD86" s="3" t="n"/>
      <c r="GE86" s="3" t="inlineStr">
        <is>
          <t>To a great extent</t>
        </is>
      </c>
      <c r="GF86" s="3" t="inlineStr">
        <is>
          <t>To a moderate extent</t>
        </is>
      </c>
      <c r="GG86" s="3" t="inlineStr">
        <is>
          <t>To a great extent</t>
        </is>
      </c>
      <c r="GH86" s="3" t="inlineStr">
        <is>
          <t>Not at all</t>
        </is>
      </c>
      <c r="GI86" s="3" t="inlineStr">
        <is>
          <t>To a moderate extent</t>
        </is>
      </c>
      <c r="GJ86" s="3" t="inlineStr">
        <is>
          <t>To a slight extent</t>
        </is>
      </c>
      <c r="GK86" s="3" t="n"/>
      <c r="GL86" s="5">
        <f>DATE(2025,6,2)+TIME(13,42,5)</f>
        <v/>
      </c>
    </row>
    <row r="87" ht="126" customHeight="1">
      <c r="A87" s="6" t="inlineStr">
        <is>
          <t>Ingrid</t>
        </is>
      </c>
      <c r="B87" s="6" t="inlineStr">
        <is>
          <t>Janssen</t>
        </is>
      </c>
      <c r="C87" s="6" t="inlineStr">
        <is>
          <t>ijanssen@organization.org</t>
        </is>
      </c>
      <c r="D87" s="6" t="inlineStr">
        <is>
          <t>2BITAXK8L</t>
        </is>
      </c>
      <c r="E87" s="6" t="n"/>
      <c r="F87" s="6" t="inlineStr">
        <is>
          <t>OEDEC</t>
        </is>
      </c>
      <c r="G87" s="6" t="n"/>
      <c r="H87" s="6" t="n"/>
      <c r="I87" s="6" t="n"/>
      <c r="J87" s="6" t="n"/>
      <c r="K87" s="6" t="n"/>
      <c r="L87" s="6" t="n"/>
      <c r="M87" s="6" t="n"/>
      <c r="N87" s="6" t="n"/>
      <c r="O87" s="6" t="n"/>
      <c r="P87" s="6" t="inlineStr">
        <is>
          <t>Austria</t>
        </is>
      </c>
      <c r="Q87" s="6" t="n"/>
      <c r="R87" s="6" t="n"/>
      <c r="S87" s="6" t="n"/>
      <c r="T87" s="6" t="n"/>
      <c r="U87" s="6" t="n"/>
      <c r="V87" s="6" t="n"/>
      <c r="W87" s="6" t="n"/>
      <c r="X87" s="6" t="n"/>
      <c r="Y87" s="6" t="n"/>
      <c r="Z87" s="6" t="n"/>
      <c r="AA87" s="6" t="n"/>
      <c r="AB87" s="6" t="n"/>
      <c r="AC87" s="6" t="n"/>
      <c r="AD87" s="6" t="n"/>
      <c r="AE87" s="6" t="n"/>
      <c r="AF87" s="4" t="inlineStr">
        <is>
          <t>Austria</t>
        </is>
      </c>
      <c r="AG87" s="6" t="inlineStr">
        <is>
          <t>The IMF should engage less on climate change-related issues</t>
        </is>
      </c>
      <c r="AH87" s="6" t="inlineStr">
        <is>
          <t>To a slight extent</t>
        </is>
      </c>
      <c r="AI87" s="6" t="inlineStr">
        <is>
          <t>To a slight extent</t>
        </is>
      </c>
      <c r="AJ87" s="6" t="inlineStr">
        <is>
          <t>To a slight extent</t>
        </is>
      </c>
      <c r="AK87" s="6" t="inlineStr">
        <is>
          <t>To a moderate extent</t>
        </is>
      </c>
      <c r="AL87" s="6" t="inlineStr">
        <is>
          <t>To a moderate extent</t>
        </is>
      </c>
      <c r="AM87" s="6" t="inlineStr">
        <is>
          <t>Not at all</t>
        </is>
      </c>
      <c r="AN87" s="6" t="inlineStr">
        <is>
          <t>Not at all</t>
        </is>
      </c>
      <c r="AO87" s="6" t="inlineStr">
        <is>
          <t>To a slight extent</t>
        </is>
      </c>
      <c r="AP87" s="6" t="inlineStr">
        <is>
          <t>To a moderate extent</t>
        </is>
      </c>
      <c r="AQ87" s="6" t="inlineStr">
        <is>
          <t>To a slight extent</t>
        </is>
      </c>
      <c r="AR87" s="6" t="inlineStr">
        <is>
          <t>To a slight extent</t>
        </is>
      </c>
      <c r="AS87" s="6" t="n"/>
      <c r="AT87" s="6" t="inlineStr">
        <is>
          <t>Not at all</t>
        </is>
      </c>
      <c r="AU87" s="6" t="inlineStr">
        <is>
          <t>To a slight extent</t>
        </is>
      </c>
      <c r="AV87" s="6" t="inlineStr">
        <is>
          <t>Don’t know or not applicable</t>
        </is>
      </c>
      <c r="AW87" s="6" t="inlineStr">
        <is>
          <t>Not at all</t>
        </is>
      </c>
      <c r="AX87" s="6" t="inlineStr">
        <is>
          <t>Not at all</t>
        </is>
      </c>
      <c r="AY87" s="6" t="inlineStr">
        <is>
          <t>To a slight extent</t>
        </is>
      </c>
      <c r="AZ87" s="6" t="inlineStr">
        <is>
          <t>Not at all</t>
        </is>
      </c>
      <c r="BA87" s="6" t="inlineStr">
        <is>
          <t>To a moderate extent</t>
        </is>
      </c>
      <c r="BB87" s="6" t="inlineStr">
        <is>
          <t>To a slight extent</t>
        </is>
      </c>
      <c r="BC87" s="6" t="inlineStr">
        <is>
          <t>Not at all</t>
        </is>
      </c>
      <c r="BD87" s="6" t="inlineStr">
        <is>
          <t>Don’t know or not applicable</t>
        </is>
      </c>
      <c r="BE87" s="6" t="inlineStr">
        <is>
          <t>Don’t know or not applicable</t>
        </is>
      </c>
      <c r="BF87" s="6" t="inlineStr">
        <is>
          <t>Don’t know or not applicable</t>
        </is>
      </c>
      <c r="BG87" s="6" t="inlineStr">
        <is>
          <t>Don’t know or not applicable</t>
        </is>
      </c>
      <c r="BH87" s="6" t="inlineStr">
        <is>
          <t>Don’t know or not applicable</t>
        </is>
      </c>
      <c r="BI87" s="6" t="inlineStr">
        <is>
          <t>Don’t know or not applicable</t>
        </is>
      </c>
      <c r="BJ87" s="6" t="inlineStr">
        <is>
          <t>To a slight extent</t>
        </is>
      </c>
      <c r="BK87" s="6" t="inlineStr">
        <is>
          <t>To a moderate extent</t>
        </is>
      </c>
      <c r="BL87" s="6" t="inlineStr">
        <is>
          <t>Not at all</t>
        </is>
      </c>
      <c r="BM87" s="6" t="inlineStr">
        <is>
          <t>Not at all</t>
        </is>
      </c>
      <c r="BN87" s="6" t="inlineStr">
        <is>
          <t>Not at all</t>
        </is>
      </c>
      <c r="BO87" s="6" t="inlineStr">
        <is>
          <t>To a slight extent</t>
        </is>
      </c>
      <c r="BP87" s="6" t="inlineStr">
        <is>
          <t>Don’t know or not applicable</t>
        </is>
      </c>
      <c r="BQ87" s="6" t="inlineStr">
        <is>
          <t>Don’t know or not applicable</t>
        </is>
      </c>
      <c r="BR87" s="6" t="inlineStr">
        <is>
          <t>Don’t know or not applicable</t>
        </is>
      </c>
      <c r="BS87" s="6" t="n"/>
      <c r="BT87" s="6" t="inlineStr">
        <is>
          <t>The IMF should have dedicated less resources</t>
        </is>
      </c>
      <c r="BU87" s="6" t="inlineStr">
        <is>
          <t>To a slight extent</t>
        </is>
      </c>
      <c r="BV87" s="6" t="inlineStr">
        <is>
          <t>To a slight extent</t>
        </is>
      </c>
      <c r="BW87" s="6" t="inlineStr">
        <is>
          <t>To a slight extent</t>
        </is>
      </c>
      <c r="BX87" s="6" t="inlineStr">
        <is>
          <t>To a slight extent</t>
        </is>
      </c>
      <c r="BY87" s="6" t="inlineStr">
        <is>
          <t>To a slight extent</t>
        </is>
      </c>
      <c r="BZ87" s="6" t="inlineStr">
        <is>
          <t>To a slight extent</t>
        </is>
      </c>
      <c r="CA87" s="6" t="inlineStr">
        <is>
          <t>To a slight extent</t>
        </is>
      </c>
      <c r="CB87" s="6" t="inlineStr">
        <is>
          <t>To a slight extent</t>
        </is>
      </c>
      <c r="CC87" s="6" t="inlineStr">
        <is>
          <t>To a slight extent</t>
        </is>
      </c>
      <c r="CD87" s="6" t="inlineStr">
        <is>
          <t>To a slight extent</t>
        </is>
      </c>
      <c r="CE87" s="6" t="inlineStr">
        <is>
          <t>To a slight extent</t>
        </is>
      </c>
      <c r="CF87" s="6" t="inlineStr">
        <is>
          <t>To a slight extent</t>
        </is>
      </c>
      <c r="CG87" s="6" t="n"/>
      <c r="CH87" s="6" t="inlineStr">
        <is>
          <t>No</t>
        </is>
      </c>
      <c r="CI87" s="6" t="inlineStr">
        <is>
          <t>No</t>
        </is>
      </c>
      <c r="CJ87" s="6" t="n"/>
      <c r="CK87" s="6" t="n"/>
      <c r="CL87" s="6" t="n"/>
      <c r="CM87" s="6" t="n"/>
      <c r="CN87" s="6" t="n"/>
      <c r="CO87" s="6" t="n"/>
      <c r="CP87" s="6" t="n"/>
      <c r="CQ87" s="6" t="n"/>
      <c r="CR87" s="6" t="n"/>
      <c r="CS87" s="6" t="n"/>
      <c r="CT87" s="6" t="n"/>
      <c r="CU87" s="6" t="n"/>
      <c r="CV87" s="6" t="n"/>
      <c r="CW87" s="6" t="n"/>
      <c r="CX87" s="6" t="n"/>
      <c r="CY87" s="6" t="n"/>
      <c r="CZ87" s="6" t="n"/>
      <c r="DA87" s="6" t="n"/>
      <c r="DB87" s="6" t="n"/>
      <c r="DC87" s="6" t="n"/>
      <c r="DD87" s="6" t="n"/>
      <c r="DE87" s="6" t="n"/>
      <c r="DF87" s="6" t="n"/>
      <c r="DG87" s="6" t="n"/>
      <c r="DH87" s="6" t="n"/>
      <c r="DI87" s="6" t="n"/>
      <c r="DJ87" s="6" t="n"/>
      <c r="DK87" s="6" t="n"/>
      <c r="DL87" s="6" t="n"/>
      <c r="DM87" s="6" t="n"/>
      <c r="DN87" s="6" t="n"/>
      <c r="DO87" s="6" t="n"/>
      <c r="DP87" s="6" t="inlineStr">
        <is>
          <t>My country is not eligible for an RSF arrangement</t>
        </is>
      </c>
      <c r="DQ87" s="6" t="n"/>
      <c r="DR87" s="6" t="n"/>
      <c r="DS87" s="6" t="n"/>
      <c r="DT87" s="6" t="n"/>
      <c r="DU87" s="6" t="n"/>
      <c r="DV87" s="6" t="n"/>
      <c r="DW87" s="6" t="inlineStr">
        <is>
          <t>Yes</t>
        </is>
      </c>
      <c r="DX87" s="6" t="n"/>
      <c r="DY87" s="6" t="n"/>
      <c r="DZ87" s="6" t="n"/>
      <c r="EA87" s="6" t="n"/>
      <c r="EB87" s="6" t="inlineStr">
        <is>
          <t>Other (please specify) : NGEU</t>
        </is>
      </c>
      <c r="EC87" s="6" t="inlineStr">
        <is>
          <t>Not at all</t>
        </is>
      </c>
      <c r="ED87" s="6" t="inlineStr">
        <is>
          <t>Not at all</t>
        </is>
      </c>
      <c r="EE87" s="6" t="inlineStr">
        <is>
          <t>Not at all</t>
        </is>
      </c>
      <c r="EF87" s="6" t="inlineStr">
        <is>
          <t>To a great extent</t>
        </is>
      </c>
      <c r="EG87" s="6" t="inlineStr">
        <is>
          <t>Not at all</t>
        </is>
      </c>
      <c r="EH87" s="6" t="inlineStr">
        <is>
          <t>Not at all</t>
        </is>
      </c>
      <c r="EI87" s="6" t="inlineStr">
        <is>
          <t>Don’t know or not applicable</t>
        </is>
      </c>
      <c r="EJ87" s="6" t="inlineStr">
        <is>
          <t>Not at all</t>
        </is>
      </c>
      <c r="EK87" s="6" t="inlineStr">
        <is>
          <t>Not at all</t>
        </is>
      </c>
      <c r="EL87" s="6" t="inlineStr">
        <is>
          <t>Not at all</t>
        </is>
      </c>
      <c r="EM87" s="6" t="n"/>
      <c r="EN87" s="6" t="n"/>
      <c r="EO87" s="6" t="n"/>
      <c r="EP87" s="6" t="n"/>
      <c r="EQ87" s="6" t="inlineStr">
        <is>
          <t>Not at all</t>
        </is>
      </c>
      <c r="ER87" s="6" t="inlineStr">
        <is>
          <t>Not at all</t>
        </is>
      </c>
      <c r="ES87" s="6" t="n"/>
      <c r="ET87" s="6" t="n"/>
      <c r="EU87" s="6" t="n"/>
      <c r="EV87" s="6" t="n"/>
      <c r="EW87" s="6" t="n"/>
      <c r="EX87" s="6" t="n"/>
      <c r="EY87" s="6" t="n"/>
      <c r="EZ87" s="6" t="n"/>
      <c r="FA87" s="6" t="n"/>
      <c r="FB87" s="6" t="n"/>
      <c r="FC87" s="6" t="n"/>
      <c r="FD87" s="6" t="n"/>
      <c r="FE87" s="6" t="n"/>
      <c r="FF87" s="6" t="n"/>
      <c r="FG87" s="6" t="n"/>
      <c r="FH87" s="6" t="n"/>
      <c r="FI87" s="6" t="n"/>
      <c r="FJ87" s="6" t="n"/>
      <c r="FK87" s="6" t="n"/>
      <c r="FL87" s="6" t="n"/>
      <c r="FM87" s="6" t="n"/>
      <c r="FN87" s="6" t="n"/>
      <c r="FO87" s="6" t="n"/>
      <c r="FP87" s="6" t="n"/>
      <c r="FQ87" s="6" t="n"/>
      <c r="FR87" s="6" t="n"/>
      <c r="FS87" s="6" t="n"/>
      <c r="FT87" s="6" t="n"/>
      <c r="FU87" s="6" t="n"/>
      <c r="FV87" s="6" t="n"/>
      <c r="FW87" s="6" t="n"/>
      <c r="FX87" s="6" t="n"/>
      <c r="FY87" s="6" t="inlineStr">
        <is>
          <t>Not at all</t>
        </is>
      </c>
      <c r="FZ87" s="6" t="inlineStr">
        <is>
          <t>Not at all</t>
        </is>
      </c>
      <c r="GA87" s="6" t="inlineStr">
        <is>
          <t>To a slight extent</t>
        </is>
      </c>
      <c r="GB87" s="6" t="inlineStr">
        <is>
          <t>To a slight extent</t>
        </is>
      </c>
      <c r="GC87" s="6" t="inlineStr">
        <is>
          <t>Not at all</t>
        </is>
      </c>
      <c r="GD87" s="6" t="n"/>
      <c r="GE87" s="6" t="inlineStr">
        <is>
          <t>To a slight extent</t>
        </is>
      </c>
      <c r="GF87" s="6" t="inlineStr">
        <is>
          <t>To a slight extent</t>
        </is>
      </c>
      <c r="GG87" s="6" t="inlineStr">
        <is>
          <t>To a slight extent</t>
        </is>
      </c>
      <c r="GH87" s="6" t="inlineStr">
        <is>
          <t>To a slight extent</t>
        </is>
      </c>
      <c r="GI87" s="6" t="inlineStr">
        <is>
          <t>To a slight extent</t>
        </is>
      </c>
      <c r="GJ87" s="6" t="inlineStr">
        <is>
          <t>To a slight extent</t>
        </is>
      </c>
      <c r="GK87" s="6" t="inlineStr">
        <is>
          <t>Less but more impactful (forecast of GHG, green fiscal space, monitoring of Paris commitments that are within remit of Fund, based on this have standardized para on climate across all Article IVs)</t>
        </is>
      </c>
      <c r="GL87" s="7">
        <f>DATE(2025,6,9)+TIME(10,38,14)</f>
        <v/>
      </c>
    </row>
    <row r="88" ht="173.25" customHeight="1">
      <c r="A88" s="3" t="inlineStr">
        <is>
          <t>Felix</t>
        </is>
      </c>
      <c r="B88" s="3" t="inlineStr">
        <is>
          <t>Singh</t>
        </is>
      </c>
      <c r="C88" s="3" t="inlineStr">
        <is>
          <t>fsingh1@organization.org</t>
        </is>
      </c>
      <c r="D88" s="3" t="inlineStr">
        <is>
          <t>GKZO4C8SX</t>
        </is>
      </c>
      <c r="E88" s="3" t="n"/>
      <c r="F88" s="3" t="inlineStr">
        <is>
          <t>OEDNE</t>
        </is>
      </c>
      <c r="G88" s="3" t="n"/>
      <c r="H88" s="3" t="n"/>
      <c r="I88" s="3" t="n"/>
      <c r="J88" s="3" t="n"/>
      <c r="K88" s="3" t="n"/>
      <c r="L88" s="3" t="n"/>
      <c r="M88" s="3" t="n"/>
      <c r="N88" s="3" t="n"/>
      <c r="O88" s="3" t="n"/>
      <c r="P88" s="3" t="n"/>
      <c r="Q88" s="3" t="n"/>
      <c r="R88" s="3" t="n"/>
      <c r="S88" s="3" t="n"/>
      <c r="T88" s="3" t="n"/>
      <c r="U88" s="3" t="n"/>
      <c r="V88" s="3" t="n"/>
      <c r="W88" s="3" t="n"/>
      <c r="X88" s="3" t="inlineStr">
        <is>
          <t>Luxembourg</t>
        </is>
      </c>
      <c r="Y88" s="3" t="n"/>
      <c r="Z88" s="3" t="n"/>
      <c r="AA88" s="3" t="n"/>
      <c r="AB88" s="3" t="n"/>
      <c r="AC88" s="3" t="n"/>
      <c r="AD88" s="3" t="n"/>
      <c r="AE88" s="3" t="n"/>
      <c r="AF88" s="4" t="inlineStr">
        <is>
          <t>Luxembourg</t>
        </is>
      </c>
      <c r="AG88" s="3" t="inlineStr">
        <is>
          <t>The IMF should engage a similar amount on climate change-related issues</t>
        </is>
      </c>
      <c r="AH88" s="3" t="inlineStr">
        <is>
          <t>To a moderate extent</t>
        </is>
      </c>
      <c r="AI88" s="3" t="inlineStr">
        <is>
          <t>To a great extent</t>
        </is>
      </c>
      <c r="AJ88" s="3" t="inlineStr">
        <is>
          <t>To a slight extent</t>
        </is>
      </c>
      <c r="AK88" s="3" t="inlineStr">
        <is>
          <t>To a great extent</t>
        </is>
      </c>
      <c r="AL88" s="3" t="inlineStr">
        <is>
          <t>Don’t know or not applicable</t>
        </is>
      </c>
      <c r="AM88" s="3" t="inlineStr">
        <is>
          <t>Don’t know or not applicable</t>
        </is>
      </c>
      <c r="AN88" s="3" t="inlineStr">
        <is>
          <t>Don’t know or not applicable</t>
        </is>
      </c>
      <c r="AO88" s="3" t="inlineStr">
        <is>
          <t>Don’t know or not applicable</t>
        </is>
      </c>
      <c r="AP88" s="3" t="inlineStr">
        <is>
          <t>Don’t know or not applicable</t>
        </is>
      </c>
      <c r="AQ88" s="3" t="inlineStr">
        <is>
          <t>Don’t know or not applicable</t>
        </is>
      </c>
      <c r="AR88" s="3" t="inlineStr">
        <is>
          <t>To a moderate extent</t>
        </is>
      </c>
      <c r="AS88" s="3" t="n"/>
      <c r="AT88" s="3" t="inlineStr">
        <is>
          <t>To a slight extent</t>
        </is>
      </c>
      <c r="AU88" s="3" t="inlineStr">
        <is>
          <t>To a slight extent</t>
        </is>
      </c>
      <c r="AV88" s="3" t="inlineStr">
        <is>
          <t>Not at all</t>
        </is>
      </c>
      <c r="AW88" s="3" t="inlineStr">
        <is>
          <t>To a slight extent</t>
        </is>
      </c>
      <c r="AX88" s="3" t="inlineStr">
        <is>
          <t>To a slight extent</t>
        </is>
      </c>
      <c r="AY88" s="3" t="inlineStr">
        <is>
          <t>To a great extent</t>
        </is>
      </c>
      <c r="AZ88" s="3" t="inlineStr">
        <is>
          <t>To a moderate extent</t>
        </is>
      </c>
      <c r="BA88" s="3" t="inlineStr">
        <is>
          <t>To a slight extent</t>
        </is>
      </c>
      <c r="BB88" s="3" t="inlineStr">
        <is>
          <t>To a moderate extent</t>
        </is>
      </c>
      <c r="BC88" s="3" t="inlineStr">
        <is>
          <t>To a slight extent</t>
        </is>
      </c>
      <c r="BD88" s="3" t="inlineStr">
        <is>
          <t>To a great extent</t>
        </is>
      </c>
      <c r="BE88" s="3" t="inlineStr">
        <is>
          <t>Not at all</t>
        </is>
      </c>
      <c r="BF88" s="3" t="inlineStr">
        <is>
          <t>Not at all</t>
        </is>
      </c>
      <c r="BG88" s="3" t="inlineStr">
        <is>
          <t>To a slight extent</t>
        </is>
      </c>
      <c r="BH88" s="3" t="inlineStr">
        <is>
          <t>To a slight extent</t>
        </is>
      </c>
      <c r="BI88" s="3" t="inlineStr">
        <is>
          <t>To a great extent</t>
        </is>
      </c>
      <c r="BJ88" s="3" t="inlineStr">
        <is>
          <t>To a moderate extent</t>
        </is>
      </c>
      <c r="BK88" s="3" t="inlineStr">
        <is>
          <t>To a slight extent</t>
        </is>
      </c>
      <c r="BL88" s="3" t="inlineStr">
        <is>
          <t>To a moderate extent</t>
        </is>
      </c>
      <c r="BM88" s="3" t="inlineStr">
        <is>
          <t>To a slight extent</t>
        </is>
      </c>
      <c r="BN88" s="3" t="inlineStr">
        <is>
          <t>To a great extent</t>
        </is>
      </c>
      <c r="BO88" s="3" t="inlineStr">
        <is>
          <t>Not at all</t>
        </is>
      </c>
      <c r="BP88" s="3" t="inlineStr">
        <is>
          <t>Not at all</t>
        </is>
      </c>
      <c r="BQ88" s="3" t="inlineStr">
        <is>
          <t>Not at all</t>
        </is>
      </c>
      <c r="BR88" s="3" t="inlineStr">
        <is>
          <t>Not at all</t>
        </is>
      </c>
      <c r="BS88" s="3" t="n"/>
      <c r="BT88" s="3" t="inlineStr">
        <is>
          <t>The IMF dedicated an appropriate amount of resources</t>
        </is>
      </c>
      <c r="BU88" s="3" t="inlineStr">
        <is>
          <t>To a slight extent</t>
        </is>
      </c>
      <c r="BV88" s="3" t="inlineStr">
        <is>
          <t>To a slight extent</t>
        </is>
      </c>
      <c r="BW88" s="3" t="inlineStr">
        <is>
          <t>To a slight extent</t>
        </is>
      </c>
      <c r="BX88" s="3" t="inlineStr">
        <is>
          <t>To a moderate extent</t>
        </is>
      </c>
      <c r="BY88" s="3" t="inlineStr">
        <is>
          <t>To a moderate extent</t>
        </is>
      </c>
      <c r="BZ88" s="3" t="inlineStr">
        <is>
          <t>To a moderate extent</t>
        </is>
      </c>
      <c r="CA88" s="3" t="inlineStr">
        <is>
          <t>To a slight extent</t>
        </is>
      </c>
      <c r="CB88" s="3" t="inlineStr">
        <is>
          <t>To a slight extent</t>
        </is>
      </c>
      <c r="CC88" s="3" t="inlineStr">
        <is>
          <t>To a slight extent</t>
        </is>
      </c>
      <c r="CD88" s="3" t="inlineStr">
        <is>
          <t>To a moderate extent</t>
        </is>
      </c>
      <c r="CE88" s="3" t="inlineStr">
        <is>
          <t>To a moderate extent</t>
        </is>
      </c>
      <c r="CF88" s="3" t="inlineStr">
        <is>
          <t>To a moderate extent</t>
        </is>
      </c>
      <c r="CG88" s="3" t="n"/>
      <c r="CH88" s="3" t="inlineStr">
        <is>
          <t>No</t>
        </is>
      </c>
      <c r="CI88" s="3" t="inlineStr">
        <is>
          <t>No</t>
        </is>
      </c>
      <c r="CJ88" s="3" t="n"/>
      <c r="CK88" s="3" t="n"/>
      <c r="CL88" s="3" t="n"/>
      <c r="CM88" s="3" t="n"/>
      <c r="CN88" s="3" t="n"/>
      <c r="CO88" s="3" t="n"/>
      <c r="CP88" s="3" t="n"/>
      <c r="CQ88" s="3" t="n"/>
      <c r="CR88" s="3" t="n"/>
      <c r="CS88" s="3" t="n"/>
      <c r="CT88" s="3" t="n"/>
      <c r="CU88" s="3" t="n"/>
      <c r="CV88" s="3" t="n"/>
      <c r="CW88" s="3" t="n"/>
      <c r="CX88" s="3" t="n"/>
      <c r="CY88" s="3" t="n"/>
      <c r="CZ88" s="3" t="n"/>
      <c r="DA88" s="3" t="n"/>
      <c r="DB88" s="3" t="n"/>
      <c r="DC88" s="3" t="n"/>
      <c r="DD88" s="3" t="n"/>
      <c r="DE88" s="3" t="n"/>
      <c r="DF88" s="3" t="n"/>
      <c r="DG88" s="3" t="n"/>
      <c r="DH88" s="3" t="n"/>
      <c r="DI88" s="3" t="n"/>
      <c r="DJ88" s="3" t="n"/>
      <c r="DK88" s="3" t="n"/>
      <c r="DL88" s="3" t="n"/>
      <c r="DM88" s="3" t="n"/>
      <c r="DN88" s="3" t="n"/>
      <c r="DO88" s="3" t="n"/>
      <c r="DP88" s="3" t="inlineStr">
        <is>
          <t>My country is not eligible for an RSF arrangement</t>
        </is>
      </c>
      <c r="DQ88" s="3" t="inlineStr">
        <is>
          <t>Climate change does not pose a major balance of payments risk in my country</t>
        </is>
      </c>
      <c r="DR88" s="3" t="n"/>
      <c r="DS88" s="3" t="n"/>
      <c r="DT88" s="3" t="n"/>
      <c r="DU88" s="3" t="n"/>
      <c r="DV88" s="3" t="n"/>
      <c r="DW88" s="3" t="inlineStr">
        <is>
          <t>Yes</t>
        </is>
      </c>
      <c r="DX88" s="3" t="n"/>
      <c r="DY88" s="3" t="n"/>
      <c r="DZ88" s="3" t="n"/>
      <c r="EA88" s="3" t="n"/>
      <c r="EB88" s="3" t="inlineStr">
        <is>
          <t>Other (please specify) : European Union</t>
        </is>
      </c>
      <c r="EC88" s="3" t="inlineStr">
        <is>
          <t>Don’t know or not applicable</t>
        </is>
      </c>
      <c r="ED88" s="3" t="inlineStr">
        <is>
          <t>Don’t know or not applicable</t>
        </is>
      </c>
      <c r="EE88" s="3" t="inlineStr">
        <is>
          <t>Don’t know or not applicable</t>
        </is>
      </c>
      <c r="EF88" s="3" t="inlineStr">
        <is>
          <t>To a great extent</t>
        </is>
      </c>
      <c r="EG88" s="3" t="inlineStr">
        <is>
          <t>To a moderate extent</t>
        </is>
      </c>
      <c r="EH88" s="3" t="inlineStr">
        <is>
          <t>To a moderate extent</t>
        </is>
      </c>
      <c r="EI88" s="3" t="inlineStr">
        <is>
          <t>To a moderate extent</t>
        </is>
      </c>
      <c r="EJ88" s="3" t="inlineStr">
        <is>
          <t>To a slight extent</t>
        </is>
      </c>
      <c r="EK88" s="3" t="inlineStr">
        <is>
          <t>Not at all</t>
        </is>
      </c>
      <c r="EL88" s="3" t="inlineStr">
        <is>
          <t>To a slight extent</t>
        </is>
      </c>
      <c r="EM88" s="3" t="n"/>
      <c r="EN88" s="3" t="n"/>
      <c r="EO88" s="3" t="n"/>
      <c r="EP88" s="3" t="n"/>
      <c r="EQ88" s="3" t="inlineStr">
        <is>
          <t>Not at all</t>
        </is>
      </c>
      <c r="ER88" s="3" t="inlineStr">
        <is>
          <t>Not at all</t>
        </is>
      </c>
      <c r="ES88" s="3" t="n"/>
      <c r="ET88" s="3" t="n"/>
      <c r="EU88" s="3" t="n"/>
      <c r="EV88" s="3" t="n"/>
      <c r="EW88" s="3" t="n"/>
      <c r="EX88" s="3" t="n"/>
      <c r="EY88" s="3" t="n"/>
      <c r="EZ88" s="3" t="n"/>
      <c r="FA88" s="3" t="n"/>
      <c r="FB88" s="3" t="n"/>
      <c r="FC88" s="3" t="n"/>
      <c r="FD88" s="3" t="n"/>
      <c r="FE88" s="3" t="n"/>
      <c r="FF88" s="3" t="n"/>
      <c r="FG88" s="3" t="n"/>
      <c r="FH88" s="3" t="n"/>
      <c r="FI88" s="3" t="n"/>
      <c r="FJ88" s="3" t="n"/>
      <c r="FK88" s="3" t="n"/>
      <c r="FL88" s="3" t="n"/>
      <c r="FM88" s="3" t="n"/>
      <c r="FN88" s="3" t="n"/>
      <c r="FO88" s="3" t="n"/>
      <c r="FP88" s="3" t="n"/>
      <c r="FQ88" s="3" t="n"/>
      <c r="FR88" s="3" t="n"/>
      <c r="FS88" s="3" t="n"/>
      <c r="FT88" s="3" t="n"/>
      <c r="FU88" s="3" t="n"/>
      <c r="FV88" s="3" t="n"/>
      <c r="FW88" s="3" t="n"/>
      <c r="FX88" s="3" t="n"/>
      <c r="FY88" s="3" t="inlineStr">
        <is>
          <t>To a great extent</t>
        </is>
      </c>
      <c r="FZ88" s="3" t="inlineStr">
        <is>
          <t>To a moderate extent</t>
        </is>
      </c>
      <c r="GA88" s="3" t="inlineStr">
        <is>
          <t>To a great extent</t>
        </is>
      </c>
      <c r="GB88" s="3" t="inlineStr">
        <is>
          <t>To a moderate extent</t>
        </is>
      </c>
      <c r="GC88" s="3" t="n"/>
      <c r="GD88" s="3" t="n"/>
      <c r="GE88" s="3" t="inlineStr">
        <is>
          <t>To a great extent</t>
        </is>
      </c>
      <c r="GF88" s="3" t="inlineStr">
        <is>
          <t>To a great extent</t>
        </is>
      </c>
      <c r="GG88" s="3" t="inlineStr">
        <is>
          <t>To a moderate extent</t>
        </is>
      </c>
      <c r="GH88" s="3" t="inlineStr">
        <is>
          <t>To a moderate extent</t>
        </is>
      </c>
      <c r="GI88" s="3" t="inlineStr">
        <is>
          <t>To a moderate extent</t>
        </is>
      </c>
      <c r="GJ88" s="3" t="inlineStr">
        <is>
          <t>To a moderate extent</t>
        </is>
      </c>
      <c r="GK88" s="3" t="inlineStr">
        <is>
          <t>Seeing as the EU's RRF is a very specific instrument which provides both grants and loans, I felt like a comparison to the RSF's eligibility and financing terms might not be appropriate. Consequently, I picked N/A for the questions that asked for this comparison.</t>
        </is>
      </c>
      <c r="GL88" s="5">
        <f>DATE(2025,6,13)+TIME(17,48,45)</f>
        <v/>
      </c>
    </row>
    <row r="89" ht="110.25" customHeight="1">
      <c r="A89" s="6" t="inlineStr">
        <is>
          <t>Ivan</t>
        </is>
      </c>
      <c r="B89" s="6" t="inlineStr">
        <is>
          <t>Sato</t>
        </is>
      </c>
      <c r="C89" s="6" t="inlineStr">
        <is>
          <t>isato@organization.org</t>
        </is>
      </c>
      <c r="D89" s="6" t="inlineStr">
        <is>
          <t>6KSEC4HGO</t>
        </is>
      </c>
      <c r="E89" s="6" t="n"/>
      <c r="F89" s="6" t="inlineStr">
        <is>
          <t>OEDAS</t>
        </is>
      </c>
      <c r="G89" s="6" t="n"/>
      <c r="H89" s="6" t="n"/>
      <c r="I89" s="6" t="n"/>
      <c r="J89" s="6" t="inlineStr">
        <is>
          <t>Mauritius</t>
        </is>
      </c>
      <c r="K89" s="6" t="n"/>
      <c r="L89" s="6" t="n"/>
      <c r="M89" s="6" t="n"/>
      <c r="N89" s="6" t="n"/>
      <c r="O89" s="6" t="n"/>
      <c r="P89" s="6" t="n"/>
      <c r="Q89" s="6" t="n"/>
      <c r="R89" s="6" t="n"/>
      <c r="S89" s="6" t="n"/>
      <c r="T89" s="6" t="n"/>
      <c r="U89" s="6" t="n"/>
      <c r="V89" s="6" t="n"/>
      <c r="W89" s="6" t="n"/>
      <c r="X89" s="6" t="n"/>
      <c r="Y89" s="6" t="n"/>
      <c r="Z89" s="6" t="n"/>
      <c r="AA89" s="6" t="n"/>
      <c r="AB89" s="6" t="n"/>
      <c r="AC89" s="6" t="n"/>
      <c r="AD89" s="6" t="n"/>
      <c r="AE89" s="6" t="n"/>
      <c r="AF89" s="4" t="inlineStr">
        <is>
          <t>Mauritius</t>
        </is>
      </c>
      <c r="AG89" s="6" t="inlineStr">
        <is>
          <t>The IMF should engage more on climate change-related issues</t>
        </is>
      </c>
      <c r="AH89" s="6" t="inlineStr">
        <is>
          <t>To a moderate extent</t>
        </is>
      </c>
      <c r="AI89" s="6" t="inlineStr">
        <is>
          <t>To a moderate extent</t>
        </is>
      </c>
      <c r="AJ89" s="6" t="inlineStr">
        <is>
          <t>Don’t know or not applicable</t>
        </is>
      </c>
      <c r="AK89" s="6" t="inlineStr">
        <is>
          <t>To a great extent</t>
        </is>
      </c>
      <c r="AL89" s="6" t="inlineStr">
        <is>
          <t>To a great extent</t>
        </is>
      </c>
      <c r="AM89" s="6" t="inlineStr">
        <is>
          <t>Don’t know or not applicable</t>
        </is>
      </c>
      <c r="AN89" s="6" t="inlineStr">
        <is>
          <t>To a moderate extent</t>
        </is>
      </c>
      <c r="AO89" s="6" t="inlineStr">
        <is>
          <t>To a moderate extent</t>
        </is>
      </c>
      <c r="AP89" s="6" t="inlineStr">
        <is>
          <t>To a moderate extent</t>
        </is>
      </c>
      <c r="AQ89" s="6" t="inlineStr">
        <is>
          <t>To a great extent</t>
        </is>
      </c>
      <c r="AR89" s="6" t="inlineStr">
        <is>
          <t>To a moderate extent</t>
        </is>
      </c>
      <c r="AS89" s="6" t="n"/>
      <c r="AT89" s="6" t="inlineStr">
        <is>
          <t>To a moderate extent</t>
        </is>
      </c>
      <c r="AU89" s="6" t="inlineStr">
        <is>
          <t>To a moderate extent</t>
        </is>
      </c>
      <c r="AV89" s="6" t="inlineStr">
        <is>
          <t>Not at all</t>
        </is>
      </c>
      <c r="AW89" s="6" t="inlineStr">
        <is>
          <t>To a moderate extent</t>
        </is>
      </c>
      <c r="AX89" s="6" t="inlineStr">
        <is>
          <t>To a moderate extent</t>
        </is>
      </c>
      <c r="AY89" s="6" t="inlineStr">
        <is>
          <t>To a moderate extent</t>
        </is>
      </c>
      <c r="AZ89" s="6" t="inlineStr">
        <is>
          <t>To a moderate extent</t>
        </is>
      </c>
      <c r="BA89" s="6" t="inlineStr">
        <is>
          <t>Not at all</t>
        </is>
      </c>
      <c r="BB89" s="6" t="inlineStr">
        <is>
          <t>To a moderate extent</t>
        </is>
      </c>
      <c r="BC89" s="6" t="inlineStr">
        <is>
          <t>To a moderate extent</t>
        </is>
      </c>
      <c r="BD89" s="6" t="inlineStr">
        <is>
          <t>To a moderate extent</t>
        </is>
      </c>
      <c r="BE89" s="6" t="inlineStr">
        <is>
          <t>Don’t know or not applicable</t>
        </is>
      </c>
      <c r="BF89" s="6" t="inlineStr">
        <is>
          <t>Don’t know or not applicable</t>
        </is>
      </c>
      <c r="BG89" s="6" t="inlineStr">
        <is>
          <t>Don’t know or not applicable</t>
        </is>
      </c>
      <c r="BH89" s="6" t="inlineStr">
        <is>
          <t>Don’t know or not applicable</t>
        </is>
      </c>
      <c r="BI89" s="6" t="inlineStr">
        <is>
          <t>Don’t know or not applicable</t>
        </is>
      </c>
      <c r="BJ89" s="6" t="inlineStr">
        <is>
          <t>To a moderate extent</t>
        </is>
      </c>
      <c r="BK89" s="6" t="inlineStr">
        <is>
          <t>Not at all</t>
        </is>
      </c>
      <c r="BL89" s="6" t="inlineStr">
        <is>
          <t>To a moderate extent</t>
        </is>
      </c>
      <c r="BM89" s="6" t="inlineStr">
        <is>
          <t>To a moderate extent</t>
        </is>
      </c>
      <c r="BN89" s="6" t="inlineStr">
        <is>
          <t>To a moderate extent</t>
        </is>
      </c>
      <c r="BO89" s="6" t="inlineStr">
        <is>
          <t>To a moderate extent</t>
        </is>
      </c>
      <c r="BP89" s="6" t="inlineStr">
        <is>
          <t>To a slight extent</t>
        </is>
      </c>
      <c r="BQ89" s="6" t="inlineStr">
        <is>
          <t>To a slight extent</t>
        </is>
      </c>
      <c r="BR89" s="6" t="inlineStr">
        <is>
          <t>Don’t know or not applicable</t>
        </is>
      </c>
      <c r="BS89" s="6" t="n"/>
      <c r="BT89" s="6" t="inlineStr">
        <is>
          <t>The IMF should have dedicated more resources</t>
        </is>
      </c>
      <c r="BU89" s="6" t="inlineStr">
        <is>
          <t>To a great extent</t>
        </is>
      </c>
      <c r="BV89" s="6" t="inlineStr">
        <is>
          <t>To a great extent</t>
        </is>
      </c>
      <c r="BW89" s="6" t="inlineStr">
        <is>
          <t>To a great extent</t>
        </is>
      </c>
      <c r="BX89" s="6" t="inlineStr">
        <is>
          <t>To a great extent</t>
        </is>
      </c>
      <c r="BY89" s="6" t="inlineStr">
        <is>
          <t>To a great extent</t>
        </is>
      </c>
      <c r="BZ89" s="6" t="inlineStr">
        <is>
          <t>To a great extent</t>
        </is>
      </c>
      <c r="CA89" s="6" t="inlineStr">
        <is>
          <t>To a great extent</t>
        </is>
      </c>
      <c r="CB89" s="6" t="inlineStr">
        <is>
          <t>To a great extent</t>
        </is>
      </c>
      <c r="CC89" s="6" t="inlineStr">
        <is>
          <t>To a great extent</t>
        </is>
      </c>
      <c r="CD89" s="6" t="inlineStr">
        <is>
          <t>To a great extent</t>
        </is>
      </c>
      <c r="CE89" s="6" t="inlineStr">
        <is>
          <t>To a great extent</t>
        </is>
      </c>
      <c r="CF89" s="6" t="inlineStr">
        <is>
          <t>To a great extent</t>
        </is>
      </c>
      <c r="CG89" s="6" t="n"/>
      <c r="CH89" s="6" t="inlineStr">
        <is>
          <t>No</t>
        </is>
      </c>
      <c r="CI89" s="6" t="inlineStr">
        <is>
          <t>No</t>
        </is>
      </c>
      <c r="CJ89" s="6" t="n"/>
      <c r="CK89" s="6" t="n"/>
      <c r="CL89" s="6" t="n"/>
      <c r="CM89" s="6" t="n"/>
      <c r="CN89" s="6" t="n"/>
      <c r="CO89" s="6" t="n"/>
      <c r="CP89" s="6" t="n"/>
      <c r="CQ89" s="6" t="n"/>
      <c r="CR89" s="6" t="n"/>
      <c r="CS89" s="6" t="n"/>
      <c r="CT89" s="6" t="n"/>
      <c r="CU89" s="6" t="n"/>
      <c r="CV89" s="6" t="n"/>
      <c r="CW89" s="6" t="n"/>
      <c r="CX89" s="6" t="n"/>
      <c r="CY89" s="6" t="n"/>
      <c r="CZ89" s="6" t="n"/>
      <c r="DA89" s="6" t="n"/>
      <c r="DB89" s="6" t="n"/>
      <c r="DC89" s="6" t="n"/>
      <c r="DD89" s="6" t="n"/>
      <c r="DE89" s="6" t="n"/>
      <c r="DF89" s="6" t="n"/>
      <c r="DG89" s="6" t="n"/>
      <c r="DH89" s="6" t="n"/>
      <c r="DI89" s="6" t="n"/>
      <c r="DJ89" s="6" t="n"/>
      <c r="DK89" s="6" t="n"/>
      <c r="DL89" s="6" t="n"/>
      <c r="DM89" s="6" t="n"/>
      <c r="DN89" s="6" t="n"/>
      <c r="DO89" s="6" t="n"/>
      <c r="DP89" s="6" t="n"/>
      <c r="DQ89" s="6" t="inlineStr">
        <is>
          <t>Climate change does not pose a major balance of payments risk in my country</t>
        </is>
      </c>
      <c r="DR89" s="6" t="n"/>
      <c r="DS89" s="6" t="n"/>
      <c r="DT89" s="6" t="n"/>
      <c r="DU89" s="6" t="inlineStr">
        <is>
          <t>An RSF arrangement would have been useful, but my country had no balance of payments issues/did not need/was not willing to commit to the underlying UCT program</t>
        </is>
      </c>
      <c r="DV89" s="6" t="n"/>
      <c r="DW89" s="6" t="inlineStr">
        <is>
          <t>Yes</t>
        </is>
      </c>
      <c r="DX89" s="6" t="n"/>
      <c r="DY89" s="6" t="inlineStr">
        <is>
          <t>Regional development banks</t>
        </is>
      </c>
      <c r="DZ89" s="6" t="inlineStr">
        <is>
          <t>Bilateral sources</t>
        </is>
      </c>
      <c r="EA89" s="6" t="n"/>
      <c r="EB89" s="6" t="n"/>
      <c r="EC89" s="6" t="inlineStr">
        <is>
          <t>Don’t know or not applicable</t>
        </is>
      </c>
      <c r="ED89" s="6" t="inlineStr">
        <is>
          <t>Don’t know or not applicable</t>
        </is>
      </c>
      <c r="EE89" s="6" t="inlineStr">
        <is>
          <t>Don’t know or not applicable</t>
        </is>
      </c>
      <c r="EF89" s="6" t="inlineStr">
        <is>
          <t>To a moderate extent</t>
        </is>
      </c>
      <c r="EG89" s="6" t="inlineStr">
        <is>
          <t>To a moderate extent</t>
        </is>
      </c>
      <c r="EH89" s="6" t="inlineStr">
        <is>
          <t>To a moderate extent</t>
        </is>
      </c>
      <c r="EI89" s="6" t="inlineStr">
        <is>
          <t>To a slight extent</t>
        </is>
      </c>
      <c r="EJ89" s="6" t="inlineStr">
        <is>
          <t>Don’t know or not applicable</t>
        </is>
      </c>
      <c r="EK89" s="6" t="inlineStr">
        <is>
          <t>Don’t know or not applicable</t>
        </is>
      </c>
      <c r="EL89" s="6" t="inlineStr">
        <is>
          <t>Don’t know or not applicable</t>
        </is>
      </c>
      <c r="EM89" s="6" t="n"/>
      <c r="EN89" s="6" t="n"/>
      <c r="EO89" s="6" t="n"/>
      <c r="EP89" s="6" t="n"/>
      <c r="EQ89" s="6" t="inlineStr">
        <is>
          <t>Not at all</t>
        </is>
      </c>
      <c r="ER89" s="6" t="inlineStr">
        <is>
          <t>To a moderate extent</t>
        </is>
      </c>
      <c r="ES89" s="6" t="n"/>
      <c r="ET89" s="6" t="n"/>
      <c r="EU89" s="6" t="n"/>
      <c r="EV89" s="6" t="n"/>
      <c r="EW89" s="6" t="n"/>
      <c r="EX89" s="6" t="n"/>
      <c r="EY89" s="6" t="n"/>
      <c r="EZ89" s="6" t="n"/>
      <c r="FA89" s="6" t="n"/>
      <c r="FB89" s="6" t="n"/>
      <c r="FC89" s="6" t="n"/>
      <c r="FD89" s="6" t="n"/>
      <c r="FE89" s="6" t="n"/>
      <c r="FF89" s="6" t="n"/>
      <c r="FG89" s="6" t="n"/>
      <c r="FH89" s="6" t="inlineStr">
        <is>
          <t>To a moderate extent</t>
        </is>
      </c>
      <c r="FI89" s="6" t="inlineStr">
        <is>
          <t>To a moderate extent</t>
        </is>
      </c>
      <c r="FJ89" s="6" t="inlineStr">
        <is>
          <t>Not at all</t>
        </is>
      </c>
      <c r="FK89" s="6" t="inlineStr">
        <is>
          <t>To a moderate extent</t>
        </is>
      </c>
      <c r="FL89" s="6" t="inlineStr">
        <is>
          <t>To a moderate extent</t>
        </is>
      </c>
      <c r="FM89" s="6" t="inlineStr">
        <is>
          <t>To a moderate extent</t>
        </is>
      </c>
      <c r="FN89" s="6" t="inlineStr">
        <is>
          <t>To a moderate extent</t>
        </is>
      </c>
      <c r="FO89" s="6" t="inlineStr">
        <is>
          <t>To a moderate extent</t>
        </is>
      </c>
      <c r="FP89" s="6" t="inlineStr">
        <is>
          <t>Don’t know or not applicable</t>
        </is>
      </c>
      <c r="FQ89" s="6" t="inlineStr">
        <is>
          <t>To a moderate extent</t>
        </is>
      </c>
      <c r="FR89" s="6" t="inlineStr">
        <is>
          <t>To a moderate extent</t>
        </is>
      </c>
      <c r="FS89" s="6" t="inlineStr">
        <is>
          <t>To a slight extent</t>
        </is>
      </c>
      <c r="FT89" s="6" t="inlineStr">
        <is>
          <t>To a slight extent</t>
        </is>
      </c>
      <c r="FU89" s="6" t="inlineStr">
        <is>
          <t>Don’t know or not applicable</t>
        </is>
      </c>
      <c r="FV89" s="6" t="n"/>
      <c r="FW89" s="6" t="inlineStr">
        <is>
          <t>The IMF should have dedicated more resources</t>
        </is>
      </c>
      <c r="FX89" s="6" t="n"/>
      <c r="FY89" s="6" t="inlineStr">
        <is>
          <t>To a moderate extent</t>
        </is>
      </c>
      <c r="FZ89" s="6" t="inlineStr">
        <is>
          <t>To a moderate extent</t>
        </is>
      </c>
      <c r="GA89" s="6" t="inlineStr">
        <is>
          <t>To a great extent</t>
        </is>
      </c>
      <c r="GB89" s="6" t="inlineStr">
        <is>
          <t>To a moderate extent</t>
        </is>
      </c>
      <c r="GC89" s="6" t="inlineStr">
        <is>
          <t>Don’t know or not applicable</t>
        </is>
      </c>
      <c r="GD89" s="6" t="n"/>
      <c r="GE89" s="6" t="inlineStr">
        <is>
          <t>To a great extent</t>
        </is>
      </c>
      <c r="GF89" s="6" t="inlineStr">
        <is>
          <t>To a great extent</t>
        </is>
      </c>
      <c r="GG89" s="6" t="inlineStr">
        <is>
          <t>To a great extent</t>
        </is>
      </c>
      <c r="GH89" s="6" t="inlineStr">
        <is>
          <t>To a moderate extent</t>
        </is>
      </c>
      <c r="GI89" s="6" t="inlineStr">
        <is>
          <t>To a moderate extent</t>
        </is>
      </c>
      <c r="GJ89" s="6" t="inlineStr">
        <is>
          <t>To a moderate extent</t>
        </is>
      </c>
      <c r="GK89" s="6" t="inlineStr">
        <is>
          <t>IMF could step up technical support to central banks in the region to strengthen the climate data framework and develop climate macroeconomic and stress testing models.</t>
        </is>
      </c>
      <c r="GL89" s="7">
        <f>DATE(2025,6,11)+TIME(7,8,55)</f>
        <v/>
      </c>
    </row>
    <row r="90" ht="189" customHeight="1">
      <c r="A90" s="3" t="inlineStr">
        <is>
          <t>Nina</t>
        </is>
      </c>
      <c r="B90" s="3" t="inlineStr">
        <is>
          <t>Andersen</t>
        </is>
      </c>
      <c r="C90" s="3" t="inlineStr">
        <is>
          <t>nandersen@organization.org</t>
        </is>
      </c>
      <c r="D90" s="3" t="inlineStr">
        <is>
          <t>JDVVG3MWB</t>
        </is>
      </c>
      <c r="E90" s="3" t="n"/>
      <c r="F90" s="3" t="inlineStr">
        <is>
          <t>OEDIN</t>
        </is>
      </c>
      <c r="G90" s="3" t="n"/>
      <c r="H90" s="3" t="n"/>
      <c r="I90" s="3" t="n"/>
      <c r="J90" s="3" t="n"/>
      <c r="K90" s="3" t="n"/>
      <c r="L90" s="3" t="n"/>
      <c r="M90" s="3" t="n"/>
      <c r="N90" s="3" t="n"/>
      <c r="O90" s="3" t="n"/>
      <c r="P90" s="3" t="n"/>
      <c r="Q90" s="3" t="n"/>
      <c r="R90" s="3" t="n"/>
      <c r="S90" s="3" t="inlineStr">
        <is>
          <t>Sri Lanka</t>
        </is>
      </c>
      <c r="T90" s="3" t="n"/>
      <c r="U90" s="3" t="n"/>
      <c r="V90" s="3" t="n"/>
      <c r="W90" s="3" t="n"/>
      <c r="X90" s="3" t="n"/>
      <c r="Y90" s="3" t="n"/>
      <c r="Z90" s="3" t="n"/>
      <c r="AA90" s="3" t="n"/>
      <c r="AB90" s="3" t="n"/>
      <c r="AC90" s="3" t="n"/>
      <c r="AD90" s="3" t="n"/>
      <c r="AE90" s="3" t="n"/>
      <c r="AF90" s="4" t="inlineStr">
        <is>
          <t>Sri Lanka</t>
        </is>
      </c>
      <c r="AG90" s="3" t="inlineStr">
        <is>
          <t>The IMF should engage more on climate change-related issues</t>
        </is>
      </c>
      <c r="AH90" s="3" t="inlineStr">
        <is>
          <t>To a moderate extent</t>
        </is>
      </c>
      <c r="AI90" s="3" t="inlineStr">
        <is>
          <t>To a moderate extent</t>
        </is>
      </c>
      <c r="AJ90" s="3" t="inlineStr">
        <is>
          <t>Not at all</t>
        </is>
      </c>
      <c r="AK90" s="3" t="inlineStr">
        <is>
          <t>To a moderate extent</t>
        </is>
      </c>
      <c r="AL90" s="3" t="inlineStr">
        <is>
          <t>To a slight extent</t>
        </is>
      </c>
      <c r="AM90" s="3" t="inlineStr">
        <is>
          <t>Not at all</t>
        </is>
      </c>
      <c r="AN90" s="3" t="inlineStr">
        <is>
          <t>Not at all</t>
        </is>
      </c>
      <c r="AO90" s="3" t="inlineStr">
        <is>
          <t>To a great extent</t>
        </is>
      </c>
      <c r="AP90" s="3" t="inlineStr">
        <is>
          <t>To a moderate extent</t>
        </is>
      </c>
      <c r="AQ90" s="3" t="inlineStr">
        <is>
          <t>To a slight extent</t>
        </is>
      </c>
      <c r="AR90" s="3" t="inlineStr">
        <is>
          <t>To a slight extent</t>
        </is>
      </c>
      <c r="AS90" s="3" t="n"/>
      <c r="AT90" s="3" t="inlineStr">
        <is>
          <t>To a slight extent</t>
        </is>
      </c>
      <c r="AU90" s="3" t="inlineStr">
        <is>
          <t>To a moderate extent</t>
        </is>
      </c>
      <c r="AV90" s="3" t="inlineStr">
        <is>
          <t>Not at all</t>
        </is>
      </c>
      <c r="AW90" s="3" t="inlineStr">
        <is>
          <t>To a moderate extent</t>
        </is>
      </c>
      <c r="AX90" s="3" t="inlineStr">
        <is>
          <t>To a moderate extent</t>
        </is>
      </c>
      <c r="AY90" s="3" t="inlineStr">
        <is>
          <t>Not at all</t>
        </is>
      </c>
      <c r="AZ90" s="3" t="inlineStr">
        <is>
          <t>To a moderate extent</t>
        </is>
      </c>
      <c r="BA90" s="3" t="inlineStr">
        <is>
          <t>To a slight extent</t>
        </is>
      </c>
      <c r="BB90" s="3" t="inlineStr">
        <is>
          <t>To a moderate extent</t>
        </is>
      </c>
      <c r="BC90" s="3" t="inlineStr">
        <is>
          <t>To a moderate extent</t>
        </is>
      </c>
      <c r="BD90" s="3" t="inlineStr">
        <is>
          <t>To a slight extent</t>
        </is>
      </c>
      <c r="BE90" s="3" t="inlineStr">
        <is>
          <t>Not at all</t>
        </is>
      </c>
      <c r="BF90" s="3" t="inlineStr">
        <is>
          <t>Not at all</t>
        </is>
      </c>
      <c r="BG90" s="3" t="inlineStr">
        <is>
          <t>To a slight extent</t>
        </is>
      </c>
      <c r="BH90" s="3" t="inlineStr">
        <is>
          <t>To a slight extent</t>
        </is>
      </c>
      <c r="BI90" s="3" t="inlineStr">
        <is>
          <t>Not at all</t>
        </is>
      </c>
      <c r="BJ90" s="3" t="inlineStr">
        <is>
          <t>To a slight extent</t>
        </is>
      </c>
      <c r="BK90" s="3" t="inlineStr">
        <is>
          <t>Not at all</t>
        </is>
      </c>
      <c r="BL90" s="3" t="inlineStr">
        <is>
          <t>To a slight extent</t>
        </is>
      </c>
      <c r="BM90" s="3" t="inlineStr">
        <is>
          <t>To a slight extent</t>
        </is>
      </c>
      <c r="BN90" s="3" t="inlineStr">
        <is>
          <t>Not at all</t>
        </is>
      </c>
      <c r="BO90" s="3" t="inlineStr">
        <is>
          <t>To a moderate extent</t>
        </is>
      </c>
      <c r="BP90" s="3" t="inlineStr">
        <is>
          <t>To a slight extent</t>
        </is>
      </c>
      <c r="BQ90" s="3" t="inlineStr">
        <is>
          <t>Not at all</t>
        </is>
      </c>
      <c r="BR90" s="3" t="n"/>
      <c r="BS90" s="3" t="n"/>
      <c r="BT90" s="3" t="inlineStr">
        <is>
          <t>The IMF should have dedicated more resources</t>
        </is>
      </c>
      <c r="BU90" s="3" t="inlineStr">
        <is>
          <t>To a great extent</t>
        </is>
      </c>
      <c r="BV90" s="3" t="inlineStr">
        <is>
          <t>To a great extent</t>
        </is>
      </c>
      <c r="BW90" s="3" t="inlineStr">
        <is>
          <t>To a great extent</t>
        </is>
      </c>
      <c r="BX90" s="3" t="inlineStr">
        <is>
          <t>To a moderate extent</t>
        </is>
      </c>
      <c r="BY90" s="3" t="inlineStr">
        <is>
          <t>To a moderate extent</t>
        </is>
      </c>
      <c r="BZ90" s="3" t="inlineStr">
        <is>
          <t>To a moderate extent</t>
        </is>
      </c>
      <c r="CA90" s="3" t="inlineStr">
        <is>
          <t>To a moderate extent</t>
        </is>
      </c>
      <c r="CB90" s="3" t="inlineStr">
        <is>
          <t>To a moderate extent</t>
        </is>
      </c>
      <c r="CC90" s="3" t="inlineStr">
        <is>
          <t>To a moderate extent</t>
        </is>
      </c>
      <c r="CD90" s="3" t="inlineStr">
        <is>
          <t>To a great extent</t>
        </is>
      </c>
      <c r="CE90" s="3" t="inlineStr">
        <is>
          <t>To a great extent</t>
        </is>
      </c>
      <c r="CF90" s="3" t="inlineStr">
        <is>
          <t>To a great extent</t>
        </is>
      </c>
      <c r="CG90" s="3" t="n"/>
      <c r="CH90" s="3" t="inlineStr">
        <is>
          <t>No</t>
        </is>
      </c>
      <c r="CI90" s="3" t="inlineStr">
        <is>
          <t>Yes</t>
        </is>
      </c>
      <c r="CJ90" s="3" t="n"/>
      <c r="CK90" s="3" t="n"/>
      <c r="CL90" s="3" t="n"/>
      <c r="CM90" s="3" t="n"/>
      <c r="CN90" s="3" t="n"/>
      <c r="CO90" s="3" t="n"/>
      <c r="CP90" s="3" t="n"/>
      <c r="CQ90" s="3" t="n"/>
      <c r="CR90" s="3" t="n"/>
      <c r="CS90" s="3" t="n"/>
      <c r="CT90" s="3" t="n"/>
      <c r="CU90" s="3" t="n"/>
      <c r="CV90" s="3" t="n"/>
      <c r="CW90" s="3" t="n"/>
      <c r="CX90" s="3" t="n"/>
      <c r="CY90" s="3" t="n"/>
      <c r="CZ90" s="3" t="n"/>
      <c r="DA90" s="3" t="n"/>
      <c r="DB90" s="3" t="n"/>
      <c r="DC90" s="3" t="n"/>
      <c r="DD90" s="3" t="n"/>
      <c r="DE90" s="3" t="n"/>
      <c r="DF90" s="3" t="n"/>
      <c r="DG90" s="3" t="n"/>
      <c r="DH90" s="3" t="n"/>
      <c r="DI90" s="3" t="n"/>
      <c r="DJ90" s="3" t="n"/>
      <c r="DK90" s="3" t="n"/>
      <c r="DL90" s="3" t="n"/>
      <c r="DM90" s="3" t="n"/>
      <c r="DN90" s="3" t="n"/>
      <c r="DO90" s="3" t="n"/>
      <c r="DP90" s="3" t="n"/>
      <c r="DQ90" s="3" t="n"/>
      <c r="DR90" s="3" t="n"/>
      <c r="DS90" s="3" t="n"/>
      <c r="DT90" s="3" t="n"/>
      <c r="DU90" s="3" t="n"/>
      <c r="DV90" s="3" t="inlineStr">
        <is>
          <t>Other (please specify) : Staff assessed that the remaining time under the ongoing EFF arrangement is not adequate.</t>
        </is>
      </c>
      <c r="DW90" s="3" t="inlineStr">
        <is>
          <t>Yes</t>
        </is>
      </c>
      <c r="DX90" s="3" t="inlineStr">
        <is>
          <t>World Bank Group</t>
        </is>
      </c>
      <c r="DY90" s="3" t="n"/>
      <c r="DZ90" s="3" t="n"/>
      <c r="EA90" s="3" t="n"/>
      <c r="EB90" s="3" t="n"/>
      <c r="EC90" s="3" t="inlineStr">
        <is>
          <t>To a moderate extent</t>
        </is>
      </c>
      <c r="ED90" s="3" t="inlineStr">
        <is>
          <t>Not at all</t>
        </is>
      </c>
      <c r="EE90" s="3" t="inlineStr">
        <is>
          <t>To a moderate extent</t>
        </is>
      </c>
      <c r="EF90" s="3" t="inlineStr">
        <is>
          <t>Not at all</t>
        </is>
      </c>
      <c r="EG90" s="3" t="inlineStr">
        <is>
          <t>Not at all</t>
        </is>
      </c>
      <c r="EH90" s="3" t="inlineStr">
        <is>
          <t>To a moderate extent</t>
        </is>
      </c>
      <c r="EI90" s="3" t="inlineStr">
        <is>
          <t>To a great extent</t>
        </is>
      </c>
      <c r="EJ90" s="3" t="inlineStr">
        <is>
          <t>Not at all</t>
        </is>
      </c>
      <c r="EK90" s="3" t="inlineStr">
        <is>
          <t>Not at all</t>
        </is>
      </c>
      <c r="EL90" s="3" t="inlineStr">
        <is>
          <t>To a moderate extent</t>
        </is>
      </c>
      <c r="EM90" s="3" t="inlineStr">
        <is>
          <t>To a slight extent</t>
        </is>
      </c>
      <c r="EN90" s="3" t="inlineStr">
        <is>
          <t>To a slight extent</t>
        </is>
      </c>
      <c r="EO90" s="3" t="inlineStr">
        <is>
          <t>Not at all</t>
        </is>
      </c>
      <c r="EP90" s="3" t="n"/>
      <c r="EQ90" s="3" t="inlineStr">
        <is>
          <t>Not at all</t>
        </is>
      </c>
      <c r="ER90" s="3" t="inlineStr">
        <is>
          <t>Not at all</t>
        </is>
      </c>
      <c r="ES90" s="3" t="n"/>
      <c r="ET90" s="3" t="n"/>
      <c r="EU90" s="3" t="n"/>
      <c r="EV90" s="3" t="n"/>
      <c r="EW90" s="3" t="n"/>
      <c r="EX90" s="3" t="n"/>
      <c r="EY90" s="3" t="n"/>
      <c r="EZ90" s="3" t="n"/>
      <c r="FA90" s="3" t="n"/>
      <c r="FB90" s="3" t="n"/>
      <c r="FC90" s="3" t="n"/>
      <c r="FD90" s="3" t="n"/>
      <c r="FE90" s="3" t="n"/>
      <c r="FF90" s="3" t="n"/>
      <c r="FG90" s="3" t="n"/>
      <c r="FH90" s="3" t="n"/>
      <c r="FI90" s="3" t="n"/>
      <c r="FJ90" s="3" t="n"/>
      <c r="FK90" s="3" t="n"/>
      <c r="FL90" s="3" t="n"/>
      <c r="FM90" s="3" t="n"/>
      <c r="FN90" s="3" t="n"/>
      <c r="FO90" s="3" t="n"/>
      <c r="FP90" s="3" t="n"/>
      <c r="FQ90" s="3" t="n"/>
      <c r="FR90" s="3" t="n"/>
      <c r="FS90" s="3" t="n"/>
      <c r="FT90" s="3" t="n"/>
      <c r="FU90" s="3" t="n"/>
      <c r="FV90" s="3" t="n"/>
      <c r="FW90" s="3" t="n"/>
      <c r="FX90" s="3" t="n"/>
      <c r="FY90" s="3" t="inlineStr">
        <is>
          <t>To a moderate extent</t>
        </is>
      </c>
      <c r="FZ90" s="3" t="inlineStr">
        <is>
          <t>To a moderate extent</t>
        </is>
      </c>
      <c r="GA90" s="3" t="inlineStr">
        <is>
          <t>To a great extent</t>
        </is>
      </c>
      <c r="GB90" s="3" t="inlineStr">
        <is>
          <t>To a great extent</t>
        </is>
      </c>
      <c r="GC90" s="3" t="n"/>
      <c r="GD90" s="3" t="n"/>
      <c r="GE90" s="3" t="inlineStr">
        <is>
          <t>To a great extent</t>
        </is>
      </c>
      <c r="GF90" s="3" t="inlineStr">
        <is>
          <t>To a great extent</t>
        </is>
      </c>
      <c r="GG90" s="3" t="inlineStr">
        <is>
          <t>To a great extent</t>
        </is>
      </c>
      <c r="GH90" s="3" t="inlineStr">
        <is>
          <t>Not at all</t>
        </is>
      </c>
      <c r="GI90" s="3" t="inlineStr">
        <is>
          <t>To a great extent</t>
        </is>
      </c>
      <c r="GJ90" s="3" t="inlineStr">
        <is>
          <t>To a great extent</t>
        </is>
      </c>
      <c r="GK90" s="3" t="inlineStr">
        <is>
          <t>IMF needs to assess more closely how climate change related issues affect trade, monetary policy, government revenue and social spending.  Such assessment should inform the need for timely access to RSF, without being constrained by time available under the existing UCT arrangement.</t>
        </is>
      </c>
      <c r="GL90" s="5">
        <f>DATE(2025,6,11)+TIME(14,22,7)</f>
        <v/>
      </c>
    </row>
    <row r="91" ht="47.25" customHeight="1">
      <c r="A91" s="6" t="inlineStr">
        <is>
          <t>Ivan</t>
        </is>
      </c>
      <c r="B91" s="6" t="inlineStr">
        <is>
          <t>Kowalski</t>
        </is>
      </c>
      <c r="C91" s="6" t="inlineStr">
        <is>
          <t>ikowalski@organization.org</t>
        </is>
      </c>
      <c r="D91" s="6" t="inlineStr">
        <is>
          <t>CR1BI57ES</t>
        </is>
      </c>
      <c r="E91" s="6" t="n"/>
      <c r="F91" s="6" t="inlineStr">
        <is>
          <t>OEDAG</t>
        </is>
      </c>
      <c r="G91" s="6" t="n"/>
      <c r="H91" s="6" t="inlineStr">
        <is>
          <t>Uruguay</t>
        </is>
      </c>
      <c r="I91" s="6" t="n"/>
      <c r="J91" s="6" t="n"/>
      <c r="K91" s="6" t="n"/>
      <c r="L91" s="6" t="n"/>
      <c r="M91" s="6" t="n"/>
      <c r="N91" s="6" t="n"/>
      <c r="O91" s="6" t="n"/>
      <c r="P91" s="6" t="n"/>
      <c r="Q91" s="6" t="n"/>
      <c r="R91" s="6" t="n"/>
      <c r="S91" s="6" t="n"/>
      <c r="T91" s="6" t="n"/>
      <c r="U91" s="6" t="n"/>
      <c r="V91" s="6" t="n"/>
      <c r="W91" s="6" t="n"/>
      <c r="X91" s="6" t="n"/>
      <c r="Y91" s="6" t="n"/>
      <c r="Z91" s="6" t="n"/>
      <c r="AA91" s="6" t="n"/>
      <c r="AB91" s="6" t="n"/>
      <c r="AC91" s="6" t="n"/>
      <c r="AD91" s="6" t="n"/>
      <c r="AE91" s="6" t="n"/>
      <c r="AF91" s="4" t="inlineStr">
        <is>
          <t>Uruguay</t>
        </is>
      </c>
      <c r="AG91" s="6" t="inlineStr">
        <is>
          <t>The IMF should engage more on climate change-related issues</t>
        </is>
      </c>
      <c r="AH91" s="6" t="inlineStr">
        <is>
          <t>To a moderate extent</t>
        </is>
      </c>
      <c r="AI91" s="6" t="inlineStr">
        <is>
          <t>Don’t know or not applicable</t>
        </is>
      </c>
      <c r="AJ91" s="6" t="inlineStr">
        <is>
          <t>To a moderate extent</t>
        </is>
      </c>
      <c r="AK91" s="6" t="inlineStr">
        <is>
          <t>To a moderate extent</t>
        </is>
      </c>
      <c r="AL91" s="6" t="inlineStr">
        <is>
          <t>Don’t know or not applicable</t>
        </is>
      </c>
      <c r="AM91" s="6" t="inlineStr">
        <is>
          <t>Don’t know or not applicable</t>
        </is>
      </c>
      <c r="AN91" s="6" t="inlineStr">
        <is>
          <t>Don’t know or not applicable</t>
        </is>
      </c>
      <c r="AO91" s="6" t="inlineStr">
        <is>
          <t>Don’t know or not applicable</t>
        </is>
      </c>
      <c r="AP91" s="6" t="inlineStr">
        <is>
          <t>Don’t know or not applicable</t>
        </is>
      </c>
      <c r="AQ91" s="6" t="inlineStr">
        <is>
          <t>Don’t know or not applicable</t>
        </is>
      </c>
      <c r="AR91" s="6" t="inlineStr">
        <is>
          <t>Don’t know or not applicable</t>
        </is>
      </c>
      <c r="AS91" s="6" t="n"/>
      <c r="AT91" s="6" t="inlineStr">
        <is>
          <t>Don’t know or not applicable</t>
        </is>
      </c>
      <c r="AU91" s="6" t="inlineStr">
        <is>
          <t>To a moderate extent</t>
        </is>
      </c>
      <c r="AV91" s="6" t="inlineStr">
        <is>
          <t>To a slight extent</t>
        </is>
      </c>
      <c r="AW91" s="6" t="inlineStr">
        <is>
          <t>To a great extent</t>
        </is>
      </c>
      <c r="AX91" s="6" t="inlineStr">
        <is>
          <t>To a great extent</t>
        </is>
      </c>
      <c r="AY91" s="6" t="inlineStr">
        <is>
          <t>Don’t know or not applicable</t>
        </is>
      </c>
      <c r="AZ91" s="6" t="inlineStr">
        <is>
          <t>Don’t know or not applicable</t>
        </is>
      </c>
      <c r="BA91" s="6" t="inlineStr">
        <is>
          <t>Don’t know or not applicable</t>
        </is>
      </c>
      <c r="BB91" s="6" t="inlineStr">
        <is>
          <t>Don’t know or not applicable</t>
        </is>
      </c>
      <c r="BC91" s="6" t="inlineStr">
        <is>
          <t>Don’t know or not applicable</t>
        </is>
      </c>
      <c r="BD91" s="6" t="inlineStr">
        <is>
          <t>Don’t know or not applicable</t>
        </is>
      </c>
      <c r="BE91" s="6" t="inlineStr">
        <is>
          <t>Don’t know or not applicable</t>
        </is>
      </c>
      <c r="BF91" s="6" t="inlineStr">
        <is>
          <t>To a slight extent</t>
        </is>
      </c>
      <c r="BG91" s="6" t="inlineStr">
        <is>
          <t>To a great extent</t>
        </is>
      </c>
      <c r="BH91" s="6" t="inlineStr">
        <is>
          <t>To a great extent</t>
        </is>
      </c>
      <c r="BI91" s="6" t="inlineStr">
        <is>
          <t>Don’t know or not applicable</t>
        </is>
      </c>
      <c r="BJ91" s="6" t="inlineStr">
        <is>
          <t>To a moderate extent</t>
        </is>
      </c>
      <c r="BK91" s="6" t="inlineStr">
        <is>
          <t>To a slight extent</t>
        </is>
      </c>
      <c r="BL91" s="6" t="inlineStr">
        <is>
          <t>To a moderate extent</t>
        </is>
      </c>
      <c r="BM91" s="6" t="inlineStr">
        <is>
          <t>To a moderate extent</t>
        </is>
      </c>
      <c r="BN91" s="6" t="inlineStr">
        <is>
          <t>Don’t know or not applicable</t>
        </is>
      </c>
      <c r="BO91" s="6" t="inlineStr">
        <is>
          <t>To a great extent</t>
        </is>
      </c>
      <c r="BP91" s="6" t="inlineStr">
        <is>
          <t>Don’t know or not applicable</t>
        </is>
      </c>
      <c r="BQ91" s="6" t="inlineStr">
        <is>
          <t>Don’t know or not applicable</t>
        </is>
      </c>
      <c r="BR91" s="6" t="inlineStr">
        <is>
          <t>Don’t know or not applicable</t>
        </is>
      </c>
      <c r="BS91" s="6" t="n"/>
      <c r="BT91" s="6" t="inlineStr">
        <is>
          <t>The IMF should have dedicated more resources</t>
        </is>
      </c>
      <c r="BU91" s="6" t="inlineStr">
        <is>
          <t>To a moderate extent</t>
        </is>
      </c>
      <c r="BV91" s="6" t="inlineStr">
        <is>
          <t>To a moderate extent</t>
        </is>
      </c>
      <c r="BW91" s="6" t="inlineStr">
        <is>
          <t>To a moderate extent</t>
        </is>
      </c>
      <c r="BX91" s="6" t="inlineStr">
        <is>
          <t>Don’t know or not applicable</t>
        </is>
      </c>
      <c r="BY91" s="6" t="inlineStr">
        <is>
          <t>Don’t know or not applicable</t>
        </is>
      </c>
      <c r="BZ91" s="6" t="inlineStr">
        <is>
          <t>Don’t know or not applicable</t>
        </is>
      </c>
      <c r="CA91" s="6" t="inlineStr">
        <is>
          <t>To a moderate extent</t>
        </is>
      </c>
      <c r="CB91" s="6" t="inlineStr">
        <is>
          <t>To a moderate extent</t>
        </is>
      </c>
      <c r="CC91" s="6" t="inlineStr">
        <is>
          <t>To a moderate extent</t>
        </is>
      </c>
      <c r="CD91" s="6" t="inlineStr">
        <is>
          <t>To a moderate extent</t>
        </is>
      </c>
      <c r="CE91" s="6" t="inlineStr">
        <is>
          <t>To a moderate extent</t>
        </is>
      </c>
      <c r="CF91" s="6" t="inlineStr">
        <is>
          <t>To a moderate extent</t>
        </is>
      </c>
      <c r="CG91" s="6" t="n"/>
      <c r="CH91" s="6" t="inlineStr">
        <is>
          <t>No</t>
        </is>
      </c>
      <c r="CI91" s="6" t="inlineStr">
        <is>
          <t>No</t>
        </is>
      </c>
      <c r="CJ91" s="6" t="n"/>
      <c r="CK91" s="6" t="n"/>
      <c r="CL91" s="6" t="n"/>
      <c r="CM91" s="6" t="n"/>
      <c r="CN91" s="6" t="n"/>
      <c r="CO91" s="6" t="n"/>
      <c r="CP91" s="6" t="n"/>
      <c r="CQ91" s="6" t="n"/>
      <c r="CR91" s="6" t="n"/>
      <c r="CS91" s="6" t="n"/>
      <c r="CT91" s="6" t="n"/>
      <c r="CU91" s="6" t="n"/>
      <c r="CV91" s="6" t="n"/>
      <c r="CW91" s="6" t="n"/>
      <c r="CX91" s="6" t="n"/>
      <c r="CY91" s="6" t="n"/>
      <c r="CZ91" s="6" t="n"/>
      <c r="DA91" s="6" t="n"/>
      <c r="DB91" s="6" t="n"/>
      <c r="DC91" s="6" t="n"/>
      <c r="DD91" s="6" t="n"/>
      <c r="DE91" s="6" t="n"/>
      <c r="DF91" s="6" t="n"/>
      <c r="DG91" s="6" t="n"/>
      <c r="DH91" s="6" t="n"/>
      <c r="DI91" s="6" t="n"/>
      <c r="DJ91" s="6" t="n"/>
      <c r="DK91" s="6" t="n"/>
      <c r="DL91" s="6" t="n"/>
      <c r="DM91" s="6" t="n"/>
      <c r="DN91" s="6" t="n"/>
      <c r="DO91" s="6" t="n"/>
      <c r="DP91" s="6" t="inlineStr">
        <is>
          <t>My country is not eligible for an RSF arrangement</t>
        </is>
      </c>
      <c r="DQ91" s="6" t="n"/>
      <c r="DR91" s="6" t="n"/>
      <c r="DS91" s="6" t="n"/>
      <c r="DT91" s="6" t="n"/>
      <c r="DU91" s="6" t="n"/>
      <c r="DV91" s="6" t="n"/>
      <c r="DW91" s="6" t="inlineStr">
        <is>
          <t>Yes</t>
        </is>
      </c>
      <c r="DX91" s="6" t="inlineStr">
        <is>
          <t>World Bank Group</t>
        </is>
      </c>
      <c r="DY91" s="6" t="inlineStr">
        <is>
          <t>Regional development banks</t>
        </is>
      </c>
      <c r="DZ91" s="6" t="n"/>
      <c r="EA91" s="6" t="n"/>
      <c r="EB91" s="6" t="n"/>
      <c r="EC91" s="6" t="inlineStr">
        <is>
          <t>Don’t know or not applicable</t>
        </is>
      </c>
      <c r="ED91" s="6" t="inlineStr">
        <is>
          <t>Don’t know or not applicable</t>
        </is>
      </c>
      <c r="EE91" s="6" t="inlineStr">
        <is>
          <t>Don’t know or not applicable</t>
        </is>
      </c>
      <c r="EF91" s="6" t="inlineStr">
        <is>
          <t>Don’t know or not applicable</t>
        </is>
      </c>
      <c r="EG91" s="6" t="inlineStr">
        <is>
          <t>Don’t know or not applicable</t>
        </is>
      </c>
      <c r="EH91" s="6" t="inlineStr">
        <is>
          <t>Don’t know or not applicable</t>
        </is>
      </c>
      <c r="EI91" s="6" t="inlineStr">
        <is>
          <t>Don’t know or not applicable</t>
        </is>
      </c>
      <c r="EJ91" s="6" t="inlineStr">
        <is>
          <t>Don’t know or not applicable</t>
        </is>
      </c>
      <c r="EK91" s="6" t="inlineStr">
        <is>
          <t>Don’t know or not applicable</t>
        </is>
      </c>
      <c r="EL91" s="6" t="inlineStr">
        <is>
          <t>Don’t know or not applicable</t>
        </is>
      </c>
      <c r="EM91" s="6" t="n"/>
      <c r="EN91" s="6" t="n"/>
      <c r="EO91" s="6" t="n"/>
      <c r="EP91" s="6" t="n"/>
      <c r="EQ91" s="6" t="inlineStr">
        <is>
          <t>To a slight extent</t>
        </is>
      </c>
      <c r="ER91" s="6" t="inlineStr">
        <is>
          <t>To a slight extent</t>
        </is>
      </c>
      <c r="ES91" s="6" t="n"/>
      <c r="ET91" s="6" t="inlineStr">
        <is>
          <t>Don’t know or not applicable</t>
        </is>
      </c>
      <c r="EU91" s="6" t="inlineStr">
        <is>
          <t>Don’t know or not applicable</t>
        </is>
      </c>
      <c r="EV91" s="6" t="inlineStr">
        <is>
          <t>Don’t know or not applicable</t>
        </is>
      </c>
      <c r="EW91" s="6" t="inlineStr">
        <is>
          <t>Don’t know or not applicable</t>
        </is>
      </c>
      <c r="EX91" s="6" t="n"/>
      <c r="EY91" s="6" t="inlineStr">
        <is>
          <t>Don’t know or not applicable</t>
        </is>
      </c>
      <c r="EZ91" s="6" t="inlineStr">
        <is>
          <t>Don’t know or not applicable</t>
        </is>
      </c>
      <c r="FA91" s="6" t="inlineStr">
        <is>
          <t>Don’t know or not applicable</t>
        </is>
      </c>
      <c r="FB91" s="6" t="inlineStr">
        <is>
          <t>Don’t know or not applicable</t>
        </is>
      </c>
      <c r="FC91" s="6" t="inlineStr">
        <is>
          <t>Don’t know or not applicable</t>
        </is>
      </c>
      <c r="FD91" s="6" t="inlineStr">
        <is>
          <t>Don’t know or not applicable</t>
        </is>
      </c>
      <c r="FE91" s="6" t="inlineStr">
        <is>
          <t>Don’t know or not applicable</t>
        </is>
      </c>
      <c r="FF91" s="6" t="inlineStr">
        <is>
          <t>Don’t know or not applicable</t>
        </is>
      </c>
      <c r="FG91" s="6" t="inlineStr">
        <is>
          <t>Don’t know or not applicable</t>
        </is>
      </c>
      <c r="FH91" s="6" t="inlineStr">
        <is>
          <t>Don’t know or not applicable</t>
        </is>
      </c>
      <c r="FI91" s="6" t="inlineStr">
        <is>
          <t>Don’t know or not applicable</t>
        </is>
      </c>
      <c r="FJ91" s="6" t="inlineStr">
        <is>
          <t>Don’t know or not applicable</t>
        </is>
      </c>
      <c r="FK91" s="6" t="inlineStr">
        <is>
          <t>Don’t know or not applicable</t>
        </is>
      </c>
      <c r="FL91" s="6" t="inlineStr">
        <is>
          <t>Don’t know or not applicable</t>
        </is>
      </c>
      <c r="FM91" s="6" t="inlineStr">
        <is>
          <t>Don’t know or not applicable</t>
        </is>
      </c>
      <c r="FN91" s="6" t="inlineStr">
        <is>
          <t>Don’t know or not applicable</t>
        </is>
      </c>
      <c r="FO91" s="6" t="inlineStr">
        <is>
          <t>Don’t know or not applicable</t>
        </is>
      </c>
      <c r="FP91" s="6" t="inlineStr">
        <is>
          <t>Don’t know or not applicable</t>
        </is>
      </c>
      <c r="FQ91" s="6" t="inlineStr">
        <is>
          <t>Don’t know or not applicable</t>
        </is>
      </c>
      <c r="FR91" s="6" t="inlineStr">
        <is>
          <t>Don’t know or not applicable</t>
        </is>
      </c>
      <c r="FS91" s="6" t="inlineStr">
        <is>
          <t>Don’t know or not applicable</t>
        </is>
      </c>
      <c r="FT91" s="6" t="inlineStr">
        <is>
          <t>Don’t know or not applicable</t>
        </is>
      </c>
      <c r="FU91" s="6" t="inlineStr">
        <is>
          <t>Don’t know or not applicable</t>
        </is>
      </c>
      <c r="FV91" s="6" t="n"/>
      <c r="FW91" s="6" t="inlineStr">
        <is>
          <t>The IMF should have dedicated more resources</t>
        </is>
      </c>
      <c r="FX91" s="6" t="n"/>
      <c r="FY91" s="6" t="inlineStr">
        <is>
          <t>To a great extent</t>
        </is>
      </c>
      <c r="FZ91" s="6" t="inlineStr">
        <is>
          <t>To a slight extent</t>
        </is>
      </c>
      <c r="GA91" s="6" t="inlineStr">
        <is>
          <t>To a great extent</t>
        </is>
      </c>
      <c r="GB91" s="6" t="inlineStr">
        <is>
          <t>To a moderate extent</t>
        </is>
      </c>
      <c r="GC91" s="6" t="inlineStr">
        <is>
          <t>Don’t know or not applicable</t>
        </is>
      </c>
      <c r="GD91" s="6" t="n"/>
      <c r="GE91" s="6" t="inlineStr">
        <is>
          <t>To a moderate extent</t>
        </is>
      </c>
      <c r="GF91" s="6" t="inlineStr">
        <is>
          <t>To a great extent</t>
        </is>
      </c>
      <c r="GG91" s="6" t="inlineStr">
        <is>
          <t>To a great extent</t>
        </is>
      </c>
      <c r="GH91" s="6" t="inlineStr">
        <is>
          <t>To a slight extent</t>
        </is>
      </c>
      <c r="GI91" s="6" t="inlineStr">
        <is>
          <t>To a great extent</t>
        </is>
      </c>
      <c r="GJ91" s="6" t="inlineStr">
        <is>
          <t>To a slight extent</t>
        </is>
      </c>
      <c r="GK91" s="6" t="n"/>
      <c r="GL91" s="7">
        <f>DATE(2025,6,9)+TIME(15,45,4)</f>
        <v/>
      </c>
    </row>
    <row r="92" ht="47.25" customHeight="1">
      <c r="A92" s="3" t="inlineStr">
        <is>
          <t>Felix</t>
        </is>
      </c>
      <c r="B92" s="3" t="inlineStr">
        <is>
          <t>Sato</t>
        </is>
      </c>
      <c r="C92" s="3" t="inlineStr">
        <is>
          <t>fsato@organization.org</t>
        </is>
      </c>
      <c r="D92" s="3" t="inlineStr">
        <is>
          <t>JOCS6FLTQ</t>
        </is>
      </c>
      <c r="E92" s="3" t="n"/>
      <c r="F92" s="3" t="inlineStr">
        <is>
          <t>OEDCO</t>
        </is>
      </c>
      <c r="G92" s="3" t="n"/>
      <c r="H92" s="3" t="n"/>
      <c r="I92" s="3" t="n"/>
      <c r="J92" s="3" t="n"/>
      <c r="K92" s="3" t="n"/>
      <c r="L92" s="3" t="n"/>
      <c r="M92" s="3" t="n"/>
      <c r="N92" s="3" t="n"/>
      <c r="O92" s="3" t="inlineStr">
        <is>
          <t>Jamaica</t>
        </is>
      </c>
      <c r="P92" s="3" t="n"/>
      <c r="Q92" s="3" t="n"/>
      <c r="R92" s="3" t="n"/>
      <c r="S92" s="3" t="n"/>
      <c r="T92" s="3" t="n"/>
      <c r="U92" s="3" t="n"/>
      <c r="V92" s="3" t="n"/>
      <c r="W92" s="3" t="n"/>
      <c r="X92" s="3" t="n"/>
      <c r="Y92" s="3" t="n"/>
      <c r="Z92" s="3" t="n"/>
      <c r="AA92" s="3" t="n"/>
      <c r="AB92" s="3" t="n"/>
      <c r="AC92" s="3" t="n"/>
      <c r="AD92" s="3" t="n"/>
      <c r="AE92" s="3" t="n"/>
      <c r="AF92" s="4" t="inlineStr">
        <is>
          <t>Jamaica</t>
        </is>
      </c>
      <c r="AG92" s="3" t="inlineStr">
        <is>
          <t>The IMF should engage a similar amount on climate change-related issues</t>
        </is>
      </c>
      <c r="AH92" s="3" t="inlineStr">
        <is>
          <t>To a moderate extent</t>
        </is>
      </c>
      <c r="AI92" s="3" t="inlineStr">
        <is>
          <t>To a moderate extent</t>
        </is>
      </c>
      <c r="AJ92" s="3" t="inlineStr">
        <is>
          <t>Don’t know or not applicable</t>
        </is>
      </c>
      <c r="AK92" s="3" t="inlineStr">
        <is>
          <t>To a slight extent</t>
        </is>
      </c>
      <c r="AL92" s="3" t="inlineStr">
        <is>
          <t>To a moderate extent</t>
        </is>
      </c>
      <c r="AM92" s="3" t="inlineStr">
        <is>
          <t>To a great extent</t>
        </is>
      </c>
      <c r="AN92" s="3" t="inlineStr">
        <is>
          <t>To a great extent</t>
        </is>
      </c>
      <c r="AO92" s="3" t="inlineStr">
        <is>
          <t>To a great extent</t>
        </is>
      </c>
      <c r="AP92" s="3" t="inlineStr">
        <is>
          <t>Don’t know or not applicable</t>
        </is>
      </c>
      <c r="AQ92" s="3" t="inlineStr">
        <is>
          <t>To a moderate extent</t>
        </is>
      </c>
      <c r="AR92" s="3" t="inlineStr">
        <is>
          <t>To a great extent</t>
        </is>
      </c>
      <c r="AS92" s="3" t="n"/>
      <c r="AT92" s="3" t="inlineStr">
        <is>
          <t>Don’t know or not applicable</t>
        </is>
      </c>
      <c r="AU92" s="3" t="inlineStr">
        <is>
          <t>To a moderate extent</t>
        </is>
      </c>
      <c r="AV92" s="3" t="inlineStr">
        <is>
          <t>To a slight extent</t>
        </is>
      </c>
      <c r="AW92" s="3" t="inlineStr">
        <is>
          <t>To a moderate extent</t>
        </is>
      </c>
      <c r="AX92" s="3" t="inlineStr">
        <is>
          <t>To a great extent</t>
        </is>
      </c>
      <c r="AY92" s="3" t="inlineStr">
        <is>
          <t>Don’t know or not applicable</t>
        </is>
      </c>
      <c r="AZ92" s="3" t="inlineStr">
        <is>
          <t>To a slight extent</t>
        </is>
      </c>
      <c r="BA92" s="3" t="inlineStr">
        <is>
          <t>To a slight extent</t>
        </is>
      </c>
      <c r="BB92" s="3" t="inlineStr">
        <is>
          <t>To a moderate extent</t>
        </is>
      </c>
      <c r="BC92" s="3" t="inlineStr">
        <is>
          <t>To a slight extent</t>
        </is>
      </c>
      <c r="BD92" s="3" t="inlineStr">
        <is>
          <t>Don’t know or not applicable</t>
        </is>
      </c>
      <c r="BE92" s="3" t="inlineStr">
        <is>
          <t>Don’t know or not applicable</t>
        </is>
      </c>
      <c r="BF92" s="3" t="inlineStr">
        <is>
          <t>Don’t know or not applicable</t>
        </is>
      </c>
      <c r="BG92" s="3" t="inlineStr">
        <is>
          <t>Don’t know or not applicable</t>
        </is>
      </c>
      <c r="BH92" s="3" t="inlineStr">
        <is>
          <t>Don’t know or not applicable</t>
        </is>
      </c>
      <c r="BI92" s="3" t="inlineStr">
        <is>
          <t>Don’t know or not applicable</t>
        </is>
      </c>
      <c r="BJ92" s="3" t="inlineStr">
        <is>
          <t>Don’t know or not applicable</t>
        </is>
      </c>
      <c r="BK92" s="3" t="inlineStr">
        <is>
          <t>Don’t know or not applicable</t>
        </is>
      </c>
      <c r="BL92" s="3" t="inlineStr">
        <is>
          <t>Don’t know or not applicable</t>
        </is>
      </c>
      <c r="BM92" s="3" t="inlineStr">
        <is>
          <t>Don’t know or not applicable</t>
        </is>
      </c>
      <c r="BN92" s="3" t="inlineStr">
        <is>
          <t>Don’t know or not applicable</t>
        </is>
      </c>
      <c r="BO92" s="3" t="inlineStr">
        <is>
          <t>To a moderate extent</t>
        </is>
      </c>
      <c r="BP92" s="3" t="inlineStr">
        <is>
          <t>To a moderate extent</t>
        </is>
      </c>
      <c r="BQ92" s="3" t="inlineStr">
        <is>
          <t>To a slight extent</t>
        </is>
      </c>
      <c r="BR92" s="3" t="inlineStr">
        <is>
          <t>Don’t know or not applicable</t>
        </is>
      </c>
      <c r="BS92" s="3" t="n"/>
      <c r="BT92" s="3" t="inlineStr">
        <is>
          <t>The IMF dedicated an appropriate amount of resources</t>
        </is>
      </c>
      <c r="BU92" s="3" t="inlineStr">
        <is>
          <t>To a moderate extent</t>
        </is>
      </c>
      <c r="BV92" s="3" t="inlineStr">
        <is>
          <t>To a slight extent</t>
        </is>
      </c>
      <c r="BW92" s="3" t="inlineStr">
        <is>
          <t>To a moderate extent</t>
        </is>
      </c>
      <c r="BX92" s="3" t="inlineStr">
        <is>
          <t>To a slight extent</t>
        </is>
      </c>
      <c r="BY92" s="3" t="inlineStr">
        <is>
          <t>To a slight extent</t>
        </is>
      </c>
      <c r="BZ92" s="3" t="inlineStr">
        <is>
          <t>To a slight extent</t>
        </is>
      </c>
      <c r="CA92" s="3" t="inlineStr">
        <is>
          <t>To a moderate extent</t>
        </is>
      </c>
      <c r="CB92" s="3" t="inlineStr">
        <is>
          <t>To a slight extent</t>
        </is>
      </c>
      <c r="CC92" s="3" t="inlineStr">
        <is>
          <t>To a moderate extent</t>
        </is>
      </c>
      <c r="CD92" s="3" t="inlineStr">
        <is>
          <t>To a slight extent</t>
        </is>
      </c>
      <c r="CE92" s="3" t="inlineStr">
        <is>
          <t>To a slight extent</t>
        </is>
      </c>
      <c r="CF92" s="3" t="inlineStr">
        <is>
          <t>To a slight extent</t>
        </is>
      </c>
      <c r="CG92" s="3" t="n"/>
      <c r="CH92" s="3" t="inlineStr">
        <is>
          <t>Yes</t>
        </is>
      </c>
      <c r="CI92" s="3" t="inlineStr">
        <is>
          <t>Yes</t>
        </is>
      </c>
      <c r="CJ92" s="3" t="inlineStr">
        <is>
          <t>To a moderate extent</t>
        </is>
      </c>
      <c r="CK92" s="3" t="inlineStr">
        <is>
          <t>To a great extent</t>
        </is>
      </c>
      <c r="CL92" s="3" t="inlineStr">
        <is>
          <t>To a great extent</t>
        </is>
      </c>
      <c r="CM92" s="3" t="inlineStr">
        <is>
          <t>To a slight extent</t>
        </is>
      </c>
      <c r="CN92" s="3" t="inlineStr">
        <is>
          <t>To a great extent</t>
        </is>
      </c>
      <c r="CO92" s="3" t="inlineStr">
        <is>
          <t>To a moderate extent</t>
        </is>
      </c>
      <c r="CP92" s="3" t="inlineStr">
        <is>
          <t>To a great extent</t>
        </is>
      </c>
      <c r="CQ92" s="3" t="inlineStr">
        <is>
          <t>Don’t know or not applicable</t>
        </is>
      </c>
      <c r="CR92" s="3" t="inlineStr">
        <is>
          <t>To a great extent</t>
        </is>
      </c>
      <c r="CS92" s="3" t="inlineStr">
        <is>
          <t>To a great extent</t>
        </is>
      </c>
      <c r="CT92" s="3" t="inlineStr">
        <is>
          <t>To a great extent</t>
        </is>
      </c>
      <c r="CU92" s="3" t="inlineStr">
        <is>
          <t>To a moderate extent</t>
        </is>
      </c>
      <c r="CV92" s="3" t="inlineStr">
        <is>
          <t>Not at all</t>
        </is>
      </c>
      <c r="CW92" s="3" t="inlineStr">
        <is>
          <t>To a great extent</t>
        </is>
      </c>
      <c r="CX92" s="3" t="inlineStr">
        <is>
          <t>To a great extent</t>
        </is>
      </c>
      <c r="CY92" s="3" t="inlineStr">
        <is>
          <t>Don’t know or not applicable</t>
        </is>
      </c>
      <c r="CZ92" s="3" t="inlineStr">
        <is>
          <t>To a moderate extent</t>
        </is>
      </c>
      <c r="DA92" s="3" t="inlineStr">
        <is>
          <t>To a great extent</t>
        </is>
      </c>
      <c r="DB92" s="3" t="n"/>
      <c r="DC92" s="3" t="inlineStr">
        <is>
          <t>Existing planned spending (substituting for other financing)</t>
        </is>
      </c>
      <c r="DD92" s="3" t="inlineStr">
        <is>
          <t>Refinancing existing borrowing</t>
        </is>
      </c>
      <c r="DE92" s="3" t="inlineStr">
        <is>
          <t>Building reserves</t>
        </is>
      </c>
      <c r="DF92" s="3" t="inlineStr">
        <is>
          <t>Climate change-related policies</t>
        </is>
      </c>
      <c r="DG92" s="3" t="n"/>
      <c r="DH92" s="3" t="inlineStr">
        <is>
          <t>To a moderate extent</t>
        </is>
      </c>
      <c r="DI92" s="3" t="inlineStr">
        <is>
          <t>To a moderate extent</t>
        </is>
      </c>
      <c r="DJ92" s="3" t="inlineStr">
        <is>
          <t>To a moderate extent</t>
        </is>
      </c>
      <c r="DK92" s="3" t="inlineStr">
        <is>
          <t>To a great extent</t>
        </is>
      </c>
      <c r="DL92" s="3" t="inlineStr">
        <is>
          <t>To a moderate extent</t>
        </is>
      </c>
      <c r="DM92" s="3" t="inlineStr">
        <is>
          <t>To a slight extent</t>
        </is>
      </c>
      <c r="DN92" s="3" t="inlineStr">
        <is>
          <t>To a slight extent</t>
        </is>
      </c>
      <c r="DO92" s="3" t="inlineStr">
        <is>
          <t>bilateral partners (UK, Canadian govts, EIB)</t>
        </is>
      </c>
      <c r="DP92" s="3" t="n"/>
      <c r="DQ92" s="3" t="n"/>
      <c r="DR92" s="3" t="n"/>
      <c r="DS92" s="3" t="n"/>
      <c r="DT92" s="3" t="n"/>
      <c r="DU92" s="3" t="n"/>
      <c r="DV92" s="3" t="n"/>
      <c r="DW92" s="3" t="inlineStr">
        <is>
          <t>Yes</t>
        </is>
      </c>
      <c r="DX92" s="3" t="inlineStr">
        <is>
          <t>World Bank Group</t>
        </is>
      </c>
      <c r="DY92" s="3" t="n"/>
      <c r="DZ92" s="3" t="inlineStr">
        <is>
          <t>Bilateral sources</t>
        </is>
      </c>
      <c r="EA92" s="3" t="n"/>
      <c r="EB92" s="3" t="n"/>
      <c r="EC92" s="3" t="inlineStr">
        <is>
          <t>Don’t know or not applicable</t>
        </is>
      </c>
      <c r="ED92" s="3" t="inlineStr">
        <is>
          <t>To a moderate extent</t>
        </is>
      </c>
      <c r="EE92" s="3" t="inlineStr">
        <is>
          <t>Don’t know or not applicable</t>
        </is>
      </c>
      <c r="EF92" s="3" t="inlineStr">
        <is>
          <t>To a moderate extent</t>
        </is>
      </c>
      <c r="EG92" s="3" t="inlineStr">
        <is>
          <t>To a moderate extent</t>
        </is>
      </c>
      <c r="EH92" s="3" t="inlineStr">
        <is>
          <t>Don’t know or not applicable</t>
        </is>
      </c>
      <c r="EI92" s="3" t="inlineStr">
        <is>
          <t>To a moderate extent</t>
        </is>
      </c>
      <c r="EJ92" s="3" t="inlineStr">
        <is>
          <t>To a great extent</t>
        </is>
      </c>
      <c r="EK92" s="3" t="inlineStr">
        <is>
          <t>To a slight extent</t>
        </is>
      </c>
      <c r="EL92" s="3" t="inlineStr">
        <is>
          <t>Don’t know or not applicable</t>
        </is>
      </c>
      <c r="EM92" s="3" t="inlineStr">
        <is>
          <t>To a moderate extent</t>
        </is>
      </c>
      <c r="EN92" s="3" t="inlineStr">
        <is>
          <t>Don’t know or not applicable</t>
        </is>
      </c>
      <c r="EO92" s="3" t="inlineStr">
        <is>
          <t>To a slight extent</t>
        </is>
      </c>
      <c r="EP92" s="3" t="n"/>
      <c r="EQ92" s="3" t="inlineStr">
        <is>
          <t>To a moderate extent</t>
        </is>
      </c>
      <c r="ER92" s="3" t="inlineStr">
        <is>
          <t>To a moderate extent</t>
        </is>
      </c>
      <c r="ES92" s="3" t="n"/>
      <c r="ET92" s="3" t="inlineStr">
        <is>
          <t>Don’t know or not applicable</t>
        </is>
      </c>
      <c r="EU92" s="3" t="inlineStr">
        <is>
          <t>Don’t know or not applicable</t>
        </is>
      </c>
      <c r="EV92" s="3" t="inlineStr">
        <is>
          <t>Don’t know or not applicable</t>
        </is>
      </c>
      <c r="EW92" s="3" t="inlineStr">
        <is>
          <t>Don’t know or not applicable</t>
        </is>
      </c>
      <c r="EX92" s="3" t="n"/>
      <c r="EY92" s="3" t="inlineStr">
        <is>
          <t>Don’t know or not applicable</t>
        </is>
      </c>
      <c r="EZ92" s="3" t="inlineStr">
        <is>
          <t>Don’t know or not applicable</t>
        </is>
      </c>
      <c r="FA92" s="3" t="inlineStr">
        <is>
          <t>Don’t know or not applicable</t>
        </is>
      </c>
      <c r="FB92" s="3" t="inlineStr">
        <is>
          <t>Don’t know or not applicable</t>
        </is>
      </c>
      <c r="FC92" s="3" t="inlineStr">
        <is>
          <t>Don’t know or not applicable</t>
        </is>
      </c>
      <c r="FD92" s="3" t="inlineStr">
        <is>
          <t>Don’t know or not applicable</t>
        </is>
      </c>
      <c r="FE92" s="3" t="inlineStr">
        <is>
          <t>Don’t know or not applicable</t>
        </is>
      </c>
      <c r="FF92" s="3" t="inlineStr">
        <is>
          <t>Don’t know or not applicable</t>
        </is>
      </c>
      <c r="FG92" s="3" t="inlineStr">
        <is>
          <t>Don’t know or not applicable</t>
        </is>
      </c>
      <c r="FH92" s="3" t="inlineStr">
        <is>
          <t>Don’t know or not applicable</t>
        </is>
      </c>
      <c r="FI92" s="3" t="inlineStr">
        <is>
          <t>Don’t know or not applicable</t>
        </is>
      </c>
      <c r="FJ92" s="3" t="inlineStr">
        <is>
          <t>Don’t know or not applicable</t>
        </is>
      </c>
      <c r="FK92" s="3" t="inlineStr">
        <is>
          <t>Don’t know or not applicable</t>
        </is>
      </c>
      <c r="FL92" s="3" t="inlineStr">
        <is>
          <t>Don’t know or not applicable</t>
        </is>
      </c>
      <c r="FM92" s="3" t="inlineStr">
        <is>
          <t>Don’t know or not applicable</t>
        </is>
      </c>
      <c r="FN92" s="3" t="inlineStr">
        <is>
          <t>Don’t know or not applicable</t>
        </is>
      </c>
      <c r="FO92" s="3" t="inlineStr">
        <is>
          <t>Don’t know or not applicable</t>
        </is>
      </c>
      <c r="FP92" s="3" t="inlineStr">
        <is>
          <t>Don’t know or not applicable</t>
        </is>
      </c>
      <c r="FQ92" s="3" t="inlineStr">
        <is>
          <t>Don’t know or not applicable</t>
        </is>
      </c>
      <c r="FR92" s="3" t="inlineStr">
        <is>
          <t>Don’t know or not applicable</t>
        </is>
      </c>
      <c r="FS92" s="3" t="inlineStr">
        <is>
          <t>Don’t know or not applicable</t>
        </is>
      </c>
      <c r="FT92" s="3" t="inlineStr">
        <is>
          <t>Don’t know or not applicable</t>
        </is>
      </c>
      <c r="FU92" s="3" t="inlineStr">
        <is>
          <t>Don’t know or not applicable</t>
        </is>
      </c>
      <c r="FV92" s="3" t="n"/>
      <c r="FW92" s="3" t="inlineStr">
        <is>
          <t>The IMF dedicated the appropriate amount of resources</t>
        </is>
      </c>
      <c r="FX92" s="3" t="n"/>
      <c r="FY92" s="3" t="inlineStr">
        <is>
          <t>To a great extent</t>
        </is>
      </c>
      <c r="FZ92" s="3" t="inlineStr">
        <is>
          <t>To a great extent</t>
        </is>
      </c>
      <c r="GA92" s="3" t="inlineStr">
        <is>
          <t>To a moderate extent</t>
        </is>
      </c>
      <c r="GB92" s="3" t="inlineStr">
        <is>
          <t>To a moderate extent</t>
        </is>
      </c>
      <c r="GC92" s="3" t="n"/>
      <c r="GD92" s="3" t="n"/>
      <c r="GE92" s="3" t="inlineStr">
        <is>
          <t>Don’t know or not applicable</t>
        </is>
      </c>
      <c r="GF92" s="3" t="inlineStr">
        <is>
          <t>To a moderate extent</t>
        </is>
      </c>
      <c r="GG92" s="3" t="inlineStr">
        <is>
          <t>To a moderate extent</t>
        </is>
      </c>
      <c r="GH92" s="3" t="inlineStr">
        <is>
          <t>To a moderate extent</t>
        </is>
      </c>
      <c r="GI92" s="3" t="inlineStr">
        <is>
          <t>To a moderate extent</t>
        </is>
      </c>
      <c r="GJ92" s="3" t="inlineStr">
        <is>
          <t>To a great extent</t>
        </is>
      </c>
      <c r="GK92" s="3" t="n"/>
      <c r="GL92" s="5">
        <f>DATE(2025,5,23)+TIME(12,17,17)</f>
        <v/>
      </c>
    </row>
    <row r="93" ht="47.25" customHeight="1">
      <c r="A93" s="6" t="inlineStr">
        <is>
          <t>Raj</t>
        </is>
      </c>
      <c r="B93" s="6" t="inlineStr">
        <is>
          <t>Sharma</t>
        </is>
      </c>
      <c r="C93" s="6" t="inlineStr">
        <is>
          <t>rsharma@organization.org</t>
        </is>
      </c>
      <c r="D93" s="6" t="inlineStr">
        <is>
          <t>8KYDOLXRR</t>
        </is>
      </c>
      <c r="E93" s="6" t="n"/>
      <c r="F93" s="6" t="inlineStr">
        <is>
          <t>OEDAC</t>
        </is>
      </c>
      <c r="G93" s="6" t="inlineStr">
        <is>
          <t>Kenya</t>
        </is>
      </c>
      <c r="H93" s="6" t="n"/>
      <c r="I93" s="6" t="n"/>
      <c r="J93" s="6" t="n"/>
      <c r="K93" s="6" t="n"/>
      <c r="L93" s="6" t="n"/>
      <c r="M93" s="6" t="n"/>
      <c r="N93" s="6" t="n"/>
      <c r="O93" s="6" t="n"/>
      <c r="P93" s="6" t="n"/>
      <c r="Q93" s="6" t="n"/>
      <c r="R93" s="6" t="n"/>
      <c r="S93" s="6" t="n"/>
      <c r="T93" s="6" t="n"/>
      <c r="U93" s="6" t="n"/>
      <c r="V93" s="6" t="n"/>
      <c r="W93" s="6" t="n"/>
      <c r="X93" s="6" t="n"/>
      <c r="Y93" s="6" t="n"/>
      <c r="Z93" s="6" t="n"/>
      <c r="AA93" s="6" t="n"/>
      <c r="AB93" s="6" t="n"/>
      <c r="AC93" s="6" t="n"/>
      <c r="AD93" s="6" t="n"/>
      <c r="AE93" s="6" t="n"/>
      <c r="AF93" s="4" t="inlineStr">
        <is>
          <t>Kenya</t>
        </is>
      </c>
      <c r="AG93" s="6" t="inlineStr">
        <is>
          <t>The IMF should engage less on climate change-related issues</t>
        </is>
      </c>
      <c r="AH93" s="6" t="inlineStr">
        <is>
          <t>To a slight extent</t>
        </is>
      </c>
      <c r="AI93" s="6" t="inlineStr">
        <is>
          <t>Not at all</t>
        </is>
      </c>
      <c r="AJ93" s="6" t="inlineStr">
        <is>
          <t>To a slight extent</t>
        </is>
      </c>
      <c r="AK93" s="6" t="inlineStr">
        <is>
          <t>To a slight extent</t>
        </is>
      </c>
      <c r="AL93" s="6" t="inlineStr">
        <is>
          <t>To a moderate extent</t>
        </is>
      </c>
      <c r="AM93" s="6" t="inlineStr">
        <is>
          <t>To a moderate extent</t>
        </is>
      </c>
      <c r="AN93" s="6" t="inlineStr">
        <is>
          <t>To a moderate extent</t>
        </is>
      </c>
      <c r="AO93" s="6" t="inlineStr">
        <is>
          <t>To a moderate extent</t>
        </is>
      </c>
      <c r="AP93" s="6" t="inlineStr">
        <is>
          <t>To a great extent</t>
        </is>
      </c>
      <c r="AQ93" s="6" t="inlineStr">
        <is>
          <t>To a great extent</t>
        </is>
      </c>
      <c r="AR93" s="6" t="inlineStr">
        <is>
          <t>To a great extent</t>
        </is>
      </c>
      <c r="AS93" s="6" t="n"/>
      <c r="AT93" s="6" t="inlineStr">
        <is>
          <t>To a moderate extent</t>
        </is>
      </c>
      <c r="AU93" s="6" t="inlineStr">
        <is>
          <t>To a slight extent</t>
        </is>
      </c>
      <c r="AV93" s="6" t="inlineStr">
        <is>
          <t>Not at all</t>
        </is>
      </c>
      <c r="AW93" s="6" t="inlineStr">
        <is>
          <t>To a slight extent</t>
        </is>
      </c>
      <c r="AX93" s="6" t="inlineStr">
        <is>
          <t>To a slight extent</t>
        </is>
      </c>
      <c r="AY93" s="6" t="inlineStr">
        <is>
          <t>Don’t know or not applicable</t>
        </is>
      </c>
      <c r="AZ93" s="6" t="inlineStr">
        <is>
          <t>To a slight extent</t>
        </is>
      </c>
      <c r="BA93" s="6" t="inlineStr">
        <is>
          <t>Not at all</t>
        </is>
      </c>
      <c r="BB93" s="6" t="inlineStr">
        <is>
          <t>To a slight extent</t>
        </is>
      </c>
      <c r="BC93" s="6" t="inlineStr">
        <is>
          <t>To a slight extent</t>
        </is>
      </c>
      <c r="BD93" s="6" t="inlineStr">
        <is>
          <t>Don’t know or not applicable</t>
        </is>
      </c>
      <c r="BE93" s="6" t="inlineStr">
        <is>
          <t>To a slight extent</t>
        </is>
      </c>
      <c r="BF93" s="6" t="inlineStr">
        <is>
          <t>Don’t know or not applicable</t>
        </is>
      </c>
      <c r="BG93" s="6" t="inlineStr">
        <is>
          <t>To a slight extent</t>
        </is>
      </c>
      <c r="BH93" s="6" t="inlineStr">
        <is>
          <t>To a slight extent</t>
        </is>
      </c>
      <c r="BI93" s="6" t="inlineStr">
        <is>
          <t>Don’t know or not applicable</t>
        </is>
      </c>
      <c r="BJ93" s="6" t="inlineStr">
        <is>
          <t>To a slight extent</t>
        </is>
      </c>
      <c r="BK93" s="6" t="inlineStr">
        <is>
          <t>To a slight extent</t>
        </is>
      </c>
      <c r="BL93" s="6" t="inlineStr">
        <is>
          <t>To a slight extent</t>
        </is>
      </c>
      <c r="BM93" s="6" t="inlineStr">
        <is>
          <t>To a moderate extent</t>
        </is>
      </c>
      <c r="BN93" s="6" t="inlineStr">
        <is>
          <t>Don’t know or not applicable</t>
        </is>
      </c>
      <c r="BO93" s="6" t="inlineStr">
        <is>
          <t>To a great extent</t>
        </is>
      </c>
      <c r="BP93" s="6" t="inlineStr">
        <is>
          <t>To a slight extent</t>
        </is>
      </c>
      <c r="BQ93" s="6" t="inlineStr">
        <is>
          <t>To a slight extent</t>
        </is>
      </c>
      <c r="BR93" s="6" t="inlineStr">
        <is>
          <t>Don’t know or not applicable</t>
        </is>
      </c>
      <c r="BS93" s="6" t="n"/>
      <c r="BT93" s="6" t="inlineStr">
        <is>
          <t>The IMF should have dedicated more resources</t>
        </is>
      </c>
      <c r="BU93" s="6" t="inlineStr">
        <is>
          <t>To a moderate extent</t>
        </is>
      </c>
      <c r="BV93" s="6" t="inlineStr">
        <is>
          <t>To a moderate extent</t>
        </is>
      </c>
      <c r="BW93" s="6" t="inlineStr">
        <is>
          <t>To a moderate extent</t>
        </is>
      </c>
      <c r="BX93" s="6" t="inlineStr">
        <is>
          <t>To a slight extent</t>
        </is>
      </c>
      <c r="BY93" s="6" t="inlineStr">
        <is>
          <t>To a slight extent</t>
        </is>
      </c>
      <c r="BZ93" s="6" t="inlineStr">
        <is>
          <t>To a slight extent</t>
        </is>
      </c>
      <c r="CA93" s="6" t="inlineStr">
        <is>
          <t>To a slight extent</t>
        </is>
      </c>
      <c r="CB93" s="6" t="inlineStr">
        <is>
          <t>To a slight extent</t>
        </is>
      </c>
      <c r="CC93" s="6" t="inlineStr">
        <is>
          <t>To a slight extent</t>
        </is>
      </c>
      <c r="CD93" s="6" t="inlineStr">
        <is>
          <t>To a great extent</t>
        </is>
      </c>
      <c r="CE93" s="6" t="inlineStr">
        <is>
          <t>To a great extent</t>
        </is>
      </c>
      <c r="CF93" s="6" t="inlineStr">
        <is>
          <t>To a great extent</t>
        </is>
      </c>
      <c r="CG93" s="6" t="n"/>
      <c r="CH93" s="6" t="inlineStr">
        <is>
          <t>Yes</t>
        </is>
      </c>
      <c r="CI93" s="6" t="inlineStr">
        <is>
          <t>Yes</t>
        </is>
      </c>
      <c r="CJ93" s="6" t="inlineStr">
        <is>
          <t>To a slight extent</t>
        </is>
      </c>
      <c r="CK93" s="6" t="inlineStr">
        <is>
          <t>To a moderate extent</t>
        </is>
      </c>
      <c r="CL93" s="6" t="inlineStr">
        <is>
          <t>To a slight extent</t>
        </is>
      </c>
      <c r="CM93" s="6" t="inlineStr">
        <is>
          <t>To a slight extent</t>
        </is>
      </c>
      <c r="CN93" s="6" t="inlineStr">
        <is>
          <t>To a moderate extent</t>
        </is>
      </c>
      <c r="CO93" s="6" t="inlineStr">
        <is>
          <t>To a moderate extent</t>
        </is>
      </c>
      <c r="CP93" s="6" t="inlineStr">
        <is>
          <t>To a great extent</t>
        </is>
      </c>
      <c r="CQ93" s="6" t="inlineStr">
        <is>
          <t>To a moderate extent</t>
        </is>
      </c>
      <c r="CR93" s="6" t="inlineStr">
        <is>
          <t>Not at all</t>
        </is>
      </c>
      <c r="CS93" s="6" t="inlineStr">
        <is>
          <t>To a slight extent</t>
        </is>
      </c>
      <c r="CT93" s="6" t="inlineStr">
        <is>
          <t>To a moderate extent</t>
        </is>
      </c>
      <c r="CU93" s="6" t="inlineStr">
        <is>
          <t>To a great extent</t>
        </is>
      </c>
      <c r="CV93" s="6" t="inlineStr">
        <is>
          <t>To a great extent</t>
        </is>
      </c>
      <c r="CW93" s="6" t="inlineStr">
        <is>
          <t>To a slight extent</t>
        </is>
      </c>
      <c r="CX93" s="6" t="inlineStr">
        <is>
          <t>To a slight extent</t>
        </is>
      </c>
      <c r="CY93" s="6" t="inlineStr">
        <is>
          <t>To a moderate extent</t>
        </is>
      </c>
      <c r="CZ93" s="6" t="inlineStr">
        <is>
          <t>To a moderate extent</t>
        </is>
      </c>
      <c r="DA93" s="6" t="inlineStr">
        <is>
          <t>To a great extent</t>
        </is>
      </c>
      <c r="DB93" s="6" t="inlineStr">
        <is>
          <t>Additional new spending</t>
        </is>
      </c>
      <c r="DC93" s="6" t="n"/>
      <c r="DD93" s="6" t="n"/>
      <c r="DE93" s="6" t="inlineStr">
        <is>
          <t>Building reserves</t>
        </is>
      </c>
      <c r="DF93" s="6" t="inlineStr">
        <is>
          <t>Climate change-related policies</t>
        </is>
      </c>
      <c r="DG93" s="6" t="n"/>
      <c r="DH93" s="6" t="inlineStr">
        <is>
          <t>Not at all</t>
        </is>
      </c>
      <c r="DI93" s="6" t="inlineStr">
        <is>
          <t>Not at all</t>
        </is>
      </c>
      <c r="DJ93" s="6" t="inlineStr">
        <is>
          <t>Not at all</t>
        </is>
      </c>
      <c r="DK93" s="6" t="inlineStr">
        <is>
          <t>To a great extent</t>
        </is>
      </c>
      <c r="DL93" s="6" t="inlineStr">
        <is>
          <t>Don’t know or not applicable</t>
        </is>
      </c>
      <c r="DM93" s="6" t="inlineStr">
        <is>
          <t>Don’t know or not applicable</t>
        </is>
      </c>
      <c r="DN93" s="6" t="inlineStr">
        <is>
          <t>Don’t know or not applicable</t>
        </is>
      </c>
      <c r="DO93" s="6" t="n"/>
      <c r="DP93" s="6" t="n"/>
      <c r="DQ93" s="6" t="n"/>
      <c r="DR93" s="6" t="n"/>
      <c r="DS93" s="6" t="n"/>
      <c r="DT93" s="6" t="n"/>
      <c r="DU93" s="6" t="n"/>
      <c r="DV93" s="6" t="n"/>
      <c r="DW93" s="6" t="inlineStr">
        <is>
          <t>Yes</t>
        </is>
      </c>
      <c r="DX93" s="6" t="inlineStr">
        <is>
          <t>World Bank Group</t>
        </is>
      </c>
      <c r="DY93" s="6" t="inlineStr">
        <is>
          <t>Regional development banks</t>
        </is>
      </c>
      <c r="DZ93" s="6" t="inlineStr">
        <is>
          <t>Bilateral sources</t>
        </is>
      </c>
      <c r="EA93" s="6" t="inlineStr">
        <is>
          <t>Private sources</t>
        </is>
      </c>
      <c r="EB93" s="6" t="n"/>
      <c r="EC93" s="6" t="inlineStr">
        <is>
          <t>To a great extent</t>
        </is>
      </c>
      <c r="ED93" s="6" t="inlineStr">
        <is>
          <t>To a moderate extent</t>
        </is>
      </c>
      <c r="EE93" s="6" t="inlineStr">
        <is>
          <t>Not at all</t>
        </is>
      </c>
      <c r="EF93" s="6" t="inlineStr">
        <is>
          <t>Not at all</t>
        </is>
      </c>
      <c r="EG93" s="6" t="inlineStr">
        <is>
          <t>To a slight extent</t>
        </is>
      </c>
      <c r="EH93" s="6" t="inlineStr">
        <is>
          <t>To a moderate extent</t>
        </is>
      </c>
      <c r="EI93" s="6" t="inlineStr">
        <is>
          <t>To a great extent</t>
        </is>
      </c>
      <c r="EJ93" s="6" t="inlineStr">
        <is>
          <t>To a great extent</t>
        </is>
      </c>
      <c r="EK93" s="6" t="inlineStr">
        <is>
          <t>To a great extent</t>
        </is>
      </c>
      <c r="EL93" s="6" t="inlineStr">
        <is>
          <t>To a great extent</t>
        </is>
      </c>
      <c r="EM93" s="6" t="inlineStr">
        <is>
          <t>To a slight extent</t>
        </is>
      </c>
      <c r="EN93" s="6" t="inlineStr">
        <is>
          <t>To a slight extent</t>
        </is>
      </c>
      <c r="EO93" s="6" t="inlineStr">
        <is>
          <t>To a great extent</t>
        </is>
      </c>
      <c r="EP93" s="6" t="n"/>
      <c r="EQ93" s="6" t="inlineStr">
        <is>
          <t>To a moderate extent</t>
        </is>
      </c>
      <c r="ER93" s="6" t="inlineStr">
        <is>
          <t>To a slight extent</t>
        </is>
      </c>
      <c r="ES93" s="6" t="n"/>
      <c r="ET93" s="6" t="inlineStr">
        <is>
          <t>To a slight extent</t>
        </is>
      </c>
      <c r="EU93" s="6" t="inlineStr">
        <is>
          <t>Don’t know or not applicable</t>
        </is>
      </c>
      <c r="EV93" s="6" t="inlineStr">
        <is>
          <t>Don’t know or not applicable</t>
        </is>
      </c>
      <c r="EW93" s="6" t="inlineStr">
        <is>
          <t>Don’t know or not applicable</t>
        </is>
      </c>
      <c r="EX93" s="6" t="n"/>
      <c r="EY93" s="6" t="inlineStr">
        <is>
          <t>Don’t know or not applicable</t>
        </is>
      </c>
      <c r="EZ93" s="6" t="inlineStr">
        <is>
          <t>To a slight extent</t>
        </is>
      </c>
      <c r="FA93" s="6" t="inlineStr">
        <is>
          <t>To a slight extent</t>
        </is>
      </c>
      <c r="FB93" s="6" t="inlineStr">
        <is>
          <t>To a slight extent</t>
        </is>
      </c>
      <c r="FC93" s="6" t="inlineStr">
        <is>
          <t>Don’t know or not applicable</t>
        </is>
      </c>
      <c r="FD93" s="6" t="inlineStr">
        <is>
          <t>Not at all</t>
        </is>
      </c>
      <c r="FE93" s="6" t="inlineStr">
        <is>
          <t>Don’t know or not applicable</t>
        </is>
      </c>
      <c r="FF93" s="6" t="inlineStr">
        <is>
          <t>Don’t know or not applicable</t>
        </is>
      </c>
      <c r="FG93" s="6" t="inlineStr">
        <is>
          <t>Don’t know or not applicable</t>
        </is>
      </c>
      <c r="FH93" s="6" t="inlineStr">
        <is>
          <t>To a slight extent</t>
        </is>
      </c>
      <c r="FI93" s="6" t="inlineStr">
        <is>
          <t>To a slight extent</t>
        </is>
      </c>
      <c r="FJ93" s="6" t="inlineStr">
        <is>
          <t>Don’t know or not applicable</t>
        </is>
      </c>
      <c r="FK93" s="6" t="inlineStr">
        <is>
          <t>To a slight extent</t>
        </is>
      </c>
      <c r="FL93" s="6" t="inlineStr">
        <is>
          <t>To a slight extent</t>
        </is>
      </c>
      <c r="FM93" s="6" t="inlineStr">
        <is>
          <t>Don’t know or not applicable</t>
        </is>
      </c>
      <c r="FN93" s="6" t="inlineStr">
        <is>
          <t>Don’t know or not applicable</t>
        </is>
      </c>
      <c r="FO93" s="6" t="inlineStr">
        <is>
          <t>Don’t know or not applicable</t>
        </is>
      </c>
      <c r="FP93" s="6" t="inlineStr">
        <is>
          <t>Don’t know or not applicable</t>
        </is>
      </c>
      <c r="FQ93" s="6" t="inlineStr">
        <is>
          <t>Don’t know or not applicable</t>
        </is>
      </c>
      <c r="FR93" s="6" t="inlineStr">
        <is>
          <t>To a great extent</t>
        </is>
      </c>
      <c r="FS93" s="6" t="inlineStr">
        <is>
          <t>Don’t know or not applicable</t>
        </is>
      </c>
      <c r="FT93" s="6" t="inlineStr">
        <is>
          <t>To a moderate extent</t>
        </is>
      </c>
      <c r="FU93" s="6" t="inlineStr">
        <is>
          <t>Don’t know or not applicable</t>
        </is>
      </c>
      <c r="FV93" s="6" t="n"/>
      <c r="FW93" s="6" t="inlineStr">
        <is>
          <t>The IMF should have dedicated more resources</t>
        </is>
      </c>
      <c r="FX93" s="6" t="n"/>
      <c r="FY93" s="6" t="inlineStr">
        <is>
          <t>To a slight extent</t>
        </is>
      </c>
      <c r="FZ93" s="6" t="inlineStr">
        <is>
          <t>To a slight extent</t>
        </is>
      </c>
      <c r="GA93" s="6" t="inlineStr">
        <is>
          <t>To a great extent</t>
        </is>
      </c>
      <c r="GB93" s="6" t="inlineStr">
        <is>
          <t>To a slight extent</t>
        </is>
      </c>
      <c r="GC93" s="6" t="inlineStr">
        <is>
          <t>Don’t know or not applicable</t>
        </is>
      </c>
      <c r="GD93" s="6" t="n"/>
      <c r="GE93" s="6" t="inlineStr">
        <is>
          <t>To a great extent</t>
        </is>
      </c>
      <c r="GF93" s="6" t="inlineStr">
        <is>
          <t>To a slight extent</t>
        </is>
      </c>
      <c r="GG93" s="6" t="inlineStr">
        <is>
          <t>To a great extent</t>
        </is>
      </c>
      <c r="GH93" s="6" t="inlineStr">
        <is>
          <t>Not at all</t>
        </is>
      </c>
      <c r="GI93" s="6" t="inlineStr">
        <is>
          <t>To a great extent</t>
        </is>
      </c>
      <c r="GJ93" s="6" t="inlineStr">
        <is>
          <t>To a great extent</t>
        </is>
      </c>
      <c r="GK93" s="6" t="n"/>
      <c r="GL93" s="7">
        <f>DATE(2025,6,6)+TIME(9,46,7)</f>
        <v/>
      </c>
    </row>
    <row r="94" ht="315" customHeight="1">
      <c r="A94" s="3" t="inlineStr">
        <is>
          <t>Carlos</t>
        </is>
      </c>
      <c r="B94" s="3" t="inlineStr">
        <is>
          <t>Hassan</t>
        </is>
      </c>
      <c r="C94" s="3" t="inlineStr">
        <is>
          <t>chassan@organization.org</t>
        </is>
      </c>
      <c r="D94" s="3" t="inlineStr">
        <is>
          <t>ITYIV9R9N</t>
        </is>
      </c>
      <c r="E94" s="3" t="n"/>
      <c r="F94" s="3" t="inlineStr">
        <is>
          <t>OEDST</t>
        </is>
      </c>
      <c r="G94" s="3" t="n"/>
      <c r="H94" s="3" t="n"/>
      <c r="I94" s="3" t="n"/>
      <c r="J94" s="3" t="n"/>
      <c r="K94" s="3" t="n"/>
      <c r="L94" s="3" t="n"/>
      <c r="M94" s="3" t="n"/>
      <c r="N94" s="3" t="n"/>
      <c r="O94" s="3" t="n"/>
      <c r="P94" s="3" t="n"/>
      <c r="Q94" s="3" t="n"/>
      <c r="R94" s="3" t="n"/>
      <c r="S94" s="3" t="n"/>
      <c r="T94" s="3" t="n"/>
      <c r="U94" s="3" t="n"/>
      <c r="V94" s="3" t="n"/>
      <c r="W94" s="3" t="n"/>
      <c r="X94" s="3" t="n"/>
      <c r="Y94" s="3" t="n"/>
      <c r="Z94" s="3" t="n"/>
      <c r="AA94" s="3" t="n"/>
      <c r="AB94" s="3" t="inlineStr">
        <is>
          <t>Brunei Darussalam</t>
        </is>
      </c>
      <c r="AC94" s="3" t="n"/>
      <c r="AD94" s="3" t="n"/>
      <c r="AE94" s="3" t="n"/>
      <c r="AF94" s="4" t="inlineStr">
        <is>
          <t>Brunei Darussalam</t>
        </is>
      </c>
      <c r="AG94" s="3" t="inlineStr">
        <is>
          <t>The IMF should engage less on climate change-related issues</t>
        </is>
      </c>
      <c r="AH94" s="3" t="inlineStr">
        <is>
          <t>To a slight extent</t>
        </is>
      </c>
      <c r="AI94" s="3" t="inlineStr">
        <is>
          <t>Not at all</t>
        </is>
      </c>
      <c r="AJ94" s="3" t="inlineStr">
        <is>
          <t>Not at all</t>
        </is>
      </c>
      <c r="AK94" s="3" t="inlineStr">
        <is>
          <t>To a slight extent</t>
        </is>
      </c>
      <c r="AL94" s="3" t="inlineStr">
        <is>
          <t>Don’t know or not applicable</t>
        </is>
      </c>
      <c r="AM94" s="3" t="inlineStr">
        <is>
          <t>Don’t know or not applicable</t>
        </is>
      </c>
      <c r="AN94" s="3" t="inlineStr">
        <is>
          <t>To a slight extent</t>
        </is>
      </c>
      <c r="AO94" s="3" t="inlineStr">
        <is>
          <t>To a slight extent</t>
        </is>
      </c>
      <c r="AP94" s="3" t="inlineStr">
        <is>
          <t>Don’t know or not applicable</t>
        </is>
      </c>
      <c r="AQ94" s="3" t="inlineStr">
        <is>
          <t>Don’t know or not applicable</t>
        </is>
      </c>
      <c r="AR94" s="3" t="inlineStr">
        <is>
          <t>Don’t know or not applicable</t>
        </is>
      </c>
      <c r="AS94" s="3" t="n"/>
      <c r="AT94" s="3" t="inlineStr">
        <is>
          <t>To a slight extent</t>
        </is>
      </c>
      <c r="AU94" s="3" t="inlineStr">
        <is>
          <t>To a slight extent</t>
        </is>
      </c>
      <c r="AV94" s="3" t="inlineStr">
        <is>
          <t>Don’t know or not applicable</t>
        </is>
      </c>
      <c r="AW94" s="3" t="inlineStr">
        <is>
          <t>To a slight extent</t>
        </is>
      </c>
      <c r="AX94" s="3" t="inlineStr">
        <is>
          <t>Don’t know or not applicable</t>
        </is>
      </c>
      <c r="AY94" s="3" t="inlineStr">
        <is>
          <t>Don’t know or not applicable</t>
        </is>
      </c>
      <c r="AZ94" s="3" t="inlineStr">
        <is>
          <t>Not at all</t>
        </is>
      </c>
      <c r="BA94" s="3" t="inlineStr">
        <is>
          <t>Not at all</t>
        </is>
      </c>
      <c r="BB94" s="3" t="inlineStr">
        <is>
          <t>Not at all</t>
        </is>
      </c>
      <c r="BC94" s="3" t="inlineStr">
        <is>
          <t>Not at all</t>
        </is>
      </c>
      <c r="BD94" s="3" t="inlineStr">
        <is>
          <t>Not at all</t>
        </is>
      </c>
      <c r="BE94" s="3" t="inlineStr">
        <is>
          <t>Don’t know or not applicable</t>
        </is>
      </c>
      <c r="BF94" s="3" t="inlineStr">
        <is>
          <t>Don’t know or not applicable</t>
        </is>
      </c>
      <c r="BG94" s="3" t="inlineStr">
        <is>
          <t>Don’t know or not applicable</t>
        </is>
      </c>
      <c r="BH94" s="3" t="inlineStr">
        <is>
          <t>Don’t know or not applicable</t>
        </is>
      </c>
      <c r="BI94" s="3" t="inlineStr">
        <is>
          <t>Don’t know or not applicable</t>
        </is>
      </c>
      <c r="BJ94" s="3" t="inlineStr">
        <is>
          <t>Not at all</t>
        </is>
      </c>
      <c r="BK94" s="3" t="inlineStr">
        <is>
          <t>Not at all</t>
        </is>
      </c>
      <c r="BL94" s="3" t="inlineStr">
        <is>
          <t>Don’t know or not applicable</t>
        </is>
      </c>
      <c r="BM94" s="3" t="inlineStr">
        <is>
          <t>Not at all</t>
        </is>
      </c>
      <c r="BN94" s="3" t="inlineStr">
        <is>
          <t>Not at all</t>
        </is>
      </c>
      <c r="BO94" s="3" t="inlineStr">
        <is>
          <t>To a slight extent</t>
        </is>
      </c>
      <c r="BP94" s="3" t="inlineStr">
        <is>
          <t>To a slight extent</t>
        </is>
      </c>
      <c r="BQ94" s="3" t="inlineStr">
        <is>
          <t>To a great extent</t>
        </is>
      </c>
      <c r="BR94" s="3" t="inlineStr">
        <is>
          <t>Don’t know or not applicable</t>
        </is>
      </c>
      <c r="BS94" s="3" t="n"/>
      <c r="BT94" s="3" t="inlineStr">
        <is>
          <t>The IMF dedicated an appropriate amount of resources</t>
        </is>
      </c>
      <c r="BU94" s="3" t="inlineStr">
        <is>
          <t>To a moderate extent</t>
        </is>
      </c>
      <c r="BV94" s="3" t="inlineStr">
        <is>
          <t>To a slight extent</t>
        </is>
      </c>
      <c r="BW94" s="3" t="inlineStr">
        <is>
          <t>To a moderate extent</t>
        </is>
      </c>
      <c r="BX94" s="3" t="inlineStr">
        <is>
          <t>To a moderate extent</t>
        </is>
      </c>
      <c r="BY94" s="3" t="inlineStr">
        <is>
          <t>To a slight extent</t>
        </is>
      </c>
      <c r="BZ94" s="3" t="inlineStr">
        <is>
          <t>To a moderate extent</t>
        </is>
      </c>
      <c r="CA94" s="3" t="inlineStr">
        <is>
          <t>To a moderate extent</t>
        </is>
      </c>
      <c r="CB94" s="3" t="inlineStr">
        <is>
          <t>To a slight extent</t>
        </is>
      </c>
      <c r="CC94" s="3" t="inlineStr">
        <is>
          <t>To a moderate extent</t>
        </is>
      </c>
      <c r="CD94" s="3" t="inlineStr">
        <is>
          <t>To a moderate extent</t>
        </is>
      </c>
      <c r="CE94" s="3" t="inlineStr">
        <is>
          <t>To a slight extent</t>
        </is>
      </c>
      <c r="CF94" s="3" t="inlineStr">
        <is>
          <t>To a moderate extent</t>
        </is>
      </c>
      <c r="CG94" s="3" t="n"/>
      <c r="CH94" s="3" t="inlineStr">
        <is>
          <t>No</t>
        </is>
      </c>
      <c r="CI94" s="3" t="inlineStr">
        <is>
          <t>No</t>
        </is>
      </c>
      <c r="CJ94" s="3" t="n"/>
      <c r="CK94" s="3" t="n"/>
      <c r="CL94" s="3" t="n"/>
      <c r="CM94" s="3" t="n"/>
      <c r="CN94" s="3" t="n"/>
      <c r="CO94" s="3" t="n"/>
      <c r="CP94" s="3" t="n"/>
      <c r="CQ94" s="3" t="n"/>
      <c r="CR94" s="3" t="n"/>
      <c r="CS94" s="3" t="n"/>
      <c r="CT94" s="3" t="n"/>
      <c r="CU94" s="3" t="n"/>
      <c r="CV94" s="3" t="n"/>
      <c r="CW94" s="3" t="n"/>
      <c r="CX94" s="3" t="n"/>
      <c r="CY94" s="3" t="n"/>
      <c r="CZ94" s="3" t="n"/>
      <c r="DA94" s="3" t="n"/>
      <c r="DB94" s="3" t="n"/>
      <c r="DC94" s="3" t="n"/>
      <c r="DD94" s="3" t="n"/>
      <c r="DE94" s="3" t="n"/>
      <c r="DF94" s="3" t="n"/>
      <c r="DG94" s="3" t="n"/>
      <c r="DH94" s="3" t="n"/>
      <c r="DI94" s="3" t="n"/>
      <c r="DJ94" s="3" t="n"/>
      <c r="DK94" s="3" t="n"/>
      <c r="DL94" s="3" t="n"/>
      <c r="DM94" s="3" t="n"/>
      <c r="DN94" s="3" t="n"/>
      <c r="DO94" s="3" t="n"/>
      <c r="DP94" s="3" t="inlineStr">
        <is>
          <t>My country is not eligible for an RSF arrangement</t>
        </is>
      </c>
      <c r="DQ94" s="3" t="n"/>
      <c r="DR94" s="3" t="n"/>
      <c r="DS94" s="3" t="n"/>
      <c r="DT94" s="3" t="n"/>
      <c r="DU94" s="3" t="n"/>
      <c r="DV94" s="3" t="n"/>
      <c r="DW94" s="3" t="inlineStr">
        <is>
          <t>No</t>
        </is>
      </c>
      <c r="DX94" s="3" t="n"/>
      <c r="DY94" s="3" t="n"/>
      <c r="DZ94" s="3" t="n"/>
      <c r="EA94" s="3" t="n"/>
      <c r="EB94" s="3" t="n"/>
      <c r="EC94" s="3" t="n"/>
      <c r="ED94" s="3" t="n"/>
      <c r="EE94" s="3" t="n"/>
      <c r="EF94" s="3" t="inlineStr">
        <is>
          <t>Don’t know or not applicable</t>
        </is>
      </c>
      <c r="EG94" s="3" t="inlineStr">
        <is>
          <t>Don’t know or not applicable</t>
        </is>
      </c>
      <c r="EH94" s="3" t="inlineStr">
        <is>
          <t>Don’t know or not applicable</t>
        </is>
      </c>
      <c r="EI94" s="3" t="inlineStr">
        <is>
          <t>Don’t know or not applicable</t>
        </is>
      </c>
      <c r="EJ94" s="3" t="inlineStr">
        <is>
          <t>Don’t know or not applicable</t>
        </is>
      </c>
      <c r="EK94" s="3" t="inlineStr">
        <is>
          <t>Don’t know or not applicable</t>
        </is>
      </c>
      <c r="EL94" s="3" t="inlineStr">
        <is>
          <t>Don’t know or not applicable</t>
        </is>
      </c>
      <c r="EM94" s="3" t="n"/>
      <c r="EN94" s="3" t="n"/>
      <c r="EO94" s="3" t="n"/>
      <c r="EP94" s="3" t="n"/>
      <c r="EQ94" s="3" t="inlineStr">
        <is>
          <t>To a slight extent</t>
        </is>
      </c>
      <c r="ER94" s="3" t="inlineStr">
        <is>
          <t>To a slight extent</t>
        </is>
      </c>
      <c r="ES94" s="3" t="n"/>
      <c r="ET94" s="3" t="inlineStr">
        <is>
          <t>To a great extent</t>
        </is>
      </c>
      <c r="EU94" s="3" t="inlineStr">
        <is>
          <t>Don’t know or not applicable</t>
        </is>
      </c>
      <c r="EV94" s="3" t="inlineStr">
        <is>
          <t>Don’t know or not applicable</t>
        </is>
      </c>
      <c r="EW94" s="3" t="inlineStr">
        <is>
          <t>To a great extent</t>
        </is>
      </c>
      <c r="EX94" s="3" t="inlineStr">
        <is>
          <t>A 2-day virtual technical assistance workshop on CPAT has been proposed by the IMF but has not yet taken place. A coordination meeting on the matter was recently held on 24 May 2025, facilitated by the Ministry of Finance and Economy. It would be most beneficial if the support included hands-on training to build practical capacity in using the tool. Additionally, there is a need for more tailored guidance on designing effective carbon pricing instruments that align with national priorities.</t>
        </is>
      </c>
      <c r="EY94" s="3" t="inlineStr">
        <is>
          <t>Don’t know or not applicable</t>
        </is>
      </c>
      <c r="EZ94" s="3" t="inlineStr">
        <is>
          <t>Don’t know or not applicable</t>
        </is>
      </c>
      <c r="FA94" s="3" t="inlineStr">
        <is>
          <t>Don’t know or not applicable</t>
        </is>
      </c>
      <c r="FB94" s="3" t="inlineStr">
        <is>
          <t>Don’t know or not applicable</t>
        </is>
      </c>
      <c r="FC94" s="3" t="inlineStr">
        <is>
          <t>Don’t know or not applicable</t>
        </is>
      </c>
      <c r="FD94" s="3" t="inlineStr">
        <is>
          <t>Don’t know or not applicable</t>
        </is>
      </c>
      <c r="FE94" s="3" t="inlineStr">
        <is>
          <t>Don’t know or not applicable</t>
        </is>
      </c>
      <c r="FF94" s="3" t="inlineStr">
        <is>
          <t>Don’t know or not applicable</t>
        </is>
      </c>
      <c r="FG94" s="3" t="inlineStr">
        <is>
          <t>Don’t know or not applicable</t>
        </is>
      </c>
      <c r="FH94" s="3" t="inlineStr">
        <is>
          <t>To a slight extent</t>
        </is>
      </c>
      <c r="FI94" s="3" t="inlineStr">
        <is>
          <t>Don’t know or not applicable</t>
        </is>
      </c>
      <c r="FJ94" s="3" t="inlineStr">
        <is>
          <t>Don’t know or not applicable</t>
        </is>
      </c>
      <c r="FK94" s="3" t="inlineStr">
        <is>
          <t>Don’t know or not applicable</t>
        </is>
      </c>
      <c r="FL94" s="3" t="inlineStr">
        <is>
          <t>Don’t know or not applicable</t>
        </is>
      </c>
      <c r="FM94" s="3" t="inlineStr">
        <is>
          <t>Don’t know or not applicable</t>
        </is>
      </c>
      <c r="FN94" s="3" t="inlineStr">
        <is>
          <t>Don’t know or not applicable</t>
        </is>
      </c>
      <c r="FO94" s="3" t="inlineStr">
        <is>
          <t>Don’t know or not applicable</t>
        </is>
      </c>
      <c r="FP94" s="3" t="inlineStr">
        <is>
          <t>Don’t know or not applicable</t>
        </is>
      </c>
      <c r="FQ94" s="3" t="inlineStr">
        <is>
          <t>Don’t know or not applicable</t>
        </is>
      </c>
      <c r="FR94" s="3" t="inlineStr">
        <is>
          <t>Don’t know or not applicable</t>
        </is>
      </c>
      <c r="FS94" s="3" t="inlineStr">
        <is>
          <t>Don’t know or not applicable</t>
        </is>
      </c>
      <c r="FT94" s="3" t="inlineStr">
        <is>
          <t>Don’t know or not applicable</t>
        </is>
      </c>
      <c r="FU94" s="3" t="n"/>
      <c r="FV94" s="3" t="n"/>
      <c r="FW94" s="3" t="inlineStr">
        <is>
          <t>The IMF should have dedicated more resources</t>
        </is>
      </c>
      <c r="FX94" s="3" t="n"/>
      <c r="FY94" s="3" t="inlineStr">
        <is>
          <t>To a moderate extent</t>
        </is>
      </c>
      <c r="FZ94" s="3" t="inlineStr">
        <is>
          <t>To a moderate extent</t>
        </is>
      </c>
      <c r="GA94" s="3" t="inlineStr">
        <is>
          <t>To a moderate extent</t>
        </is>
      </c>
      <c r="GB94" s="3" t="inlineStr">
        <is>
          <t>To a moderate extent</t>
        </is>
      </c>
      <c r="GC94" s="3" t="n"/>
      <c r="GD94" s="3" t="n"/>
      <c r="GE94" s="3" t="inlineStr">
        <is>
          <t>Don’t know or not applicable</t>
        </is>
      </c>
      <c r="GF94" s="3" t="inlineStr">
        <is>
          <t>To a slight extent</t>
        </is>
      </c>
      <c r="GG94" s="3" t="inlineStr">
        <is>
          <t>Don’t know or not applicable</t>
        </is>
      </c>
      <c r="GH94" s="3" t="inlineStr">
        <is>
          <t>Don’t know or not applicable</t>
        </is>
      </c>
      <c r="GI94" s="3" t="inlineStr">
        <is>
          <t>Don’t know or not applicable</t>
        </is>
      </c>
      <c r="GJ94" s="3" t="inlineStr">
        <is>
          <t>Don’t know or not applicable</t>
        </is>
      </c>
      <c r="GK94" s="3" t="n"/>
      <c r="GL94" s="5">
        <f>DATE(2025,6,10)+TIME(14,10,22)</f>
        <v/>
      </c>
    </row>
    <row r="95" ht="393.75" customHeight="1">
      <c r="A95" s="6" t="inlineStr">
        <is>
          <t>Yara</t>
        </is>
      </c>
      <c r="B95" s="6" t="inlineStr">
        <is>
          <t>Garcia</t>
        </is>
      </c>
      <c r="C95" s="6" t="inlineStr">
        <is>
          <t>ygarcia@organization.org</t>
        </is>
      </c>
      <c r="D95" s="6" t="inlineStr">
        <is>
          <t>KRFOUXBJY</t>
        </is>
      </c>
      <c r="E95" s="6" t="n"/>
      <c r="F95" s="6" t="inlineStr">
        <is>
          <t>OEDMI</t>
        </is>
      </c>
      <c r="G95" s="6" t="n"/>
      <c r="H95" s="6" t="n"/>
      <c r="I95" s="6" t="n"/>
      <c r="J95" s="6" t="n"/>
      <c r="K95" s="6" t="n"/>
      <c r="L95" s="6" t="n"/>
      <c r="M95" s="6" t="n"/>
      <c r="N95" s="6" t="n"/>
      <c r="O95" s="6" t="n"/>
      <c r="P95" s="6" t="n"/>
      <c r="Q95" s="6" t="n"/>
      <c r="R95" s="6" t="n"/>
      <c r="S95" s="6" t="n"/>
      <c r="T95" s="6" t="n"/>
      <c r="U95" s="6" t="n"/>
      <c r="V95" s="6" t="n"/>
      <c r="W95" s="6" t="inlineStr">
        <is>
          <t>Iraq</t>
        </is>
      </c>
      <c r="X95" s="6" t="n"/>
      <c r="Y95" s="6" t="n"/>
      <c r="Z95" s="6" t="n"/>
      <c r="AA95" s="6" t="n"/>
      <c r="AB95" s="6" t="n"/>
      <c r="AC95" s="6" t="n"/>
      <c r="AD95" s="6" t="n"/>
      <c r="AE95" s="6" t="n"/>
      <c r="AF95" s="4" t="inlineStr">
        <is>
          <t>Iraq</t>
        </is>
      </c>
      <c r="AG95" s="6" t="inlineStr">
        <is>
          <t>The IMF should engage less on climate change-related issues</t>
        </is>
      </c>
      <c r="AH95" s="6" t="inlineStr">
        <is>
          <t>To a slight extent</t>
        </is>
      </c>
      <c r="AI95" s="6" t="inlineStr">
        <is>
          <t>To a slight extent</t>
        </is>
      </c>
      <c r="AJ95" s="6" t="inlineStr">
        <is>
          <t>Don’t know or not applicable</t>
        </is>
      </c>
      <c r="AK95" s="6" t="inlineStr">
        <is>
          <t>To a slight extent</t>
        </is>
      </c>
      <c r="AL95" s="6" t="inlineStr">
        <is>
          <t>Don’t know or not applicable</t>
        </is>
      </c>
      <c r="AM95" s="6" t="inlineStr">
        <is>
          <t>Don’t know or not applicable</t>
        </is>
      </c>
      <c r="AN95" s="6" t="inlineStr">
        <is>
          <t>Don’t know or not applicable</t>
        </is>
      </c>
      <c r="AO95" s="6" t="inlineStr">
        <is>
          <t>To a slight extent</t>
        </is>
      </c>
      <c r="AP95" s="6" t="inlineStr">
        <is>
          <t>To a slight extent</t>
        </is>
      </c>
      <c r="AQ95" s="6" t="inlineStr">
        <is>
          <t>To a slight extent</t>
        </is>
      </c>
      <c r="AR95" s="6" t="inlineStr">
        <is>
          <t>To a slight extent</t>
        </is>
      </c>
      <c r="AS95" s="6" t="n"/>
      <c r="AT95" s="6" t="inlineStr">
        <is>
          <t>Not at all</t>
        </is>
      </c>
      <c r="AU95" s="6" t="inlineStr">
        <is>
          <t>To a slight extent</t>
        </is>
      </c>
      <c r="AV95" s="6" t="inlineStr">
        <is>
          <t>To a great extent</t>
        </is>
      </c>
      <c r="AW95" s="6" t="inlineStr">
        <is>
          <t>To a moderate extent</t>
        </is>
      </c>
      <c r="AX95" s="6" t="inlineStr">
        <is>
          <t>To a slight extent</t>
        </is>
      </c>
      <c r="AY95" s="6" t="inlineStr">
        <is>
          <t>To a slight extent</t>
        </is>
      </c>
      <c r="AZ95" s="6" t="inlineStr">
        <is>
          <t>To a slight extent</t>
        </is>
      </c>
      <c r="BA95" s="6" t="inlineStr">
        <is>
          <t>To a great extent</t>
        </is>
      </c>
      <c r="BB95" s="6" t="inlineStr">
        <is>
          <t>To a moderate extent</t>
        </is>
      </c>
      <c r="BC95" s="6" t="inlineStr">
        <is>
          <t>To a slight extent</t>
        </is>
      </c>
      <c r="BD95" s="6" t="inlineStr">
        <is>
          <t>To a slight extent</t>
        </is>
      </c>
      <c r="BE95" s="6" t="inlineStr">
        <is>
          <t>Don’t know or not applicable</t>
        </is>
      </c>
      <c r="BF95" s="6" t="inlineStr">
        <is>
          <t>Don’t know or not applicable</t>
        </is>
      </c>
      <c r="BG95" s="6" t="inlineStr">
        <is>
          <t>Don’t know or not applicable</t>
        </is>
      </c>
      <c r="BH95" s="6" t="inlineStr">
        <is>
          <t>Don’t know or not applicable</t>
        </is>
      </c>
      <c r="BI95" s="6" t="inlineStr">
        <is>
          <t>Don’t know or not applicable</t>
        </is>
      </c>
      <c r="BJ95" s="6" t="inlineStr">
        <is>
          <t>To a slight extent</t>
        </is>
      </c>
      <c r="BK95" s="6" t="inlineStr">
        <is>
          <t>To a moderate extent</t>
        </is>
      </c>
      <c r="BL95" s="6" t="inlineStr">
        <is>
          <t>To a moderate extent</t>
        </is>
      </c>
      <c r="BM95" s="6" t="inlineStr">
        <is>
          <t>To a slight extent</t>
        </is>
      </c>
      <c r="BN95" s="6" t="inlineStr">
        <is>
          <t>To a slight extent</t>
        </is>
      </c>
      <c r="BO95" s="6" t="inlineStr">
        <is>
          <t>To a slight extent</t>
        </is>
      </c>
      <c r="BP95" s="6" t="inlineStr">
        <is>
          <t>Not at all</t>
        </is>
      </c>
      <c r="BQ95" s="6" t="inlineStr">
        <is>
          <t>To a slight extent</t>
        </is>
      </c>
      <c r="BR95" s="6" t="inlineStr">
        <is>
          <t>To a slight extent</t>
        </is>
      </c>
      <c r="BS95" s="6" t="inlineStr">
        <is>
          <t>022 Article iv refrence the IEA and uses projections of the IEA on global demand of oil</t>
        </is>
      </c>
      <c r="BT95" s="6" t="inlineStr">
        <is>
          <t>The IMF should have dedicated less resources</t>
        </is>
      </c>
      <c r="BU95" s="6" t="inlineStr">
        <is>
          <t>To a moderate extent</t>
        </is>
      </c>
      <c r="BV95" s="6" t="inlineStr">
        <is>
          <t>Not at all</t>
        </is>
      </c>
      <c r="BW95" s="6" t="inlineStr">
        <is>
          <t>To a moderate extent</t>
        </is>
      </c>
      <c r="BX95" s="6" t="inlineStr">
        <is>
          <t>To a moderate extent</t>
        </is>
      </c>
      <c r="BY95" s="6" t="inlineStr">
        <is>
          <t>Not at all</t>
        </is>
      </c>
      <c r="BZ95" s="6" t="inlineStr">
        <is>
          <t>To a moderate extent</t>
        </is>
      </c>
      <c r="CA95" s="6" t="inlineStr">
        <is>
          <t>To a moderate extent</t>
        </is>
      </c>
      <c r="CB95" s="6" t="inlineStr">
        <is>
          <t>Not at all</t>
        </is>
      </c>
      <c r="CC95" s="6" t="inlineStr">
        <is>
          <t>To a moderate extent</t>
        </is>
      </c>
      <c r="CD95" s="6" t="inlineStr">
        <is>
          <t>To a moderate extent</t>
        </is>
      </c>
      <c r="CE95" s="6" t="inlineStr">
        <is>
          <t>Not at all</t>
        </is>
      </c>
      <c r="CF95" s="6" t="inlineStr">
        <is>
          <t>To a moderate extent</t>
        </is>
      </c>
      <c r="CG95" s="6" t="n"/>
      <c r="CH95" s="6" t="inlineStr">
        <is>
          <t>No</t>
        </is>
      </c>
      <c r="CI95" s="6" t="inlineStr">
        <is>
          <t>No</t>
        </is>
      </c>
      <c r="CJ95" s="6" t="n"/>
      <c r="CK95" s="6" t="n"/>
      <c r="CL95" s="6" t="n"/>
      <c r="CM95" s="6" t="n"/>
      <c r="CN95" s="6" t="n"/>
      <c r="CO95" s="6" t="n"/>
      <c r="CP95" s="6" t="n"/>
      <c r="CQ95" s="6" t="n"/>
      <c r="CR95" s="6" t="n"/>
      <c r="CS95" s="6" t="n"/>
      <c r="CT95" s="6" t="n"/>
      <c r="CU95" s="6" t="n"/>
      <c r="CV95" s="6" t="n"/>
      <c r="CW95" s="6" t="n"/>
      <c r="CX95" s="6" t="n"/>
      <c r="CY95" s="6" t="n"/>
      <c r="CZ95" s="6" t="n"/>
      <c r="DA95" s="6" t="n"/>
      <c r="DB95" s="6" t="n"/>
      <c r="DC95" s="6" t="n"/>
      <c r="DD95" s="6" t="n"/>
      <c r="DE95" s="6" t="n"/>
      <c r="DF95" s="6" t="n"/>
      <c r="DG95" s="6" t="n"/>
      <c r="DH95" s="6" t="n"/>
      <c r="DI95" s="6" t="n"/>
      <c r="DJ95" s="6" t="n"/>
      <c r="DK95" s="6" t="n"/>
      <c r="DL95" s="6" t="n"/>
      <c r="DM95" s="6" t="n"/>
      <c r="DN95" s="6" t="n"/>
      <c r="DO95" s="6" t="n"/>
      <c r="DP95" s="6" t="inlineStr">
        <is>
          <t>My country is not eligible for an RSF arrangement</t>
        </is>
      </c>
      <c r="DQ95" s="6" t="n"/>
      <c r="DR95" s="6" t="n"/>
      <c r="DS95" s="6" t="n"/>
      <c r="DT95" s="6" t="n"/>
      <c r="DU95" s="6" t="n"/>
      <c r="DV95" s="6" t="n"/>
      <c r="DW95" s="6" t="inlineStr">
        <is>
          <t>Don't know</t>
        </is>
      </c>
      <c r="DX95" s="6" t="n"/>
      <c r="DY95" s="6" t="n"/>
      <c r="DZ95" s="6" t="n"/>
      <c r="EA95" s="6" t="n"/>
      <c r="EB95" s="6" t="n"/>
      <c r="EC95" s="6" t="n"/>
      <c r="ED95" s="6" t="n"/>
      <c r="EE95" s="6" t="n"/>
      <c r="EF95" s="6" t="inlineStr">
        <is>
          <t>To a great extent</t>
        </is>
      </c>
      <c r="EG95" s="6" t="inlineStr">
        <is>
          <t>To a slight extent</t>
        </is>
      </c>
      <c r="EH95" s="6" t="inlineStr">
        <is>
          <t>To a slight extent</t>
        </is>
      </c>
      <c r="EI95" s="6" t="inlineStr">
        <is>
          <t>To a great extent</t>
        </is>
      </c>
      <c r="EJ95" s="6" t="inlineStr">
        <is>
          <t>To a great extent</t>
        </is>
      </c>
      <c r="EK95" s="6" t="inlineStr">
        <is>
          <t>To a great extent</t>
        </is>
      </c>
      <c r="EL95" s="6" t="inlineStr">
        <is>
          <t>To a moderate extent</t>
        </is>
      </c>
      <c r="EM95" s="6" t="n"/>
      <c r="EN95" s="6" t="n"/>
      <c r="EO95" s="6" t="n"/>
      <c r="EP95" s="6" t="n"/>
      <c r="EQ95" s="6" t="inlineStr">
        <is>
          <t>Not at all</t>
        </is>
      </c>
      <c r="ER95" s="6" t="inlineStr">
        <is>
          <t>Not at all</t>
        </is>
      </c>
      <c r="ES95" s="6" t="n"/>
      <c r="ET95" s="6" t="n"/>
      <c r="EU95" s="6" t="n"/>
      <c r="EV95" s="6" t="n"/>
      <c r="EW95" s="6" t="n"/>
      <c r="EX95" s="6" t="n"/>
      <c r="EY95" s="6" t="n"/>
      <c r="EZ95" s="6" t="n"/>
      <c r="FA95" s="6" t="n"/>
      <c r="FB95" s="6" t="n"/>
      <c r="FC95" s="6" t="n"/>
      <c r="FD95" s="6" t="n"/>
      <c r="FE95" s="6" t="n"/>
      <c r="FF95" s="6" t="n"/>
      <c r="FG95" s="6" t="n"/>
      <c r="FH95" s="6" t="n"/>
      <c r="FI95" s="6" t="n"/>
      <c r="FJ95" s="6" t="n"/>
      <c r="FK95" s="6" t="n"/>
      <c r="FL95" s="6" t="n"/>
      <c r="FM95" s="6" t="n"/>
      <c r="FN95" s="6" t="n"/>
      <c r="FO95" s="6" t="n"/>
      <c r="FP95" s="6" t="n"/>
      <c r="FQ95" s="6" t="n"/>
      <c r="FR95" s="6" t="n"/>
      <c r="FS95" s="6" t="n"/>
      <c r="FT95" s="6" t="n"/>
      <c r="FU95" s="6" t="n"/>
      <c r="FV95" s="6" t="n"/>
      <c r="FW95" s="6" t="n"/>
      <c r="FX95" s="6" t="n"/>
      <c r="FY95" s="6" t="inlineStr">
        <is>
          <t>To a moderate extent</t>
        </is>
      </c>
      <c r="FZ95" s="6" t="inlineStr">
        <is>
          <t>To a slight extent</t>
        </is>
      </c>
      <c r="GA95" s="6" t="inlineStr">
        <is>
          <t>To a moderate extent</t>
        </is>
      </c>
      <c r="GB95" s="6" t="inlineStr">
        <is>
          <t>To a slight extent</t>
        </is>
      </c>
      <c r="GC95" s="6" t="n"/>
      <c r="GD95" s="6" t="n"/>
      <c r="GE95" s="6" t="inlineStr">
        <is>
          <t>To a moderate extent</t>
        </is>
      </c>
      <c r="GF95" s="6" t="inlineStr">
        <is>
          <t>To a slight extent</t>
        </is>
      </c>
      <c r="GG95" s="6" t="inlineStr">
        <is>
          <t>To a great extent</t>
        </is>
      </c>
      <c r="GH95" s="6" t="inlineStr">
        <is>
          <t>To a slight extent</t>
        </is>
      </c>
      <c r="GI95" s="6" t="inlineStr">
        <is>
          <t>To a slight extent</t>
        </is>
      </c>
      <c r="GJ95" s="6" t="inlineStr">
        <is>
          <t>To a great extent</t>
        </is>
      </c>
      <c r="GK95" s="6" t="inlineStr">
        <is>
          <t>The Comprehensive Surveillance Review (CSR) should determine the Fund's engagement in non-core areas, mindful of the need to prioritize the core mandate.
Such engagement should be conditional on macro-criticality, which needs to be carefully defined in the context of the CSR. This applies to the Fund's work on climate change-related issues.
When carried out, the Fund's work on climate change-related issues should pay close attention to adaptation and transition challenges, especially in countries facing heightened vulnerabilities.</t>
        </is>
      </c>
      <c r="GL95" s="7">
        <f>DATE(2025,6,5)+TIME(10,46,45)</f>
        <v/>
      </c>
    </row>
    <row r="96" ht="47.25" customHeight="1">
      <c r="A96" s="3" t="inlineStr">
        <is>
          <t>Priya</t>
        </is>
      </c>
      <c r="B96" s="3" t="inlineStr">
        <is>
          <t>Torres</t>
        </is>
      </c>
      <c r="C96" s="3" t="inlineStr">
        <is>
          <t>ptorres@organization.org</t>
        </is>
      </c>
      <c r="D96" s="3" t="inlineStr">
        <is>
          <t>XKHUNJX4N</t>
        </is>
      </c>
      <c r="E96" s="3" t="n"/>
      <c r="F96" s="3" t="inlineStr">
        <is>
          <t>OEDNE</t>
        </is>
      </c>
      <c r="G96" s="3" t="n"/>
      <c r="H96" s="3" t="n"/>
      <c r="I96" s="3" t="n"/>
      <c r="J96" s="3" t="n"/>
      <c r="K96" s="3" t="n"/>
      <c r="L96" s="3" t="n"/>
      <c r="M96" s="3" t="n"/>
      <c r="N96" s="3" t="n"/>
      <c r="O96" s="3" t="n"/>
      <c r="P96" s="3" t="n"/>
      <c r="Q96" s="3" t="n"/>
      <c r="R96" s="3" t="n"/>
      <c r="S96" s="3" t="n"/>
      <c r="T96" s="3" t="n"/>
      <c r="U96" s="3" t="n"/>
      <c r="V96" s="3" t="n"/>
      <c r="W96" s="3" t="n"/>
      <c r="X96" s="3" t="inlineStr">
        <is>
          <t>Moldova</t>
        </is>
      </c>
      <c r="Y96" s="3" t="n"/>
      <c r="Z96" s="3" t="n"/>
      <c r="AA96" s="3" t="n"/>
      <c r="AB96" s="3" t="n"/>
      <c r="AC96" s="3" t="n"/>
      <c r="AD96" s="3" t="n"/>
      <c r="AE96" s="3" t="n"/>
      <c r="AF96" s="4" t="inlineStr">
        <is>
          <t>Moldova</t>
        </is>
      </c>
      <c r="AG96" s="3" t="inlineStr">
        <is>
          <t>The IMF should engage a similar amount on climate change-related issues</t>
        </is>
      </c>
      <c r="AH96" s="3" t="inlineStr">
        <is>
          <t>To a slight extent</t>
        </is>
      </c>
      <c r="AI96" s="3" t="inlineStr">
        <is>
          <t>To a great extent</t>
        </is>
      </c>
      <c r="AJ96" s="3" t="inlineStr">
        <is>
          <t>To a slight extent</t>
        </is>
      </c>
      <c r="AK96" s="3" t="inlineStr">
        <is>
          <t>To a moderate extent</t>
        </is>
      </c>
      <c r="AL96" s="3" t="inlineStr">
        <is>
          <t>To a moderate extent</t>
        </is>
      </c>
      <c r="AM96" s="3" t="inlineStr">
        <is>
          <t>To a great extent</t>
        </is>
      </c>
      <c r="AN96" s="3" t="inlineStr">
        <is>
          <t>To a slight extent</t>
        </is>
      </c>
      <c r="AO96" s="3" t="inlineStr">
        <is>
          <t>To a moderate extent</t>
        </is>
      </c>
      <c r="AP96" s="3" t="inlineStr">
        <is>
          <t>To a slight extent</t>
        </is>
      </c>
      <c r="AQ96" s="3" t="inlineStr">
        <is>
          <t>To a slight extent</t>
        </is>
      </c>
      <c r="AR96" s="3" t="inlineStr">
        <is>
          <t>To a great extent</t>
        </is>
      </c>
      <c r="AS96" s="3" t="n"/>
      <c r="AT96" s="3" t="inlineStr">
        <is>
          <t>To a slight extent</t>
        </is>
      </c>
      <c r="AU96" s="3" t="inlineStr">
        <is>
          <t>To a slight extent</t>
        </is>
      </c>
      <c r="AV96" s="3" t="inlineStr">
        <is>
          <t>To a moderate extent</t>
        </is>
      </c>
      <c r="AW96" s="3" t="inlineStr">
        <is>
          <t>To a moderate extent</t>
        </is>
      </c>
      <c r="AX96" s="3" t="inlineStr">
        <is>
          <t>To a moderate extent</t>
        </is>
      </c>
      <c r="AY96" s="3" t="inlineStr">
        <is>
          <t>Don’t know or not applicable</t>
        </is>
      </c>
      <c r="AZ96" s="3" t="inlineStr">
        <is>
          <t>To a moderate extent</t>
        </is>
      </c>
      <c r="BA96" s="3" t="inlineStr">
        <is>
          <t>To a slight extent</t>
        </is>
      </c>
      <c r="BB96" s="3" t="inlineStr">
        <is>
          <t>To a moderate extent</t>
        </is>
      </c>
      <c r="BC96" s="3" t="inlineStr">
        <is>
          <t>To a moderate extent</t>
        </is>
      </c>
      <c r="BD96" s="3" t="inlineStr">
        <is>
          <t>To a great extent</t>
        </is>
      </c>
      <c r="BE96" s="3" t="inlineStr">
        <is>
          <t>Not at all</t>
        </is>
      </c>
      <c r="BF96" s="3" t="inlineStr">
        <is>
          <t>To a slight extent</t>
        </is>
      </c>
      <c r="BG96" s="3" t="inlineStr">
        <is>
          <t>To a slight extent</t>
        </is>
      </c>
      <c r="BH96" s="3" t="inlineStr">
        <is>
          <t>Don’t know or not applicable</t>
        </is>
      </c>
      <c r="BI96" s="3" t="inlineStr">
        <is>
          <t>Don’t know or not applicable</t>
        </is>
      </c>
      <c r="BJ96" s="3" t="inlineStr">
        <is>
          <t>To a slight extent</t>
        </is>
      </c>
      <c r="BK96" s="3" t="inlineStr">
        <is>
          <t>To a slight extent</t>
        </is>
      </c>
      <c r="BL96" s="3" t="inlineStr">
        <is>
          <t>To a slight extent</t>
        </is>
      </c>
      <c r="BM96" s="3" t="inlineStr">
        <is>
          <t>Don’t know or not applicable</t>
        </is>
      </c>
      <c r="BN96" s="3" t="inlineStr">
        <is>
          <t>To a great extent</t>
        </is>
      </c>
      <c r="BO96" s="3" t="inlineStr">
        <is>
          <t>To a great extent</t>
        </is>
      </c>
      <c r="BP96" s="3" t="inlineStr">
        <is>
          <t>Don’t know or not applicable</t>
        </is>
      </c>
      <c r="BQ96" s="3" t="inlineStr">
        <is>
          <t>To a great extent</t>
        </is>
      </c>
      <c r="BR96" s="3" t="inlineStr">
        <is>
          <t>Don’t know or not applicable</t>
        </is>
      </c>
      <c r="BS96" s="3" t="n"/>
      <c r="BT96" s="3" t="inlineStr">
        <is>
          <t>The IMF dedicated an appropriate amount of resources</t>
        </is>
      </c>
      <c r="BU96" s="3" t="inlineStr">
        <is>
          <t>To a moderate extent</t>
        </is>
      </c>
      <c r="BV96" s="3" t="inlineStr">
        <is>
          <t>To a moderate extent</t>
        </is>
      </c>
      <c r="BW96" s="3" t="inlineStr">
        <is>
          <t>To a moderate extent</t>
        </is>
      </c>
      <c r="BX96" s="3" t="inlineStr">
        <is>
          <t>To a moderate extent</t>
        </is>
      </c>
      <c r="BY96" s="3" t="inlineStr">
        <is>
          <t>To a moderate extent</t>
        </is>
      </c>
      <c r="BZ96" s="3" t="inlineStr">
        <is>
          <t>To a moderate extent</t>
        </is>
      </c>
      <c r="CA96" s="3" t="inlineStr">
        <is>
          <t>To a moderate extent</t>
        </is>
      </c>
      <c r="CB96" s="3" t="inlineStr">
        <is>
          <t>To a moderate extent</t>
        </is>
      </c>
      <c r="CC96" s="3" t="inlineStr">
        <is>
          <t>To a moderate extent</t>
        </is>
      </c>
      <c r="CD96" s="3" t="inlineStr">
        <is>
          <t>To a great extent</t>
        </is>
      </c>
      <c r="CE96" s="3" t="inlineStr">
        <is>
          <t>To a great extent</t>
        </is>
      </c>
      <c r="CF96" s="3" t="inlineStr">
        <is>
          <t>To a great extent</t>
        </is>
      </c>
      <c r="CG96" s="3" t="n"/>
      <c r="CH96" s="3" t="inlineStr">
        <is>
          <t>Yes</t>
        </is>
      </c>
      <c r="CI96" s="3" t="inlineStr">
        <is>
          <t>Yes</t>
        </is>
      </c>
      <c r="CJ96" s="3" t="inlineStr">
        <is>
          <t>To a moderate extent</t>
        </is>
      </c>
      <c r="CK96" s="3" t="inlineStr">
        <is>
          <t>To a moderate extent</t>
        </is>
      </c>
      <c r="CL96" s="3" t="inlineStr">
        <is>
          <t>To a great extent</t>
        </is>
      </c>
      <c r="CM96" s="3" t="inlineStr">
        <is>
          <t>To a moderate extent</t>
        </is>
      </c>
      <c r="CN96" s="3" t="inlineStr">
        <is>
          <t>To a moderate extent</t>
        </is>
      </c>
      <c r="CO96" s="3" t="inlineStr">
        <is>
          <t>To a great extent</t>
        </is>
      </c>
      <c r="CP96" s="3" t="inlineStr">
        <is>
          <t>To a slight extent</t>
        </is>
      </c>
      <c r="CQ96" s="3" t="inlineStr">
        <is>
          <t>To a slight extent</t>
        </is>
      </c>
      <c r="CR96" s="3" t="inlineStr">
        <is>
          <t>To a slight extent</t>
        </is>
      </c>
      <c r="CS96" s="3" t="inlineStr">
        <is>
          <t>To a moderate extent</t>
        </is>
      </c>
      <c r="CT96" s="3" t="inlineStr">
        <is>
          <t>To a moderate extent</t>
        </is>
      </c>
      <c r="CU96" s="3" t="inlineStr">
        <is>
          <t>To a slight extent</t>
        </is>
      </c>
      <c r="CV96" s="3" t="inlineStr">
        <is>
          <t>To a great extent</t>
        </is>
      </c>
      <c r="CW96" s="3" t="inlineStr">
        <is>
          <t>To a great extent</t>
        </is>
      </c>
      <c r="CX96" s="3" t="inlineStr">
        <is>
          <t>To a moderate extent</t>
        </is>
      </c>
      <c r="CY96" s="3" t="inlineStr">
        <is>
          <t>To a moderate extent</t>
        </is>
      </c>
      <c r="CZ96" s="3" t="inlineStr">
        <is>
          <t>To a great extent</t>
        </is>
      </c>
      <c r="DA96" s="3" t="inlineStr">
        <is>
          <t>Not at all</t>
        </is>
      </c>
      <c r="DB96" s="3" t="inlineStr">
        <is>
          <t>Additional new spending</t>
        </is>
      </c>
      <c r="DC96" s="3" t="inlineStr">
        <is>
          <t>Existing planned spending (substituting for other financing)</t>
        </is>
      </c>
      <c r="DD96" s="3" t="n"/>
      <c r="DE96" s="3" t="n"/>
      <c r="DF96" s="3" t="n"/>
      <c r="DG96" s="3" t="n"/>
      <c r="DH96" s="3" t="inlineStr">
        <is>
          <t>To a slight extent</t>
        </is>
      </c>
      <c r="DI96" s="3" t="inlineStr">
        <is>
          <t>To a moderate extent</t>
        </is>
      </c>
      <c r="DJ96" s="3" t="inlineStr">
        <is>
          <t>To a slight extent</t>
        </is>
      </c>
      <c r="DK96" s="3" t="inlineStr">
        <is>
          <t>To a great extent</t>
        </is>
      </c>
      <c r="DL96" s="3" t="inlineStr">
        <is>
          <t>Not at all</t>
        </is>
      </c>
      <c r="DM96" s="3" t="inlineStr">
        <is>
          <t>To a slight extent</t>
        </is>
      </c>
      <c r="DN96" s="3" t="inlineStr">
        <is>
          <t>Don’t know or not applicable</t>
        </is>
      </c>
      <c r="DO96" s="3" t="n"/>
      <c r="DP96" s="3" t="n"/>
      <c r="DQ96" s="3" t="n"/>
      <c r="DR96" s="3" t="n"/>
      <c r="DS96" s="3" t="n"/>
      <c r="DT96" s="3" t="n"/>
      <c r="DU96" s="3" t="n"/>
      <c r="DV96" s="3" t="n"/>
      <c r="DW96" s="3" t="inlineStr">
        <is>
          <t>Yes</t>
        </is>
      </c>
      <c r="DX96" s="3" t="inlineStr">
        <is>
          <t>World Bank Group</t>
        </is>
      </c>
      <c r="DY96" s="3" t="n"/>
      <c r="DZ96" s="3" t="n"/>
      <c r="EA96" s="3" t="n"/>
      <c r="EB96" s="3" t="n"/>
      <c r="EC96" s="3" t="inlineStr">
        <is>
          <t>Don’t know or not applicable</t>
        </is>
      </c>
      <c r="ED96" s="3" t="inlineStr">
        <is>
          <t>Don’t know or not applicable</t>
        </is>
      </c>
      <c r="EE96" s="3" t="inlineStr">
        <is>
          <t>Don’t know or not applicable</t>
        </is>
      </c>
      <c r="EF96" s="3" t="inlineStr">
        <is>
          <t>Not at all</t>
        </is>
      </c>
      <c r="EG96" s="3" t="inlineStr">
        <is>
          <t>To a slight extent</t>
        </is>
      </c>
      <c r="EH96" s="3" t="inlineStr">
        <is>
          <t>Don’t know or not applicable</t>
        </is>
      </c>
      <c r="EI96" s="3" t="inlineStr">
        <is>
          <t>To a great extent</t>
        </is>
      </c>
      <c r="EJ96" s="3" t="inlineStr">
        <is>
          <t>To a slight extent</t>
        </is>
      </c>
      <c r="EK96" s="3" t="inlineStr">
        <is>
          <t>To a moderate extent</t>
        </is>
      </c>
      <c r="EL96" s="3" t="inlineStr">
        <is>
          <t>To a moderate extent</t>
        </is>
      </c>
      <c r="EM96" s="3" t="inlineStr">
        <is>
          <t>To a slight extent</t>
        </is>
      </c>
      <c r="EN96" s="3" t="inlineStr">
        <is>
          <t>Not at all</t>
        </is>
      </c>
      <c r="EO96" s="3" t="inlineStr">
        <is>
          <t>To a great extent</t>
        </is>
      </c>
      <c r="EP96" s="3" t="n"/>
      <c r="EQ96" s="3" t="inlineStr">
        <is>
          <t>To a moderate extent</t>
        </is>
      </c>
      <c r="ER96" s="3" t="inlineStr">
        <is>
          <t>To a slight extent</t>
        </is>
      </c>
      <c r="ES96" s="3" t="n"/>
      <c r="ET96" s="3" t="inlineStr">
        <is>
          <t>To a great extent</t>
        </is>
      </c>
      <c r="EU96" s="3" t="inlineStr">
        <is>
          <t>To a great extent</t>
        </is>
      </c>
      <c r="EV96" s="3" t="inlineStr">
        <is>
          <t>Don’t know or not applicable</t>
        </is>
      </c>
      <c r="EW96" s="3" t="inlineStr">
        <is>
          <t>Don’t know or not applicable</t>
        </is>
      </c>
      <c r="EX96" s="3" t="n"/>
      <c r="EY96" s="3" t="inlineStr">
        <is>
          <t>To a slight extent</t>
        </is>
      </c>
      <c r="EZ96" s="3" t="inlineStr">
        <is>
          <t>To a slight extent</t>
        </is>
      </c>
      <c r="FA96" s="3" t="inlineStr">
        <is>
          <t>To a moderate extent</t>
        </is>
      </c>
      <c r="FB96" s="3" t="inlineStr">
        <is>
          <t>To a great extent</t>
        </is>
      </c>
      <c r="FC96" s="3" t="inlineStr">
        <is>
          <t>Don’t know or not applicable</t>
        </is>
      </c>
      <c r="FD96" s="3" t="inlineStr">
        <is>
          <t>To a great extent</t>
        </is>
      </c>
      <c r="FE96" s="3" t="inlineStr">
        <is>
          <t>To a great extent</t>
        </is>
      </c>
      <c r="FF96" s="3" t="inlineStr">
        <is>
          <t>Don’t know or not applicable</t>
        </is>
      </c>
      <c r="FG96" s="3" t="inlineStr">
        <is>
          <t>Don’t know or not applicable</t>
        </is>
      </c>
      <c r="FH96" s="3" t="inlineStr">
        <is>
          <t>Don’t know or not applicable</t>
        </is>
      </c>
      <c r="FI96" s="3" t="inlineStr">
        <is>
          <t>Don’t know or not applicable</t>
        </is>
      </c>
      <c r="FJ96" s="3" t="inlineStr">
        <is>
          <t>Don’t know or not applicable</t>
        </is>
      </c>
      <c r="FK96" s="3" t="inlineStr">
        <is>
          <t>Don’t know or not applicable</t>
        </is>
      </c>
      <c r="FL96" s="3" t="inlineStr">
        <is>
          <t>Don’t know or not applicable</t>
        </is>
      </c>
      <c r="FM96" s="3" t="inlineStr">
        <is>
          <t>Don’t know or not applicable</t>
        </is>
      </c>
      <c r="FN96" s="3" t="inlineStr">
        <is>
          <t>Don’t know or not applicable</t>
        </is>
      </c>
      <c r="FO96" s="3" t="inlineStr">
        <is>
          <t>Don’t know or not applicable</t>
        </is>
      </c>
      <c r="FP96" s="3" t="inlineStr">
        <is>
          <t>Don’t know or not applicable</t>
        </is>
      </c>
      <c r="FQ96" s="3" t="inlineStr">
        <is>
          <t>Don’t know or not applicable</t>
        </is>
      </c>
      <c r="FR96" s="3" t="inlineStr">
        <is>
          <t>Don’t know or not applicable</t>
        </is>
      </c>
      <c r="FS96" s="3" t="inlineStr">
        <is>
          <t>Don’t know or not applicable</t>
        </is>
      </c>
      <c r="FT96" s="3" t="inlineStr">
        <is>
          <t>Don’t know or not applicable</t>
        </is>
      </c>
      <c r="FU96" s="3" t="inlineStr">
        <is>
          <t>Don’t know or not applicable</t>
        </is>
      </c>
      <c r="FV96" s="3" t="n"/>
      <c r="FW96" s="3" t="inlineStr">
        <is>
          <t>The IMF should have dedicated more resources</t>
        </is>
      </c>
      <c r="FX96" s="3" t="n"/>
      <c r="FY96" s="3" t="inlineStr">
        <is>
          <t>To a slight extent</t>
        </is>
      </c>
      <c r="FZ96" s="3" t="inlineStr">
        <is>
          <t>To a moderate extent</t>
        </is>
      </c>
      <c r="GA96" s="3" t="inlineStr">
        <is>
          <t>To a moderate extent</t>
        </is>
      </c>
      <c r="GB96" s="3" t="inlineStr">
        <is>
          <t>To a moderate extent</t>
        </is>
      </c>
      <c r="GC96" s="3" t="inlineStr">
        <is>
          <t>Don’t know or not applicable</t>
        </is>
      </c>
      <c r="GD96" s="3" t="n"/>
      <c r="GE96" s="3" t="inlineStr">
        <is>
          <t>To a great extent</t>
        </is>
      </c>
      <c r="GF96" s="3" t="inlineStr">
        <is>
          <t>To a slight extent</t>
        </is>
      </c>
      <c r="GG96" s="3" t="inlineStr">
        <is>
          <t>To a great extent</t>
        </is>
      </c>
      <c r="GH96" s="3" t="inlineStr">
        <is>
          <t>To a slight extent</t>
        </is>
      </c>
      <c r="GI96" s="3" t="inlineStr">
        <is>
          <t>To a moderate extent</t>
        </is>
      </c>
      <c r="GJ96" s="3" t="inlineStr">
        <is>
          <t>To a great extent</t>
        </is>
      </c>
      <c r="GK96" s="3" t="n"/>
      <c r="GL96" s="5">
        <f>DATE(2025,5,27)+TIME(12,47,3)</f>
        <v/>
      </c>
    </row>
    <row r="97" ht="47.25" customHeight="1">
      <c r="A97" s="6" t="inlineStr">
        <is>
          <t>Nikolai</t>
        </is>
      </c>
      <c r="B97" s="6" t="inlineStr">
        <is>
          <t>Liu</t>
        </is>
      </c>
      <c r="C97" s="6" t="inlineStr">
        <is>
          <t>nliu@organization.org</t>
        </is>
      </c>
      <c r="D97" s="6" t="inlineStr">
        <is>
          <t>L20P1VMKJ</t>
        </is>
      </c>
      <c r="E97" s="6" t="n"/>
      <c r="F97" s="6" t="inlineStr">
        <is>
          <t>OEDNO</t>
        </is>
      </c>
      <c r="G97" s="6" t="n"/>
      <c r="H97" s="6" t="n"/>
      <c r="I97" s="6" t="n"/>
      <c r="J97" s="6" t="n"/>
      <c r="K97" s="6" t="n"/>
      <c r="L97" s="6" t="n"/>
      <c r="M97" s="6" t="n"/>
      <c r="N97" s="6" t="n"/>
      <c r="O97" s="6" t="n"/>
      <c r="P97" s="6" t="n"/>
      <c r="Q97" s="6" t="n"/>
      <c r="R97" s="6" t="n"/>
      <c r="S97" s="6" t="n"/>
      <c r="T97" s="6" t="n"/>
      <c r="U97" s="6" t="n"/>
      <c r="V97" s="6" t="n"/>
      <c r="W97" s="6" t="n"/>
      <c r="X97" s="6" t="n"/>
      <c r="Y97" s="6" t="inlineStr">
        <is>
          <t>Iceland</t>
        </is>
      </c>
      <c r="Z97" s="6" t="n"/>
      <c r="AA97" s="6" t="n"/>
      <c r="AB97" s="6" t="n"/>
      <c r="AC97" s="6" t="n"/>
      <c r="AD97" s="6" t="n"/>
      <c r="AE97" s="6" t="n"/>
      <c r="AF97" s="4" t="inlineStr">
        <is>
          <t>Iceland</t>
        </is>
      </c>
      <c r="AG97" s="6" t="inlineStr">
        <is>
          <t>The IMF should engage a similar amount on climate change-related issues</t>
        </is>
      </c>
      <c r="AH97" s="6" t="inlineStr">
        <is>
          <t>To a slight extent</t>
        </is>
      </c>
      <c r="AI97" s="6" t="inlineStr">
        <is>
          <t>To a slight extent</t>
        </is>
      </c>
      <c r="AJ97" s="6" t="inlineStr">
        <is>
          <t>To a moderate extent</t>
        </is>
      </c>
      <c r="AK97" s="6" t="inlineStr">
        <is>
          <t>To a slight extent</t>
        </is>
      </c>
      <c r="AL97" s="6" t="inlineStr">
        <is>
          <t>Don’t know or not applicable</t>
        </is>
      </c>
      <c r="AM97" s="6" t="inlineStr">
        <is>
          <t>Don’t know or not applicable</t>
        </is>
      </c>
      <c r="AN97" s="6" t="inlineStr">
        <is>
          <t>Don’t know or not applicable</t>
        </is>
      </c>
      <c r="AO97" s="6" t="inlineStr">
        <is>
          <t>Don’t know or not applicable</t>
        </is>
      </c>
      <c r="AP97" s="6" t="inlineStr">
        <is>
          <t>To a moderate extent</t>
        </is>
      </c>
      <c r="AQ97" s="6" t="inlineStr">
        <is>
          <t>Don’t know or not applicable</t>
        </is>
      </c>
      <c r="AR97" s="6" t="inlineStr">
        <is>
          <t>To a moderate extent</t>
        </is>
      </c>
      <c r="AS97" s="6" t="n"/>
      <c r="AT97" s="6" t="inlineStr">
        <is>
          <t>Don’t know or not applicable</t>
        </is>
      </c>
      <c r="AU97" s="6" t="inlineStr">
        <is>
          <t>To a slight extent</t>
        </is>
      </c>
      <c r="AV97" s="6" t="inlineStr">
        <is>
          <t>Not at all</t>
        </is>
      </c>
      <c r="AW97" s="6" t="inlineStr">
        <is>
          <t>To a moderate extent</t>
        </is>
      </c>
      <c r="AX97" s="6" t="inlineStr">
        <is>
          <t>To a slight extent</t>
        </is>
      </c>
      <c r="AY97" s="6" t="inlineStr">
        <is>
          <t>To a great extent</t>
        </is>
      </c>
      <c r="AZ97" s="6" t="inlineStr">
        <is>
          <t>To a slight extent</t>
        </is>
      </c>
      <c r="BA97" s="6" t="inlineStr">
        <is>
          <t>To a slight extent</t>
        </is>
      </c>
      <c r="BB97" s="6" t="inlineStr">
        <is>
          <t>To a moderate extent</t>
        </is>
      </c>
      <c r="BC97" s="6" t="inlineStr">
        <is>
          <t>To a slight extent</t>
        </is>
      </c>
      <c r="BD97" s="6" t="inlineStr">
        <is>
          <t>To a great extent</t>
        </is>
      </c>
      <c r="BE97" s="6" t="inlineStr">
        <is>
          <t>To a slight extent</t>
        </is>
      </c>
      <c r="BF97" s="6" t="inlineStr">
        <is>
          <t>Not at all</t>
        </is>
      </c>
      <c r="BG97" s="6" t="inlineStr">
        <is>
          <t>To a great extent</t>
        </is>
      </c>
      <c r="BH97" s="6" t="inlineStr">
        <is>
          <t>To a moderate extent</t>
        </is>
      </c>
      <c r="BI97" s="6" t="inlineStr">
        <is>
          <t>To a great extent</t>
        </is>
      </c>
      <c r="BJ97" s="6" t="inlineStr">
        <is>
          <t>To a moderate extent</t>
        </is>
      </c>
      <c r="BK97" s="6" t="inlineStr">
        <is>
          <t>To a slight extent</t>
        </is>
      </c>
      <c r="BL97" s="6" t="inlineStr">
        <is>
          <t>To a moderate extent</t>
        </is>
      </c>
      <c r="BM97" s="6" t="inlineStr">
        <is>
          <t>Don’t know or not applicable</t>
        </is>
      </c>
      <c r="BN97" s="6" t="inlineStr">
        <is>
          <t>To a great extent</t>
        </is>
      </c>
      <c r="BO97" s="6" t="inlineStr">
        <is>
          <t>Don’t know or not applicable</t>
        </is>
      </c>
      <c r="BP97" s="6" t="inlineStr">
        <is>
          <t>Don’t know or not applicable</t>
        </is>
      </c>
      <c r="BQ97" s="6" t="inlineStr">
        <is>
          <t>Don’t know or not applicable</t>
        </is>
      </c>
      <c r="BR97" s="6" t="inlineStr">
        <is>
          <t>Don’t know or not applicable</t>
        </is>
      </c>
      <c r="BS97" s="6" t="n"/>
      <c r="BT97" s="6" t="inlineStr">
        <is>
          <t>The IMF dedicated an appropriate amount of resources</t>
        </is>
      </c>
      <c r="BU97" s="6" t="inlineStr">
        <is>
          <t>To a moderate extent</t>
        </is>
      </c>
      <c r="BV97" s="6" t="inlineStr">
        <is>
          <t>To a moderate extent</t>
        </is>
      </c>
      <c r="BW97" s="6" t="inlineStr">
        <is>
          <t>To a moderate extent</t>
        </is>
      </c>
      <c r="BX97" s="6" t="inlineStr">
        <is>
          <t>To a moderate extent</t>
        </is>
      </c>
      <c r="BY97" s="6" t="inlineStr">
        <is>
          <t>To a moderate extent</t>
        </is>
      </c>
      <c r="BZ97" s="6" t="inlineStr">
        <is>
          <t>To a moderate extent</t>
        </is>
      </c>
      <c r="CA97" s="6" t="inlineStr">
        <is>
          <t>To a moderate extent</t>
        </is>
      </c>
      <c r="CB97" s="6" t="inlineStr">
        <is>
          <t>To a moderate extent</t>
        </is>
      </c>
      <c r="CC97" s="6" t="inlineStr">
        <is>
          <t>To a moderate extent</t>
        </is>
      </c>
      <c r="CD97" s="6" t="inlineStr">
        <is>
          <t>To a moderate extent</t>
        </is>
      </c>
      <c r="CE97" s="6" t="inlineStr">
        <is>
          <t>To a moderate extent</t>
        </is>
      </c>
      <c r="CF97" s="6" t="inlineStr">
        <is>
          <t>To a moderate extent</t>
        </is>
      </c>
      <c r="CG97" s="6" t="n"/>
      <c r="CH97" s="6" t="inlineStr">
        <is>
          <t>No</t>
        </is>
      </c>
      <c r="CI97" s="6" t="inlineStr">
        <is>
          <t>No</t>
        </is>
      </c>
      <c r="CJ97" s="6" t="n"/>
      <c r="CK97" s="6" t="n"/>
      <c r="CL97" s="6" t="n"/>
      <c r="CM97" s="6" t="n"/>
      <c r="CN97" s="6" t="n"/>
      <c r="CO97" s="6" t="n"/>
      <c r="CP97" s="6" t="n"/>
      <c r="CQ97" s="6" t="n"/>
      <c r="CR97" s="6" t="n"/>
      <c r="CS97" s="6" t="n"/>
      <c r="CT97" s="6" t="n"/>
      <c r="CU97" s="6" t="n"/>
      <c r="CV97" s="6" t="n"/>
      <c r="CW97" s="6" t="n"/>
      <c r="CX97" s="6" t="n"/>
      <c r="CY97" s="6" t="n"/>
      <c r="CZ97" s="6" t="n"/>
      <c r="DA97" s="6" t="n"/>
      <c r="DB97" s="6" t="n"/>
      <c r="DC97" s="6" t="n"/>
      <c r="DD97" s="6" t="n"/>
      <c r="DE97" s="6" t="n"/>
      <c r="DF97" s="6" t="n"/>
      <c r="DG97" s="6" t="n"/>
      <c r="DH97" s="6" t="n"/>
      <c r="DI97" s="6" t="n"/>
      <c r="DJ97" s="6" t="n"/>
      <c r="DK97" s="6" t="n"/>
      <c r="DL97" s="6" t="n"/>
      <c r="DM97" s="6" t="n"/>
      <c r="DN97" s="6" t="n"/>
      <c r="DO97" s="6" t="n"/>
      <c r="DP97" s="6" t="inlineStr">
        <is>
          <t>My country is not eligible for an RSF arrangement</t>
        </is>
      </c>
      <c r="DQ97" s="6" t="n"/>
      <c r="DR97" s="6" t="n"/>
      <c r="DS97" s="6" t="n"/>
      <c r="DT97" s="6" t="n"/>
      <c r="DU97" s="6" t="n"/>
      <c r="DV97" s="6" t="n"/>
      <c r="DW97" s="6" t="inlineStr">
        <is>
          <t>No</t>
        </is>
      </c>
      <c r="DX97" s="6" t="n"/>
      <c r="DY97" s="6" t="n"/>
      <c r="DZ97" s="6" t="n"/>
      <c r="EA97" s="6" t="n"/>
      <c r="EB97" s="6" t="n"/>
      <c r="EC97" s="6" t="n"/>
      <c r="ED97" s="6" t="n"/>
      <c r="EE97" s="6" t="n"/>
      <c r="EF97" s="6" t="inlineStr">
        <is>
          <t>To a slight extent</t>
        </is>
      </c>
      <c r="EG97" s="6" t="inlineStr">
        <is>
          <t>Don’t know or not applicable</t>
        </is>
      </c>
      <c r="EH97" s="6" t="inlineStr">
        <is>
          <t>Don’t know or not applicable</t>
        </is>
      </c>
      <c r="EI97" s="6" t="inlineStr">
        <is>
          <t>To a great extent</t>
        </is>
      </c>
      <c r="EJ97" s="6" t="inlineStr">
        <is>
          <t>Don’t know or not applicable</t>
        </is>
      </c>
      <c r="EK97" s="6" t="inlineStr">
        <is>
          <t>Not at all</t>
        </is>
      </c>
      <c r="EL97" s="6" t="inlineStr">
        <is>
          <t>Don’t know or not applicable</t>
        </is>
      </c>
      <c r="EM97" s="6" t="n"/>
      <c r="EN97" s="6" t="n"/>
      <c r="EO97" s="6" t="n"/>
      <c r="EP97" s="6" t="n"/>
      <c r="EQ97" s="6" t="inlineStr">
        <is>
          <t>Not at all</t>
        </is>
      </c>
      <c r="ER97" s="6" t="inlineStr">
        <is>
          <t>To a slight extent</t>
        </is>
      </c>
      <c r="ES97" s="6" t="n"/>
      <c r="ET97" s="6" t="n"/>
      <c r="EU97" s="6" t="n"/>
      <c r="EV97" s="6" t="n"/>
      <c r="EW97" s="6" t="n"/>
      <c r="EX97" s="6" t="n"/>
      <c r="EY97" s="6" t="n"/>
      <c r="EZ97" s="6" t="n"/>
      <c r="FA97" s="6" t="n"/>
      <c r="FB97" s="6" t="n"/>
      <c r="FC97" s="6" t="n"/>
      <c r="FD97" s="6" t="n"/>
      <c r="FE97" s="6" t="n"/>
      <c r="FF97" s="6" t="n"/>
      <c r="FG97" s="6" t="n"/>
      <c r="FH97" s="6" t="inlineStr">
        <is>
          <t>To a great extent</t>
        </is>
      </c>
      <c r="FI97" s="6" t="inlineStr">
        <is>
          <t>Don’t know or not applicable</t>
        </is>
      </c>
      <c r="FJ97" s="6" t="inlineStr">
        <is>
          <t>Not at all</t>
        </is>
      </c>
      <c r="FK97" s="6" t="inlineStr">
        <is>
          <t>Don’t know or not applicable</t>
        </is>
      </c>
      <c r="FL97" s="6" t="inlineStr">
        <is>
          <t>To a slight extent</t>
        </is>
      </c>
      <c r="FM97" s="6" t="inlineStr">
        <is>
          <t>Don’t know or not applicable</t>
        </is>
      </c>
      <c r="FN97" s="6" t="inlineStr">
        <is>
          <t>Don’t know or not applicable</t>
        </is>
      </c>
      <c r="FO97" s="6" t="inlineStr">
        <is>
          <t>Not at all</t>
        </is>
      </c>
      <c r="FP97" s="6" t="inlineStr">
        <is>
          <t>Not at all</t>
        </is>
      </c>
      <c r="FQ97" s="6" t="inlineStr">
        <is>
          <t>Not at all</t>
        </is>
      </c>
      <c r="FR97" s="6" t="inlineStr">
        <is>
          <t>Don’t know or not applicable</t>
        </is>
      </c>
      <c r="FS97" s="6" t="inlineStr">
        <is>
          <t>Don’t know or not applicable</t>
        </is>
      </c>
      <c r="FT97" s="6" t="inlineStr">
        <is>
          <t>Don’t know or not applicable</t>
        </is>
      </c>
      <c r="FU97" s="6" t="inlineStr">
        <is>
          <t>Don’t know or not applicable</t>
        </is>
      </c>
      <c r="FV97" s="6" t="n"/>
      <c r="FW97" s="6" t="inlineStr">
        <is>
          <t>The IMF dedicated the appropriate amount of resources</t>
        </is>
      </c>
      <c r="FX97" s="6" t="n"/>
      <c r="FY97" s="6" t="inlineStr">
        <is>
          <t>To a moderate extent</t>
        </is>
      </c>
      <c r="FZ97" s="6" t="inlineStr">
        <is>
          <t>To a moderate extent</t>
        </is>
      </c>
      <c r="GA97" s="6" t="inlineStr">
        <is>
          <t>To a great extent</t>
        </is>
      </c>
      <c r="GB97" s="6" t="inlineStr">
        <is>
          <t>To a moderate extent</t>
        </is>
      </c>
      <c r="GC97" s="6" t="inlineStr">
        <is>
          <t>Don’t know or not applicable</t>
        </is>
      </c>
      <c r="GD97" s="6" t="n"/>
      <c r="GE97" s="6" t="inlineStr">
        <is>
          <t>To a moderate extent</t>
        </is>
      </c>
      <c r="GF97" s="6" t="inlineStr">
        <is>
          <t>To a great extent</t>
        </is>
      </c>
      <c r="GG97" s="6" t="inlineStr">
        <is>
          <t>To a moderate extent</t>
        </is>
      </c>
      <c r="GH97" s="6" t="inlineStr">
        <is>
          <t>To a great extent</t>
        </is>
      </c>
      <c r="GI97" s="6" t="inlineStr">
        <is>
          <t>To a great extent</t>
        </is>
      </c>
      <c r="GJ97" s="6" t="inlineStr">
        <is>
          <t>To a moderate extent</t>
        </is>
      </c>
      <c r="GK97" s="6" t="n"/>
      <c r="GL97" s="7">
        <f>DATE(2025,6,13)+TIME(10,24,18)</f>
        <v/>
      </c>
    </row>
    <row r="98" ht="409.5" customHeight="1">
      <c r="A98" s="3" t="inlineStr">
        <is>
          <t>Ahmed</t>
        </is>
      </c>
      <c r="B98" s="3" t="inlineStr">
        <is>
          <t>Larsson</t>
        </is>
      </c>
      <c r="C98" s="3" t="inlineStr">
        <is>
          <t>alarsson@organization.org</t>
        </is>
      </c>
      <c r="D98" s="3" t="inlineStr">
        <is>
          <t>KSL3C0W0D</t>
        </is>
      </c>
      <c r="E98" s="3" t="n"/>
      <c r="F98" s="3" t="inlineStr">
        <is>
          <t>OEDAP</t>
        </is>
      </c>
      <c r="G98" s="3" t="n"/>
      <c r="H98" s="3" t="n"/>
      <c r="I98" s="3" t="inlineStr">
        <is>
          <t>Vanuatu</t>
        </is>
      </c>
      <c r="J98" s="3" t="n"/>
      <c r="K98" s="3" t="n"/>
      <c r="L98" s="3" t="n"/>
      <c r="M98" s="3" t="n"/>
      <c r="N98" s="3" t="n"/>
      <c r="O98" s="3" t="n"/>
      <c r="P98" s="3" t="n"/>
      <c r="Q98" s="3" t="n"/>
      <c r="R98" s="3" t="n"/>
      <c r="S98" s="3" t="n"/>
      <c r="T98" s="3" t="n"/>
      <c r="U98" s="3" t="n"/>
      <c r="V98" s="3" t="n"/>
      <c r="W98" s="3" t="n"/>
      <c r="X98" s="3" t="n"/>
      <c r="Y98" s="3" t="n"/>
      <c r="Z98" s="3" t="n"/>
      <c r="AA98" s="3" t="n"/>
      <c r="AB98" s="3" t="n"/>
      <c r="AC98" s="3" t="n"/>
      <c r="AD98" s="3" t="n"/>
      <c r="AE98" s="3" t="n"/>
      <c r="AF98" s="4" t="inlineStr">
        <is>
          <t>Vanuatu</t>
        </is>
      </c>
      <c r="AG98" s="3" t="inlineStr">
        <is>
          <t>The IMF should engage a similar amount on climate change-related issues</t>
        </is>
      </c>
      <c r="AH98" s="3" t="inlineStr">
        <is>
          <t>To a great extent</t>
        </is>
      </c>
      <c r="AI98" s="3" t="inlineStr">
        <is>
          <t>To a great extent</t>
        </is>
      </c>
      <c r="AJ98" s="3" t="inlineStr">
        <is>
          <t>Don’t know or not applicable</t>
        </is>
      </c>
      <c r="AK98" s="3" t="inlineStr">
        <is>
          <t>To a slight extent</t>
        </is>
      </c>
      <c r="AL98" s="3" t="inlineStr">
        <is>
          <t>To a slight extent</t>
        </is>
      </c>
      <c r="AM98" s="3" t="inlineStr">
        <is>
          <t>Not at all</t>
        </is>
      </c>
      <c r="AN98" s="3" t="inlineStr">
        <is>
          <t>Not at all</t>
        </is>
      </c>
      <c r="AO98" s="3" t="inlineStr">
        <is>
          <t>Not at all</t>
        </is>
      </c>
      <c r="AP98" s="3" t="inlineStr">
        <is>
          <t>Not at all</t>
        </is>
      </c>
      <c r="AQ98" s="3" t="inlineStr">
        <is>
          <t>Not at all</t>
        </is>
      </c>
      <c r="AR98" s="3" t="inlineStr">
        <is>
          <t>To a slight extent</t>
        </is>
      </c>
      <c r="AS98" s="3" t="n"/>
      <c r="AT98" s="3" t="inlineStr">
        <is>
          <t>To a slight extent</t>
        </is>
      </c>
      <c r="AU98" s="3" t="inlineStr">
        <is>
          <t>To a great extent</t>
        </is>
      </c>
      <c r="AV98" s="3" t="inlineStr">
        <is>
          <t>Not at all</t>
        </is>
      </c>
      <c r="AW98" s="3" t="inlineStr">
        <is>
          <t>To a great extent</t>
        </is>
      </c>
      <c r="AX98" s="3" t="inlineStr">
        <is>
          <t>Don’t know or not applicable</t>
        </is>
      </c>
      <c r="AY98" s="3" t="inlineStr">
        <is>
          <t>Don’t know or not applicable</t>
        </is>
      </c>
      <c r="AZ98" s="3" t="inlineStr">
        <is>
          <t>To a great extent</t>
        </is>
      </c>
      <c r="BA98" s="3" t="inlineStr">
        <is>
          <t>Don’t know or not applicable</t>
        </is>
      </c>
      <c r="BB98" s="3" t="inlineStr">
        <is>
          <t>To a moderate extent</t>
        </is>
      </c>
      <c r="BC98" s="3" t="inlineStr">
        <is>
          <t>To a moderate extent</t>
        </is>
      </c>
      <c r="BD98" s="3" t="inlineStr">
        <is>
          <t>Don’t know or not applicable</t>
        </is>
      </c>
      <c r="BE98" s="3" t="inlineStr">
        <is>
          <t>Don’t know or not applicable</t>
        </is>
      </c>
      <c r="BF98" s="3" t="inlineStr">
        <is>
          <t>Don’t know or not applicable</t>
        </is>
      </c>
      <c r="BG98" s="3" t="inlineStr">
        <is>
          <t>Don’t know or not applicable</t>
        </is>
      </c>
      <c r="BH98" s="3" t="inlineStr">
        <is>
          <t>Don’t know or not applicable</t>
        </is>
      </c>
      <c r="BI98" s="3" t="inlineStr">
        <is>
          <t>Don’t know or not applicable</t>
        </is>
      </c>
      <c r="BJ98" s="3" t="inlineStr">
        <is>
          <t>Don’t know or not applicable</t>
        </is>
      </c>
      <c r="BK98" s="3" t="inlineStr">
        <is>
          <t>Don’t know or not applicable</t>
        </is>
      </c>
      <c r="BL98" s="3" t="inlineStr">
        <is>
          <t>Don’t know or not applicable</t>
        </is>
      </c>
      <c r="BM98" s="3" t="inlineStr">
        <is>
          <t>Don’t know or not applicable</t>
        </is>
      </c>
      <c r="BN98" s="3" t="inlineStr">
        <is>
          <t>Don’t know or not applicable</t>
        </is>
      </c>
      <c r="BO98" s="3" t="inlineStr">
        <is>
          <t>To a great extent</t>
        </is>
      </c>
      <c r="BP98" s="3" t="inlineStr">
        <is>
          <t>To a great extent</t>
        </is>
      </c>
      <c r="BQ98" s="3" t="inlineStr">
        <is>
          <t>Don’t know or not applicable</t>
        </is>
      </c>
      <c r="BR98" s="3" t="inlineStr">
        <is>
          <t>Don’t know or not applicable</t>
        </is>
      </c>
      <c r="BS98" s="3" t="n"/>
      <c r="BT98" s="3" t="inlineStr">
        <is>
          <t>The IMF dedicated an appropriate amount of resources</t>
        </is>
      </c>
      <c r="BU98" s="3" t="inlineStr">
        <is>
          <t>To a great extent</t>
        </is>
      </c>
      <c r="BV98" s="3" t="inlineStr">
        <is>
          <t>To a slight extent</t>
        </is>
      </c>
      <c r="BW98" s="3" t="inlineStr">
        <is>
          <t>To a great extent</t>
        </is>
      </c>
      <c r="BX98" s="3" t="inlineStr">
        <is>
          <t>To a moderate extent</t>
        </is>
      </c>
      <c r="BY98" s="3" t="inlineStr">
        <is>
          <t>To a moderate extent</t>
        </is>
      </c>
      <c r="BZ98" s="3" t="inlineStr">
        <is>
          <t>To a moderate extent</t>
        </is>
      </c>
      <c r="CA98" s="3" t="inlineStr">
        <is>
          <t>Don’t know or not applicable</t>
        </is>
      </c>
      <c r="CB98" s="3" t="inlineStr">
        <is>
          <t>Don’t know or not applicable</t>
        </is>
      </c>
      <c r="CC98" s="3" t="inlineStr">
        <is>
          <t>Don’t know or not applicable</t>
        </is>
      </c>
      <c r="CD98" s="3" t="inlineStr">
        <is>
          <t>To a moderate extent</t>
        </is>
      </c>
      <c r="CE98" s="3" t="inlineStr">
        <is>
          <t>To a moderate extent</t>
        </is>
      </c>
      <c r="CF98" s="3" t="inlineStr">
        <is>
          <t>To a moderate extent</t>
        </is>
      </c>
      <c r="CG98" s="3" t="n"/>
      <c r="CH98" s="3" t="inlineStr">
        <is>
          <t>No</t>
        </is>
      </c>
      <c r="CI98" s="3" t="inlineStr">
        <is>
          <t>No</t>
        </is>
      </c>
      <c r="CJ98" s="3" t="n"/>
      <c r="CK98" s="3" t="n"/>
      <c r="CL98" s="3" t="n"/>
      <c r="CM98" s="3" t="n"/>
      <c r="CN98" s="3" t="n"/>
      <c r="CO98" s="3" t="n"/>
      <c r="CP98" s="3" t="n"/>
      <c r="CQ98" s="3" t="n"/>
      <c r="CR98" s="3" t="n"/>
      <c r="CS98" s="3" t="n"/>
      <c r="CT98" s="3" t="n"/>
      <c r="CU98" s="3" t="n"/>
      <c r="CV98" s="3" t="n"/>
      <c r="CW98" s="3" t="n"/>
      <c r="CX98" s="3" t="n"/>
      <c r="CY98" s="3" t="n"/>
      <c r="CZ98" s="3" t="n"/>
      <c r="DA98" s="3" t="n"/>
      <c r="DB98" s="3" t="n"/>
      <c r="DC98" s="3" t="n"/>
      <c r="DD98" s="3" t="n"/>
      <c r="DE98" s="3" t="n"/>
      <c r="DF98" s="3" t="n"/>
      <c r="DG98" s="3" t="n"/>
      <c r="DH98" s="3" t="n"/>
      <c r="DI98" s="3" t="n"/>
      <c r="DJ98" s="3" t="n"/>
      <c r="DK98" s="3" t="n"/>
      <c r="DL98" s="3" t="n"/>
      <c r="DM98" s="3" t="n"/>
      <c r="DN98" s="3" t="n"/>
      <c r="DO98" s="3" t="n"/>
      <c r="DP98" s="3" t="n"/>
      <c r="DQ98" s="3" t="n"/>
      <c r="DR98" s="3" t="n"/>
      <c r="DS98" s="3" t="inlineStr">
        <is>
          <t>More convenient alternative financing options</t>
        </is>
      </c>
      <c r="DT98" s="3" t="n"/>
      <c r="DU98" s="3" t="inlineStr">
        <is>
          <t>An RSF arrangement would have been useful, but my country had no balance of payments issues/did not need/was not willing to commit to the underlying UCT program</t>
        </is>
      </c>
      <c r="DV98" s="3" t="inlineStr">
        <is>
          <t>Other (please specify) : Available financing amount is small.</t>
        </is>
      </c>
      <c r="DW98" s="3" t="inlineStr">
        <is>
          <t>No</t>
        </is>
      </c>
      <c r="DX98" s="3" t="n"/>
      <c r="DY98" s="3" t="n"/>
      <c r="DZ98" s="3" t="n"/>
      <c r="EA98" s="3" t="n"/>
      <c r="EB98" s="3" t="n"/>
      <c r="EC98" s="3" t="n"/>
      <c r="ED98" s="3" t="n"/>
      <c r="EE98" s="3" t="n"/>
      <c r="EF98" s="3" t="inlineStr">
        <is>
          <t>Not at all</t>
        </is>
      </c>
      <c r="EG98" s="3" t="inlineStr">
        <is>
          <t>Not at all</t>
        </is>
      </c>
      <c r="EH98" s="3" t="inlineStr">
        <is>
          <t>Not at all</t>
        </is>
      </c>
      <c r="EI98" s="3" t="inlineStr">
        <is>
          <t>Not at all</t>
        </is>
      </c>
      <c r="EJ98" s="3" t="inlineStr">
        <is>
          <t>Not at all</t>
        </is>
      </c>
      <c r="EK98" s="3" t="inlineStr">
        <is>
          <t>Not at all</t>
        </is>
      </c>
      <c r="EL98" s="3" t="inlineStr">
        <is>
          <t>Not at all</t>
        </is>
      </c>
      <c r="EM98" s="3" t="n"/>
      <c r="EN98" s="3" t="n"/>
      <c r="EO98" s="3" t="n"/>
      <c r="EP98" s="3" t="n"/>
      <c r="EQ98" s="3" t="inlineStr">
        <is>
          <t>Not at all</t>
        </is>
      </c>
      <c r="ER98" s="3" t="inlineStr">
        <is>
          <t>Not at all</t>
        </is>
      </c>
      <c r="ES98" s="3" t="n"/>
      <c r="ET98" s="3" t="n"/>
      <c r="EU98" s="3" t="n"/>
      <c r="EV98" s="3" t="n"/>
      <c r="EW98" s="3" t="n"/>
      <c r="EX98" s="3" t="n"/>
      <c r="EY98" s="3" t="n"/>
      <c r="EZ98" s="3" t="n"/>
      <c r="FA98" s="3" t="n"/>
      <c r="FB98" s="3" t="n"/>
      <c r="FC98" s="3" t="n"/>
      <c r="FD98" s="3" t="n"/>
      <c r="FE98" s="3" t="n"/>
      <c r="FF98" s="3" t="n"/>
      <c r="FG98" s="3" t="n"/>
      <c r="FH98" s="3" t="n"/>
      <c r="FI98" s="3" t="n"/>
      <c r="FJ98" s="3" t="n"/>
      <c r="FK98" s="3" t="n"/>
      <c r="FL98" s="3" t="n"/>
      <c r="FM98" s="3" t="n"/>
      <c r="FN98" s="3" t="n"/>
      <c r="FO98" s="3" t="n"/>
      <c r="FP98" s="3" t="n"/>
      <c r="FQ98" s="3" t="n"/>
      <c r="FR98" s="3" t="n"/>
      <c r="FS98" s="3" t="n"/>
      <c r="FT98" s="3" t="n"/>
      <c r="FU98" s="3" t="n"/>
      <c r="FV98" s="3" t="n"/>
      <c r="FW98" s="3" t="n"/>
      <c r="FX98" s="3" t="n"/>
      <c r="FY98" s="3" t="inlineStr">
        <is>
          <t>Not at all</t>
        </is>
      </c>
      <c r="FZ98" s="3" t="inlineStr">
        <is>
          <t>To a great extent</t>
        </is>
      </c>
      <c r="GA98" s="3" t="inlineStr">
        <is>
          <t>To a great extent</t>
        </is>
      </c>
      <c r="GB98" s="3" t="inlineStr">
        <is>
          <t>To a moderate extent</t>
        </is>
      </c>
      <c r="GC98" s="3" t="inlineStr">
        <is>
          <t>Don’t know or not applicable</t>
        </is>
      </c>
      <c r="GD98" s="3" t="n"/>
      <c r="GE98" s="3" t="inlineStr">
        <is>
          <t>To a moderate extent</t>
        </is>
      </c>
      <c r="GF98" s="3" t="inlineStr">
        <is>
          <t>To a great extent</t>
        </is>
      </c>
      <c r="GG98" s="3" t="inlineStr">
        <is>
          <t>To a great extent</t>
        </is>
      </c>
      <c r="GH98" s="3" t="inlineStr">
        <is>
          <t>To a slight extent</t>
        </is>
      </c>
      <c r="GI98" s="3" t="inlineStr">
        <is>
          <t>To a great extent</t>
        </is>
      </c>
      <c r="GJ98" s="3" t="inlineStr">
        <is>
          <t>To a great extent</t>
        </is>
      </c>
      <c r="GK98" s="3" t="inlineStr">
        <is>
          <t>IMF needs to take a different approach on climate change related issues are they affect small developing states, and particularly remote island states that are highly vulnerable to the impacts of climate change. IMF resources for climate change seem to disproportionately go towards supporting RSF programs -- small island states do not benefit from the RSF (do not have UCT arrangements, amount of financing available is linked to quota and therefore small, more generous financing is available through other partners, and there is a greater focus on mitigation when adaptation is more important to small islands states). The IMF's work on climate change needs to reinforce cooperation between advanced economies to enact mitigation, and to unlock climate financing to support LICs and small developing states.</t>
        </is>
      </c>
      <c r="GL98" s="5">
        <f>DATE(2025,6,13)+TIME(11,25,25)</f>
        <v/>
      </c>
    </row>
    <row r="99" ht="409.5" customHeight="1">
      <c r="A99" s="6" t="inlineStr">
        <is>
          <t>Leila</t>
        </is>
      </c>
      <c r="B99" s="6" t="inlineStr">
        <is>
          <t>Torres</t>
        </is>
      </c>
      <c r="C99" s="6" t="inlineStr">
        <is>
          <t>ltorres@organization.org</t>
        </is>
      </c>
      <c r="D99" s="6" t="inlineStr">
        <is>
          <t>1G2V9J12Z</t>
        </is>
      </c>
      <c r="E99" s="6" t="n"/>
      <c r="F99" s="6" t="inlineStr">
        <is>
          <t>OEDUK</t>
        </is>
      </c>
      <c r="G99" s="6" t="n"/>
      <c r="H99" s="6" t="n"/>
      <c r="I99" s="6" t="n"/>
      <c r="J99" s="6" t="n"/>
      <c r="K99" s="6" t="n"/>
      <c r="L99" s="6" t="n"/>
      <c r="M99" s="6" t="n"/>
      <c r="N99" s="6" t="n"/>
      <c r="O99" s="6" t="n"/>
      <c r="P99" s="6" t="n"/>
      <c r="Q99" s="6" t="n"/>
      <c r="R99" s="6" t="n"/>
      <c r="S99" s="6" t="n"/>
      <c r="T99" s="6" t="n"/>
      <c r="U99" s="6" t="n"/>
      <c r="V99" s="6" t="n"/>
      <c r="W99" s="6" t="n"/>
      <c r="X99" s="6" t="n"/>
      <c r="Y99" s="6" t="n"/>
      <c r="Z99" s="6" t="n"/>
      <c r="AA99" s="6" t="n"/>
      <c r="AB99" s="6" t="n"/>
      <c r="AC99" s="6" t="n"/>
      <c r="AD99" s="6" t="inlineStr">
        <is>
          <t>United Kingdom</t>
        </is>
      </c>
      <c r="AE99" s="6" t="n"/>
      <c r="AF99" s="4" t="inlineStr">
        <is>
          <t>United Kingdom</t>
        </is>
      </c>
      <c r="AG99" s="6" t="inlineStr">
        <is>
          <t>The IMF should engage a similar amount on climate change-related issues</t>
        </is>
      </c>
      <c r="AH99" s="6" t="inlineStr">
        <is>
          <t>To a great extent</t>
        </is>
      </c>
      <c r="AI99" s="6" t="inlineStr">
        <is>
          <t>To a great extent</t>
        </is>
      </c>
      <c r="AJ99" s="6" t="inlineStr">
        <is>
          <t>To a great extent</t>
        </is>
      </c>
      <c r="AK99" s="6" t="inlineStr">
        <is>
          <t>To a great extent</t>
        </is>
      </c>
      <c r="AL99" s="6" t="inlineStr">
        <is>
          <t>To a great extent</t>
        </is>
      </c>
      <c r="AM99" s="6" t="inlineStr">
        <is>
          <t>Don’t know or not applicable</t>
        </is>
      </c>
      <c r="AN99" s="6" t="inlineStr">
        <is>
          <t>Don’t know or not applicable</t>
        </is>
      </c>
      <c r="AO99" s="6" t="inlineStr">
        <is>
          <t>Don’t know or not applicable</t>
        </is>
      </c>
      <c r="AP99" s="6" t="inlineStr">
        <is>
          <t>To a great extent</t>
        </is>
      </c>
      <c r="AQ99" s="6" t="inlineStr">
        <is>
          <t>To a great extent</t>
        </is>
      </c>
      <c r="AR99" s="6" t="inlineStr">
        <is>
          <t>To a moderate extent</t>
        </is>
      </c>
      <c r="AS99" s="6" t="n"/>
      <c r="AT99" s="6" t="inlineStr">
        <is>
          <t>To a slight extent</t>
        </is>
      </c>
      <c r="AU99" s="6" t="inlineStr">
        <is>
          <t>To a slight extent</t>
        </is>
      </c>
      <c r="AV99" s="6" t="inlineStr">
        <is>
          <t>Not at all</t>
        </is>
      </c>
      <c r="AW99" s="6" t="inlineStr">
        <is>
          <t>To a moderate extent</t>
        </is>
      </c>
      <c r="AX99" s="6" t="inlineStr">
        <is>
          <t>To a moderate extent</t>
        </is>
      </c>
      <c r="AY99" s="6" t="inlineStr">
        <is>
          <t>To a great extent</t>
        </is>
      </c>
      <c r="AZ99" s="6" t="inlineStr">
        <is>
          <t>To a slight extent</t>
        </is>
      </c>
      <c r="BA99" s="6" t="inlineStr">
        <is>
          <t>Not at all</t>
        </is>
      </c>
      <c r="BB99" s="6" t="inlineStr">
        <is>
          <t>To a moderate extent</t>
        </is>
      </c>
      <c r="BC99" s="6" t="inlineStr">
        <is>
          <t>To a moderate extent</t>
        </is>
      </c>
      <c r="BD99" s="6" t="inlineStr">
        <is>
          <t>To a great extent</t>
        </is>
      </c>
      <c r="BE99" s="6" t="inlineStr">
        <is>
          <t>To a slight extent</t>
        </is>
      </c>
      <c r="BF99" s="6" t="inlineStr">
        <is>
          <t>Not at all</t>
        </is>
      </c>
      <c r="BG99" s="6" t="inlineStr">
        <is>
          <t>To a moderate extent</t>
        </is>
      </c>
      <c r="BH99" s="6" t="inlineStr">
        <is>
          <t>To a moderate extent</t>
        </is>
      </c>
      <c r="BI99" s="6" t="inlineStr">
        <is>
          <t>To a great extent</t>
        </is>
      </c>
      <c r="BJ99" s="6" t="inlineStr">
        <is>
          <t>To a slight extent</t>
        </is>
      </c>
      <c r="BK99" s="6" t="inlineStr">
        <is>
          <t>Not at all</t>
        </is>
      </c>
      <c r="BL99" s="6" t="inlineStr">
        <is>
          <t>To a moderate extent</t>
        </is>
      </c>
      <c r="BM99" s="6" t="inlineStr">
        <is>
          <t>To a moderate extent</t>
        </is>
      </c>
      <c r="BN99" s="6" t="inlineStr">
        <is>
          <t>To a great extent</t>
        </is>
      </c>
      <c r="BO99" s="6" t="inlineStr">
        <is>
          <t>To a slight extent</t>
        </is>
      </c>
      <c r="BP99" s="6" t="inlineStr">
        <is>
          <t>To a slight extent</t>
        </is>
      </c>
      <c r="BQ99" s="6" t="inlineStr">
        <is>
          <t>To a slight extent</t>
        </is>
      </c>
      <c r="BR99" s="6" t="inlineStr">
        <is>
          <t>To a great extent</t>
        </is>
      </c>
      <c r="BS99" s="6" t="inlineStr">
        <is>
          <t>The IMF's work to support the NGFS workstream on monetary policy has helped to influence the debate on shorter-run impacts of climate change at the horizon relevant for monetary policy.</t>
        </is>
      </c>
      <c r="BT99" s="6" t="inlineStr">
        <is>
          <t>The IMF dedicated an appropriate amount of resources</t>
        </is>
      </c>
      <c r="BU99" s="6" t="inlineStr">
        <is>
          <t>To a moderate extent</t>
        </is>
      </c>
      <c r="BV99" s="6" t="inlineStr">
        <is>
          <t>To a moderate extent</t>
        </is>
      </c>
      <c r="BW99" s="6" t="inlineStr">
        <is>
          <t>To a moderate extent</t>
        </is>
      </c>
      <c r="BX99" s="6" t="inlineStr">
        <is>
          <t>To a moderate extent</t>
        </is>
      </c>
      <c r="BY99" s="6" t="inlineStr">
        <is>
          <t>To a moderate extent</t>
        </is>
      </c>
      <c r="BZ99" s="6" t="inlineStr">
        <is>
          <t>To a moderate extent</t>
        </is>
      </c>
      <c r="CA99" s="6" t="inlineStr">
        <is>
          <t>To a moderate extent</t>
        </is>
      </c>
      <c r="CB99" s="6" t="inlineStr">
        <is>
          <t>To a moderate extent</t>
        </is>
      </c>
      <c r="CC99" s="6" t="inlineStr">
        <is>
          <t>To a moderate extent</t>
        </is>
      </c>
      <c r="CD99" s="6" t="inlineStr">
        <is>
          <t>To a moderate extent</t>
        </is>
      </c>
      <c r="CE99" s="6" t="inlineStr">
        <is>
          <t>To a moderate extent</t>
        </is>
      </c>
      <c r="CF99" s="6" t="inlineStr">
        <is>
          <t>To a moderate extent</t>
        </is>
      </c>
      <c r="CG99" s="6" t="n"/>
      <c r="CH99" s="6" t="inlineStr">
        <is>
          <t>No</t>
        </is>
      </c>
      <c r="CI99" s="6" t="inlineStr">
        <is>
          <t>No</t>
        </is>
      </c>
      <c r="CJ99" s="6" t="n"/>
      <c r="CK99" s="6" t="n"/>
      <c r="CL99" s="6" t="n"/>
      <c r="CM99" s="6" t="n"/>
      <c r="CN99" s="6" t="n"/>
      <c r="CO99" s="6" t="n"/>
      <c r="CP99" s="6" t="n"/>
      <c r="CQ99" s="6" t="n"/>
      <c r="CR99" s="6" t="n"/>
      <c r="CS99" s="6" t="n"/>
      <c r="CT99" s="6" t="n"/>
      <c r="CU99" s="6" t="n"/>
      <c r="CV99" s="6" t="n"/>
      <c r="CW99" s="6" t="n"/>
      <c r="CX99" s="6" t="n"/>
      <c r="CY99" s="6" t="n"/>
      <c r="CZ99" s="6" t="n"/>
      <c r="DA99" s="6" t="n"/>
      <c r="DB99" s="6" t="n"/>
      <c r="DC99" s="6" t="n"/>
      <c r="DD99" s="6" t="n"/>
      <c r="DE99" s="6" t="n"/>
      <c r="DF99" s="6" t="n"/>
      <c r="DG99" s="6" t="n"/>
      <c r="DH99" s="6" t="n"/>
      <c r="DI99" s="6" t="n"/>
      <c r="DJ99" s="6" t="n"/>
      <c r="DK99" s="6" t="n"/>
      <c r="DL99" s="6" t="n"/>
      <c r="DM99" s="6" t="n"/>
      <c r="DN99" s="6" t="n"/>
      <c r="DO99" s="6" t="n"/>
      <c r="DP99" s="6" t="inlineStr">
        <is>
          <t>My country is not eligible for an RSF arrangement</t>
        </is>
      </c>
      <c r="DQ99" s="6" t="n"/>
      <c r="DR99" s="6" t="n"/>
      <c r="DS99" s="6" t="n"/>
      <c r="DT99" s="6" t="n"/>
      <c r="DU99" s="6" t="n"/>
      <c r="DV99" s="6" t="n"/>
      <c r="DW99" s="6" t="inlineStr">
        <is>
          <t>No</t>
        </is>
      </c>
      <c r="DX99" s="6" t="n"/>
      <c r="DY99" s="6" t="n"/>
      <c r="DZ99" s="6" t="n"/>
      <c r="EA99" s="6" t="n"/>
      <c r="EB99" s="6" t="n"/>
      <c r="EC99" s="6" t="n"/>
      <c r="ED99" s="6" t="n"/>
      <c r="EE99" s="6" t="n"/>
      <c r="EF99" s="6" t="inlineStr">
        <is>
          <t>To a great extent</t>
        </is>
      </c>
      <c r="EG99" s="6" t="inlineStr">
        <is>
          <t>To a moderate extent</t>
        </is>
      </c>
      <c r="EH99" s="6" t="inlineStr">
        <is>
          <t>Not at all</t>
        </is>
      </c>
      <c r="EI99" s="6" t="inlineStr">
        <is>
          <t>To a great extent</t>
        </is>
      </c>
      <c r="EJ99" s="6" t="inlineStr">
        <is>
          <t>Don’t know or not applicable</t>
        </is>
      </c>
      <c r="EK99" s="6" t="inlineStr">
        <is>
          <t>Not at all</t>
        </is>
      </c>
      <c r="EL99" s="6" t="inlineStr">
        <is>
          <t>Don’t know or not applicable</t>
        </is>
      </c>
      <c r="EM99" s="6" t="n"/>
      <c r="EN99" s="6" t="n"/>
      <c r="EO99" s="6" t="n"/>
      <c r="EP99" s="6" t="n"/>
      <c r="EQ99" s="6" t="inlineStr">
        <is>
          <t>Not at all</t>
        </is>
      </c>
      <c r="ER99" s="6" t="inlineStr">
        <is>
          <t>To a slight extent</t>
        </is>
      </c>
      <c r="ES99" s="6" t="n"/>
      <c r="ET99" s="6" t="n"/>
      <c r="EU99" s="6" t="n"/>
      <c r="EV99" s="6" t="n"/>
      <c r="EW99" s="6" t="n"/>
      <c r="EX99" s="6" t="n"/>
      <c r="EY99" s="6" t="n"/>
      <c r="EZ99" s="6" t="n"/>
      <c r="FA99" s="6" t="n"/>
      <c r="FB99" s="6" t="n"/>
      <c r="FC99" s="6" t="n"/>
      <c r="FD99" s="6" t="n"/>
      <c r="FE99" s="6" t="n"/>
      <c r="FF99" s="6" t="n"/>
      <c r="FG99" s="6" t="n"/>
      <c r="FH99" s="6" t="inlineStr">
        <is>
          <t>To a moderate extent</t>
        </is>
      </c>
      <c r="FI99" s="6" t="inlineStr">
        <is>
          <t>To a moderate extent</t>
        </is>
      </c>
      <c r="FJ99" s="6" t="inlineStr">
        <is>
          <t>Not at all</t>
        </is>
      </c>
      <c r="FK99" s="6" t="inlineStr">
        <is>
          <t>Don’t know or not applicable</t>
        </is>
      </c>
      <c r="FL99" s="6" t="inlineStr">
        <is>
          <t>Don’t know or not applicable</t>
        </is>
      </c>
      <c r="FM99" s="6" t="inlineStr">
        <is>
          <t>Don’t know or not applicable</t>
        </is>
      </c>
      <c r="FN99" s="6" t="inlineStr">
        <is>
          <t>Don’t know or not applicable</t>
        </is>
      </c>
      <c r="FO99" s="6" t="inlineStr">
        <is>
          <t>Don’t know or not applicable</t>
        </is>
      </c>
      <c r="FP99" s="6" t="inlineStr">
        <is>
          <t>Don’t know or not applicable</t>
        </is>
      </c>
      <c r="FQ99" s="6" t="inlineStr">
        <is>
          <t>Don’t know or not applicable</t>
        </is>
      </c>
      <c r="FR99" s="6" t="inlineStr">
        <is>
          <t>Don’t know or not applicable</t>
        </is>
      </c>
      <c r="FS99" s="6" t="inlineStr">
        <is>
          <t>Don’t know or not applicable</t>
        </is>
      </c>
      <c r="FT99" s="6" t="inlineStr">
        <is>
          <t>Don’t know or not applicable</t>
        </is>
      </c>
      <c r="FU99" s="6" t="n"/>
      <c r="FV99" s="6" t="n"/>
      <c r="FW99" s="6" t="inlineStr">
        <is>
          <t>The IMF dedicated the appropriate amount of resources</t>
        </is>
      </c>
      <c r="FX99" s="6" t="n"/>
      <c r="FY99" s="6" t="inlineStr">
        <is>
          <t>To a moderate extent</t>
        </is>
      </c>
      <c r="FZ99" s="6" t="inlineStr">
        <is>
          <t>To a moderate extent</t>
        </is>
      </c>
      <c r="GA99" s="6" t="inlineStr">
        <is>
          <t>To a great extent</t>
        </is>
      </c>
      <c r="GB99" s="6" t="inlineStr">
        <is>
          <t>To a slight extent</t>
        </is>
      </c>
      <c r="GC99" s="6" t="n"/>
      <c r="GD99" s="6" t="n"/>
      <c r="GE99" s="6" t="inlineStr">
        <is>
          <t>Don’t know or not applicable</t>
        </is>
      </c>
      <c r="GF99" s="6" t="inlineStr">
        <is>
          <t>Don’t know or not applicable</t>
        </is>
      </c>
      <c r="GG99" s="6" t="inlineStr">
        <is>
          <t>Don’t know or not applicable</t>
        </is>
      </c>
      <c r="GH99" s="6" t="inlineStr">
        <is>
          <t>Don’t know or not applicable</t>
        </is>
      </c>
      <c r="GI99" s="6" t="inlineStr">
        <is>
          <t>Don’t know or not applicable</t>
        </is>
      </c>
      <c r="GJ99" s="6" t="inlineStr">
        <is>
          <t>Don’t know or not applicable</t>
        </is>
      </c>
      <c r="GK99" s="6" t="inlineStr">
        <is>
          <t>We continue to view climate change and associated policies as central to the IMF's work, and appreciate the efforts to mainstream climate mitigation, adaptation and transition issues into all aspects of the IMF's work. We also believe that the IMF has a key role to play - via the RST - in supporting vulnerable countries to build resilience to longer-term BoP challenges and ensure a strong and sustainable recovery. 
Areas where we've found IMF engagement to be useful include (but are not limited to): 
- laying out analysis of the impacts of climate change in flagships and Article IVs/FSAPs.
- building a rigorous analytical knowledge base to support surveillance and lending (e.g. research on quantifying the impact on sovereign risk, as well as statistical / modelling initiatives such as the Climate Change Indicators Dashboard and the DIGNAD model).
- the contribution to international working groups incl. in the NGFS and G7/G20.
- continuing to improve the analysis of climate challenges in LICs.
- capacity building and training efforts, particularly the specialisation on the macroeconomics of climate change.
Areas where we think the IMF can engage more/add more value include (but again are not limited to):
- integrating climate considerations more rigorously into its macro policy advice (e.g. in fiscal or prudential policy). 
- considering the implications of climate policies on cross-border capital flows.
- weighing up the balance of mitigation vs adaptation reform measures in RSF arrangements. 
- strengthening policy-level coordination in RSF countries.
Finally, we had some comments on the survey itself: 
- Q10. We thought this was strangely worded. We don't think the IMF should "pick winners" between mitigation, adaptation or transition issues in a generic sense. We recognise that each area is inherently complex, but we believe (as with other topics) that staff should look at these issues in an integrated way and then (for e.g. in the context of an Article IV consultation) choose a specific area of focus based on its relevance to a country, amongst other considerations.
- Questions around RSF design (Q14-15). We thought some of the questions on design features were difficult to answer in isolation, as they also impact on the design of the UCT program and will be a focus of the ongoing Review of Conditionality.
- Q25. We did not think this was relevant and so our answer should not be taken as indicative of a preference (or lack thereof). While of course we understand the importance of prioritisation, again, there are several considerations at play and so a simple mapping would not be appropriate.</t>
        </is>
      </c>
      <c r="GL99" s="7">
        <f>DATE(2025,6,13)+TIME(14,44,43)</f>
        <v/>
      </c>
    </row>
    <row r="100" ht="409.5" customHeight="1">
      <c r="A100" s="3" t="inlineStr">
        <is>
          <t>Carlos</t>
        </is>
      </c>
      <c r="B100" s="3" t="inlineStr">
        <is>
          <t>Tanaka</t>
        </is>
      </c>
      <c r="C100" s="3" t="inlineStr">
        <is>
          <t>ctanaka@organization.org</t>
        </is>
      </c>
      <c r="D100" s="3" t="inlineStr">
        <is>
          <t>90VZA6KTH</t>
        </is>
      </c>
      <c r="E100" s="3" t="n"/>
      <c r="F100" s="3" t="inlineStr">
        <is>
          <t>OEDNO</t>
        </is>
      </c>
      <c r="G100" s="3" t="n"/>
      <c r="H100" s="3" t="n"/>
      <c r="I100" s="3" t="n"/>
      <c r="J100" s="3" t="n"/>
      <c r="K100" s="3" t="n"/>
      <c r="L100" s="3" t="n"/>
      <c r="M100" s="3" t="n"/>
      <c r="N100" s="3" t="n"/>
      <c r="O100" s="3" t="n"/>
      <c r="P100" s="3" t="n"/>
      <c r="Q100" s="3" t="n"/>
      <c r="R100" s="3" t="n"/>
      <c r="S100" s="3" t="n"/>
      <c r="T100" s="3" t="n"/>
      <c r="U100" s="3" t="n"/>
      <c r="V100" s="3" t="n"/>
      <c r="W100" s="3" t="n"/>
      <c r="X100" s="3" t="n"/>
      <c r="Y100" s="3" t="inlineStr">
        <is>
          <t>Latvia</t>
        </is>
      </c>
      <c r="Z100" s="3" t="n"/>
      <c r="AA100" s="3" t="n"/>
      <c r="AB100" s="3" t="n"/>
      <c r="AC100" s="3" t="n"/>
      <c r="AD100" s="3" t="n"/>
      <c r="AE100" s="3" t="n"/>
      <c r="AF100" s="4" t="inlineStr">
        <is>
          <t>Latvia</t>
        </is>
      </c>
      <c r="AG100" s="3" t="inlineStr">
        <is>
          <t>The IMF should engage a similar amount on climate change-related issues</t>
        </is>
      </c>
      <c r="AH100" s="3" t="inlineStr">
        <is>
          <t>To a slight extent</t>
        </is>
      </c>
      <c r="AI100" s="3" t="inlineStr">
        <is>
          <t>To a slight extent</t>
        </is>
      </c>
      <c r="AJ100" s="3" t="inlineStr">
        <is>
          <t>To a slight extent</t>
        </is>
      </c>
      <c r="AK100" s="3" t="inlineStr">
        <is>
          <t>To a moderate extent</t>
        </is>
      </c>
      <c r="AL100" s="3" t="inlineStr">
        <is>
          <t>To a moderate extent</t>
        </is>
      </c>
      <c r="AM100" s="3" t="inlineStr">
        <is>
          <t>Don’t know or not applicable</t>
        </is>
      </c>
      <c r="AN100" s="3" t="inlineStr">
        <is>
          <t>Don’t know or not applicable</t>
        </is>
      </c>
      <c r="AO100" s="3" t="inlineStr">
        <is>
          <t>Don’t know or not applicable</t>
        </is>
      </c>
      <c r="AP100" s="3" t="inlineStr">
        <is>
          <t>Don’t know or not applicable</t>
        </is>
      </c>
      <c r="AQ100" s="3" t="inlineStr">
        <is>
          <t>To a slight extent</t>
        </is>
      </c>
      <c r="AR100" s="3" t="inlineStr">
        <is>
          <t>To a moderate extent</t>
        </is>
      </c>
      <c r="AS100" s="3" t="n"/>
      <c r="AT100" s="3" t="inlineStr">
        <is>
          <t>To a slight extent</t>
        </is>
      </c>
      <c r="AU100" s="3" t="inlineStr">
        <is>
          <t>To a slight extent</t>
        </is>
      </c>
      <c r="AV100" s="3" t="inlineStr">
        <is>
          <t>Not at all</t>
        </is>
      </c>
      <c r="AW100" s="3" t="inlineStr">
        <is>
          <t>To a slight extent</t>
        </is>
      </c>
      <c r="AX100" s="3" t="inlineStr">
        <is>
          <t>To a slight extent</t>
        </is>
      </c>
      <c r="AY100" s="3" t="inlineStr">
        <is>
          <t>To a moderate extent</t>
        </is>
      </c>
      <c r="AZ100" s="3" t="inlineStr">
        <is>
          <t>To a moderate extent</t>
        </is>
      </c>
      <c r="BA100" s="3" t="inlineStr">
        <is>
          <t>To a slight extent</t>
        </is>
      </c>
      <c r="BB100" s="3" t="inlineStr">
        <is>
          <t>To a moderate extent</t>
        </is>
      </c>
      <c r="BC100" s="3" t="inlineStr">
        <is>
          <t>To a slight extent</t>
        </is>
      </c>
      <c r="BD100" s="3" t="inlineStr">
        <is>
          <t>To a moderate extent</t>
        </is>
      </c>
      <c r="BE100" s="3" t="inlineStr">
        <is>
          <t>Don’t know or not applicable</t>
        </is>
      </c>
      <c r="BF100" s="3" t="inlineStr">
        <is>
          <t>Don’t know or not applicable</t>
        </is>
      </c>
      <c r="BG100" s="3" t="inlineStr">
        <is>
          <t>Don’t know or not applicable</t>
        </is>
      </c>
      <c r="BH100" s="3" t="inlineStr">
        <is>
          <t>Don’t know or not applicable</t>
        </is>
      </c>
      <c r="BI100" s="3" t="inlineStr">
        <is>
          <t>Don’t know or not applicable</t>
        </is>
      </c>
      <c r="BJ100" s="3" t="inlineStr">
        <is>
          <t>To a moderate extent</t>
        </is>
      </c>
      <c r="BK100" s="3" t="inlineStr">
        <is>
          <t>To a slight extent</t>
        </is>
      </c>
      <c r="BL100" s="3" t="inlineStr">
        <is>
          <t>To a moderate extent</t>
        </is>
      </c>
      <c r="BM100" s="3" t="inlineStr">
        <is>
          <t>To a slight extent</t>
        </is>
      </c>
      <c r="BN100" s="3" t="inlineStr">
        <is>
          <t>To a moderate extent</t>
        </is>
      </c>
      <c r="BO100" s="3" t="inlineStr">
        <is>
          <t>To a moderate extent</t>
        </is>
      </c>
      <c r="BP100" s="3" t="inlineStr">
        <is>
          <t>Don’t know or not applicable</t>
        </is>
      </c>
      <c r="BQ100" s="3" t="inlineStr">
        <is>
          <t>Don’t know or not applicable</t>
        </is>
      </c>
      <c r="BR100" s="3" t="n"/>
      <c r="BS100" s="3" t="n"/>
      <c r="BT100" s="3" t="inlineStr">
        <is>
          <t>The IMF dedicated an appropriate amount of resources</t>
        </is>
      </c>
      <c r="BU100" s="3" t="inlineStr">
        <is>
          <t>To a moderate extent</t>
        </is>
      </c>
      <c r="BV100" s="3" t="inlineStr">
        <is>
          <t>To a moderate extent</t>
        </is>
      </c>
      <c r="BW100" s="3" t="inlineStr">
        <is>
          <t>To a moderate extent</t>
        </is>
      </c>
      <c r="BX100" s="3" t="inlineStr">
        <is>
          <t>To a moderate extent</t>
        </is>
      </c>
      <c r="BY100" s="3" t="inlineStr">
        <is>
          <t>To a moderate extent</t>
        </is>
      </c>
      <c r="BZ100" s="3" t="inlineStr">
        <is>
          <t>To a moderate extent</t>
        </is>
      </c>
      <c r="CA100" s="3" t="inlineStr">
        <is>
          <t>To a moderate extent</t>
        </is>
      </c>
      <c r="CB100" s="3" t="inlineStr">
        <is>
          <t>To a moderate extent</t>
        </is>
      </c>
      <c r="CC100" s="3" t="inlineStr">
        <is>
          <t>To a moderate extent</t>
        </is>
      </c>
      <c r="CD100" s="3" t="inlineStr">
        <is>
          <t>To a moderate extent</t>
        </is>
      </c>
      <c r="CE100" s="3" t="inlineStr">
        <is>
          <t>To a moderate extent</t>
        </is>
      </c>
      <c r="CF100" s="3" t="inlineStr">
        <is>
          <t>To a moderate extent</t>
        </is>
      </c>
      <c r="CG100" s="3" t="n"/>
      <c r="CH100" s="3" t="inlineStr">
        <is>
          <t>No</t>
        </is>
      </c>
      <c r="CI100" s="3" t="inlineStr">
        <is>
          <t>No</t>
        </is>
      </c>
      <c r="CJ100" s="3" t="n"/>
      <c r="CK100" s="3" t="n"/>
      <c r="CL100" s="3" t="n"/>
      <c r="CM100" s="3" t="n"/>
      <c r="CN100" s="3" t="n"/>
      <c r="CO100" s="3" t="n"/>
      <c r="CP100" s="3" t="n"/>
      <c r="CQ100" s="3" t="n"/>
      <c r="CR100" s="3" t="n"/>
      <c r="CS100" s="3" t="n"/>
      <c r="CT100" s="3" t="n"/>
      <c r="CU100" s="3" t="n"/>
      <c r="CV100" s="3" t="n"/>
      <c r="CW100" s="3" t="n"/>
      <c r="CX100" s="3" t="n"/>
      <c r="CY100" s="3" t="n"/>
      <c r="CZ100" s="3" t="n"/>
      <c r="DA100" s="3" t="n"/>
      <c r="DB100" s="3" t="n"/>
      <c r="DC100" s="3" t="n"/>
      <c r="DD100" s="3" t="n"/>
      <c r="DE100" s="3" t="n"/>
      <c r="DF100" s="3" t="n"/>
      <c r="DG100" s="3" t="n"/>
      <c r="DH100" s="3" t="n"/>
      <c r="DI100" s="3" t="n"/>
      <c r="DJ100" s="3" t="n"/>
      <c r="DK100" s="3" t="n"/>
      <c r="DL100" s="3" t="n"/>
      <c r="DM100" s="3" t="n"/>
      <c r="DN100" s="3" t="n"/>
      <c r="DO100" s="3" t="n"/>
      <c r="DP100" s="3" t="inlineStr">
        <is>
          <t>My country is not eligible for an RSF arrangement</t>
        </is>
      </c>
      <c r="DQ100" s="3" t="n"/>
      <c r="DR100" s="3" t="n"/>
      <c r="DS100" s="3" t="n"/>
      <c r="DT100" s="3" t="n"/>
      <c r="DU100" s="3" t="n"/>
      <c r="DV100" s="3" t="n"/>
      <c r="DW100" s="3" t="inlineStr">
        <is>
          <t>No</t>
        </is>
      </c>
      <c r="DX100" s="3" t="n"/>
      <c r="DY100" s="3" t="n"/>
      <c r="DZ100" s="3" t="n"/>
      <c r="EA100" s="3" t="n"/>
      <c r="EB100" s="3" t="n"/>
      <c r="EC100" s="3" t="n"/>
      <c r="ED100" s="3" t="n"/>
      <c r="EE100" s="3" t="n"/>
      <c r="EF100" s="3" t="inlineStr">
        <is>
          <t>To a great extent</t>
        </is>
      </c>
      <c r="EG100" s="3" t="inlineStr">
        <is>
          <t>Not at all</t>
        </is>
      </c>
      <c r="EH100" s="3" t="inlineStr">
        <is>
          <t>To a slight extent</t>
        </is>
      </c>
      <c r="EI100" s="3" t="inlineStr">
        <is>
          <t>To a great extent</t>
        </is>
      </c>
      <c r="EJ100" s="3" t="inlineStr">
        <is>
          <t>Not at all</t>
        </is>
      </c>
      <c r="EK100" s="3" t="inlineStr">
        <is>
          <t>Not at all</t>
        </is>
      </c>
      <c r="EL100" s="3" t="inlineStr">
        <is>
          <t>Not at all</t>
        </is>
      </c>
      <c r="EM100" s="3" t="n"/>
      <c r="EN100" s="3" t="n"/>
      <c r="EO100" s="3" t="n"/>
      <c r="EP100" s="3" t="n"/>
      <c r="EQ100" s="3" t="inlineStr">
        <is>
          <t>Not at all</t>
        </is>
      </c>
      <c r="ER100" s="3" t="inlineStr">
        <is>
          <t>Not at all</t>
        </is>
      </c>
      <c r="ES100" s="3" t="n"/>
      <c r="ET100" s="3" t="n"/>
      <c r="EU100" s="3" t="n"/>
      <c r="EV100" s="3" t="n"/>
      <c r="EW100" s="3" t="n"/>
      <c r="EX100" s="3" t="n"/>
      <c r="EY100" s="3" t="n"/>
      <c r="EZ100" s="3" t="n"/>
      <c r="FA100" s="3" t="n"/>
      <c r="FB100" s="3" t="n"/>
      <c r="FC100" s="3" t="n"/>
      <c r="FD100" s="3" t="n"/>
      <c r="FE100" s="3" t="n"/>
      <c r="FF100" s="3" t="n"/>
      <c r="FG100" s="3" t="n"/>
      <c r="FH100" s="3" t="n"/>
      <c r="FI100" s="3" t="n"/>
      <c r="FJ100" s="3" t="n"/>
      <c r="FK100" s="3" t="n"/>
      <c r="FL100" s="3" t="n"/>
      <c r="FM100" s="3" t="n"/>
      <c r="FN100" s="3" t="n"/>
      <c r="FO100" s="3" t="n"/>
      <c r="FP100" s="3" t="n"/>
      <c r="FQ100" s="3" t="n"/>
      <c r="FR100" s="3" t="n"/>
      <c r="FS100" s="3" t="n"/>
      <c r="FT100" s="3" t="n"/>
      <c r="FU100" s="3" t="n"/>
      <c r="FV100" s="3" t="n"/>
      <c r="FW100" s="3" t="n"/>
      <c r="FX100" s="3" t="n"/>
      <c r="FY100" s="3" t="inlineStr">
        <is>
          <t>To a moderate extent</t>
        </is>
      </c>
      <c r="FZ100" s="3" t="inlineStr">
        <is>
          <t>To a moderate extent</t>
        </is>
      </c>
      <c r="GA100" s="3" t="inlineStr">
        <is>
          <t>To a great extent</t>
        </is>
      </c>
      <c r="GB100" s="3" t="inlineStr">
        <is>
          <t>To a moderate extent</t>
        </is>
      </c>
      <c r="GC100" s="3" t="n"/>
      <c r="GD100" s="3" t="n"/>
      <c r="GE100" s="3" t="inlineStr">
        <is>
          <t>To a slight extent</t>
        </is>
      </c>
      <c r="GF100" s="3" t="inlineStr">
        <is>
          <t>To a moderate extent</t>
        </is>
      </c>
      <c r="GG100" s="3" t="inlineStr">
        <is>
          <t>To a slight extent</t>
        </is>
      </c>
      <c r="GH100" s="3" t="inlineStr">
        <is>
          <t>To a moderate extent</t>
        </is>
      </c>
      <c r="GI100" s="3" t="inlineStr">
        <is>
          <t>To a moderate extent</t>
        </is>
      </c>
      <c r="GJ100" s="3" t="inlineStr">
        <is>
          <t>To a slight extent</t>
        </is>
      </c>
      <c r="GK100" s="3" t="inlineStr">
        <is>
          <t>Regarding the question above, we think that this question is not appropriately formulated and can contribute to misleading conclusions. These areas cannot be looked up separately from core areas and are defined too broadly.
In general, continued coverage of climate policies is important when and to the extent deemed macro-critical. The Fund should also look at how analysis and policy advice in these areas can be better integrated into macroeconomic frameworks.
It should be country-specific and, if deemed macro-critical, adaptation, mitigation and transition policies should all be covered:
1) Climate risk and financial stability—emphasizing the IMF’s core mandate by addressing climate-induced risks to macroeconomic and financial stability.
2) Climate investment and fiscal sustainability—addressing the challenges of integrating substantial climate investment needs within sustainable fiscal frameworks.
3) Building resilience against climate shocks—how the Fund can effectively support members in managing climate risks, building resilience against shocks, and safeguarding macroeconomic stability.</t>
        </is>
      </c>
      <c r="GL100" s="5">
        <f>DATE(2025,6,4)+TIME(16,47,49)</f>
        <v/>
      </c>
    </row>
    <row r="101" ht="409.5" customHeight="1">
      <c r="A101" s="6" t="inlineStr">
        <is>
          <t>Sofia</t>
        </is>
      </c>
      <c r="B101" s="6" t="inlineStr">
        <is>
          <t>Ibrahim</t>
        </is>
      </c>
      <c r="C101" s="6" t="inlineStr">
        <is>
          <t>sibrahim@organization.org</t>
        </is>
      </c>
      <c r="D101" s="6" t="inlineStr">
        <is>
          <t>GR481RC4B</t>
        </is>
      </c>
      <c r="E101" s="6" t="n"/>
      <c r="F101" s="6" t="inlineStr">
        <is>
          <t>OEDNO</t>
        </is>
      </c>
      <c r="G101" s="6" t="n"/>
      <c r="H101" s="6" t="n"/>
      <c r="I101" s="6" t="n"/>
      <c r="J101" s="6" t="n"/>
      <c r="K101" s="6" t="n"/>
      <c r="L101" s="6" t="n"/>
      <c r="M101" s="6" t="n"/>
      <c r="N101" s="6" t="n"/>
      <c r="O101" s="6" t="n"/>
      <c r="P101" s="6" t="n"/>
      <c r="Q101" s="6" t="n"/>
      <c r="R101" s="6" t="n"/>
      <c r="S101" s="6" t="n"/>
      <c r="T101" s="6" t="n"/>
      <c r="U101" s="6" t="n"/>
      <c r="V101" s="6" t="n"/>
      <c r="W101" s="6" t="n"/>
      <c r="X101" s="6" t="n"/>
      <c r="Y101" s="6" t="inlineStr">
        <is>
          <t>Estonia</t>
        </is>
      </c>
      <c r="Z101" s="6" t="n"/>
      <c r="AA101" s="6" t="n"/>
      <c r="AB101" s="6" t="n"/>
      <c r="AC101" s="6" t="n"/>
      <c r="AD101" s="6" t="n"/>
      <c r="AE101" s="6" t="n"/>
      <c r="AF101" s="4" t="inlineStr">
        <is>
          <t>Estonia</t>
        </is>
      </c>
      <c r="AG101" s="6" t="inlineStr">
        <is>
          <t>The IMF should engage more on climate change-related issues</t>
        </is>
      </c>
      <c r="AH101" s="6" t="inlineStr">
        <is>
          <t>To a slight extent</t>
        </is>
      </c>
      <c r="AI101" s="6" t="inlineStr">
        <is>
          <t>To a moderate extent</t>
        </is>
      </c>
      <c r="AJ101" s="6" t="inlineStr">
        <is>
          <t>To a slight extent</t>
        </is>
      </c>
      <c r="AK101" s="6" t="inlineStr">
        <is>
          <t>To a great extent</t>
        </is>
      </c>
      <c r="AL101" s="6" t="inlineStr">
        <is>
          <t>To a moderate extent</t>
        </is>
      </c>
      <c r="AM101" s="6" t="inlineStr">
        <is>
          <t>To a slight extent</t>
        </is>
      </c>
      <c r="AN101" s="6" t="inlineStr">
        <is>
          <t>Don’t know or not applicable</t>
        </is>
      </c>
      <c r="AO101" s="6" t="inlineStr">
        <is>
          <t>Don’t know or not applicable</t>
        </is>
      </c>
      <c r="AP101" s="6" t="inlineStr">
        <is>
          <t>To a moderate extent</t>
        </is>
      </c>
      <c r="AQ101" s="6" t="inlineStr">
        <is>
          <t>To a slight extent</t>
        </is>
      </c>
      <c r="AR101" s="6" t="inlineStr">
        <is>
          <t>To a moderate extent</t>
        </is>
      </c>
      <c r="AS101" s="6" t="n"/>
      <c r="AT101" s="6" t="inlineStr">
        <is>
          <t>To a slight extent</t>
        </is>
      </c>
      <c r="AU101" s="6" t="inlineStr">
        <is>
          <t>To a slight extent</t>
        </is>
      </c>
      <c r="AV101" s="6" t="inlineStr">
        <is>
          <t>Not at all</t>
        </is>
      </c>
      <c r="AW101" s="6" t="inlineStr">
        <is>
          <t>To a slight extent</t>
        </is>
      </c>
      <c r="AX101" s="6" t="inlineStr">
        <is>
          <t>To a slight extent</t>
        </is>
      </c>
      <c r="AY101" s="6" t="inlineStr">
        <is>
          <t>To a moderate extent</t>
        </is>
      </c>
      <c r="AZ101" s="6" t="inlineStr">
        <is>
          <t>To a great extent</t>
        </is>
      </c>
      <c r="BA101" s="6" t="inlineStr">
        <is>
          <t>To a slight extent</t>
        </is>
      </c>
      <c r="BB101" s="6" t="inlineStr">
        <is>
          <t>To a great extent</t>
        </is>
      </c>
      <c r="BC101" s="6" t="inlineStr">
        <is>
          <t>To a slight extent</t>
        </is>
      </c>
      <c r="BD101" s="6" t="inlineStr">
        <is>
          <t>To a great extent</t>
        </is>
      </c>
      <c r="BE101" s="6" t="inlineStr">
        <is>
          <t>Don’t know or not applicable</t>
        </is>
      </c>
      <c r="BF101" s="6" t="inlineStr">
        <is>
          <t>Don’t know or not applicable</t>
        </is>
      </c>
      <c r="BG101" s="6" t="inlineStr">
        <is>
          <t>Don’t know or not applicable</t>
        </is>
      </c>
      <c r="BH101" s="6" t="inlineStr">
        <is>
          <t>Don’t know or not applicable</t>
        </is>
      </c>
      <c r="BI101" s="6" t="inlineStr">
        <is>
          <t>Don’t know or not applicable</t>
        </is>
      </c>
      <c r="BJ101" s="6" t="inlineStr">
        <is>
          <t>To a great extent</t>
        </is>
      </c>
      <c r="BK101" s="6" t="inlineStr">
        <is>
          <t>To a slight extent</t>
        </is>
      </c>
      <c r="BL101" s="6" t="inlineStr">
        <is>
          <t>To a slight extent</t>
        </is>
      </c>
      <c r="BM101" s="6" t="inlineStr">
        <is>
          <t>Don’t know or not applicable</t>
        </is>
      </c>
      <c r="BN101" s="6" t="inlineStr">
        <is>
          <t>To a great extent</t>
        </is>
      </c>
      <c r="BO101" s="6" t="inlineStr">
        <is>
          <t>To a great extent</t>
        </is>
      </c>
      <c r="BP101" s="6" t="inlineStr">
        <is>
          <t>Don’t know or not applicable</t>
        </is>
      </c>
      <c r="BQ101" s="6" t="inlineStr">
        <is>
          <t>Don’t know or not applicable</t>
        </is>
      </c>
      <c r="BR101" s="6" t="inlineStr">
        <is>
          <t>Don’t know or not applicable</t>
        </is>
      </c>
      <c r="BS101" s="6" t="n"/>
      <c r="BT101" s="6" t="inlineStr">
        <is>
          <t>The IMF dedicated an appropriate amount of resources</t>
        </is>
      </c>
      <c r="BU101" s="6" t="inlineStr">
        <is>
          <t>To a great extent</t>
        </is>
      </c>
      <c r="BV101" s="6" t="inlineStr">
        <is>
          <t>To a great extent</t>
        </is>
      </c>
      <c r="BW101" s="6" t="inlineStr">
        <is>
          <t>To a great extent</t>
        </is>
      </c>
      <c r="BX101" s="6" t="inlineStr">
        <is>
          <t>To a moderate extent</t>
        </is>
      </c>
      <c r="BY101" s="6" t="inlineStr">
        <is>
          <t>To a moderate extent</t>
        </is>
      </c>
      <c r="BZ101" s="6" t="inlineStr">
        <is>
          <t>To a moderate extent</t>
        </is>
      </c>
      <c r="CA101" s="6" t="inlineStr">
        <is>
          <t>To a moderate extent</t>
        </is>
      </c>
      <c r="CB101" s="6" t="inlineStr">
        <is>
          <t>To a moderate extent</t>
        </is>
      </c>
      <c r="CC101" s="6" t="inlineStr">
        <is>
          <t>To a moderate extent</t>
        </is>
      </c>
      <c r="CD101" s="6" t="inlineStr">
        <is>
          <t>To a moderate extent</t>
        </is>
      </c>
      <c r="CE101" s="6" t="inlineStr">
        <is>
          <t>To a moderate extent</t>
        </is>
      </c>
      <c r="CF101" s="6" t="inlineStr">
        <is>
          <t>To a moderate extent</t>
        </is>
      </c>
      <c r="CG101" s="6" t="n"/>
      <c r="CH101" s="6" t="inlineStr">
        <is>
          <t>No</t>
        </is>
      </c>
      <c r="CI101" s="6" t="inlineStr">
        <is>
          <t>No</t>
        </is>
      </c>
      <c r="CJ101" s="6" t="n"/>
      <c r="CK101" s="6" t="n"/>
      <c r="CL101" s="6" t="n"/>
      <c r="CM101" s="6" t="n"/>
      <c r="CN101" s="6" t="n"/>
      <c r="CO101" s="6" t="n"/>
      <c r="CP101" s="6" t="n"/>
      <c r="CQ101" s="6" t="n"/>
      <c r="CR101" s="6" t="n"/>
      <c r="CS101" s="6" t="n"/>
      <c r="CT101" s="6" t="n"/>
      <c r="CU101" s="6" t="n"/>
      <c r="CV101" s="6" t="n"/>
      <c r="CW101" s="6" t="n"/>
      <c r="CX101" s="6" t="n"/>
      <c r="CY101" s="6" t="n"/>
      <c r="CZ101" s="6" t="n"/>
      <c r="DA101" s="6" t="n"/>
      <c r="DB101" s="6" t="n"/>
      <c r="DC101" s="6" t="n"/>
      <c r="DD101" s="6" t="n"/>
      <c r="DE101" s="6" t="n"/>
      <c r="DF101" s="6" t="n"/>
      <c r="DG101" s="6" t="n"/>
      <c r="DH101" s="6" t="n"/>
      <c r="DI101" s="6" t="n"/>
      <c r="DJ101" s="6" t="n"/>
      <c r="DK101" s="6" t="n"/>
      <c r="DL101" s="6" t="n"/>
      <c r="DM101" s="6" t="n"/>
      <c r="DN101" s="6" t="n"/>
      <c r="DO101" s="6" t="n"/>
      <c r="DP101" s="6" t="n"/>
      <c r="DQ101" s="6" t="n"/>
      <c r="DR101" s="6" t="n"/>
      <c r="DS101" s="6" t="inlineStr">
        <is>
          <t>More convenient alternative financing options</t>
        </is>
      </c>
      <c r="DT101" s="6" t="n"/>
      <c r="DU101" s="6" t="inlineStr">
        <is>
          <t>An RSF arrangement would have been useful, but my country had no balance of payments issues/did not need/was not willing to commit to the underlying UCT program</t>
        </is>
      </c>
      <c r="DV101" s="6" t="n"/>
      <c r="DW101" s="6" t="inlineStr">
        <is>
          <t>Yes</t>
        </is>
      </c>
      <c r="DX101" s="6" t="n"/>
      <c r="DY101" s="6" t="n"/>
      <c r="DZ101" s="6" t="n"/>
      <c r="EA101" s="6" t="n"/>
      <c r="EB101" s="6" t="inlineStr">
        <is>
          <t>Other (please specify) : EU funds</t>
        </is>
      </c>
      <c r="EC101" s="6" t="inlineStr">
        <is>
          <t>Not at all</t>
        </is>
      </c>
      <c r="ED101" s="6" t="inlineStr">
        <is>
          <t>Not at all</t>
        </is>
      </c>
      <c r="EE101" s="6" t="inlineStr">
        <is>
          <t>Not at all</t>
        </is>
      </c>
      <c r="EF101" s="6" t="inlineStr">
        <is>
          <t>To a great extent</t>
        </is>
      </c>
      <c r="EG101" s="6" t="inlineStr">
        <is>
          <t>To a great extent</t>
        </is>
      </c>
      <c r="EH101" s="6" t="inlineStr">
        <is>
          <t>To a moderate extent</t>
        </is>
      </c>
      <c r="EI101" s="6" t="inlineStr">
        <is>
          <t>To a great extent</t>
        </is>
      </c>
      <c r="EJ101" s="6" t="inlineStr">
        <is>
          <t>Not at all</t>
        </is>
      </c>
      <c r="EK101" s="6" t="inlineStr">
        <is>
          <t>Not at all</t>
        </is>
      </c>
      <c r="EL101" s="6" t="inlineStr">
        <is>
          <t>Not at all</t>
        </is>
      </c>
      <c r="EM101" s="6" t="n"/>
      <c r="EN101" s="6" t="n"/>
      <c r="EO101" s="6" t="n"/>
      <c r="EP101" s="6" t="n"/>
      <c r="EQ101" s="6" t="inlineStr">
        <is>
          <t>Not at all</t>
        </is>
      </c>
      <c r="ER101" s="6" t="inlineStr">
        <is>
          <t>To a moderate extent</t>
        </is>
      </c>
      <c r="ES101" s="6" t="n"/>
      <c r="ET101" s="6" t="n"/>
      <c r="EU101" s="6" t="n"/>
      <c r="EV101" s="6" t="n"/>
      <c r="EW101" s="6" t="n"/>
      <c r="EX101" s="6" t="n"/>
      <c r="EY101" s="6" t="n"/>
      <c r="EZ101" s="6" t="n"/>
      <c r="FA101" s="6" t="n"/>
      <c r="FB101" s="6" t="n"/>
      <c r="FC101" s="6" t="n"/>
      <c r="FD101" s="6" t="n"/>
      <c r="FE101" s="6" t="n"/>
      <c r="FF101" s="6" t="n"/>
      <c r="FG101" s="6" t="n"/>
      <c r="FH101" s="6" t="inlineStr">
        <is>
          <t>To a great extent</t>
        </is>
      </c>
      <c r="FI101" s="6" t="inlineStr">
        <is>
          <t>To a great extent</t>
        </is>
      </c>
      <c r="FJ101" s="6" t="inlineStr">
        <is>
          <t>Not at all</t>
        </is>
      </c>
      <c r="FK101" s="6" t="inlineStr">
        <is>
          <t>Not at all</t>
        </is>
      </c>
      <c r="FL101" s="6" t="inlineStr">
        <is>
          <t>To a great extent</t>
        </is>
      </c>
      <c r="FM101" s="6" t="inlineStr">
        <is>
          <t>Don’t know or not applicable</t>
        </is>
      </c>
      <c r="FN101" s="6" t="inlineStr">
        <is>
          <t>Don’t know or not applicable</t>
        </is>
      </c>
      <c r="FO101" s="6" t="inlineStr">
        <is>
          <t>Not at all</t>
        </is>
      </c>
      <c r="FP101" s="6" t="inlineStr">
        <is>
          <t>To a slight extent</t>
        </is>
      </c>
      <c r="FQ101" s="6" t="inlineStr">
        <is>
          <t>Not at all</t>
        </is>
      </c>
      <c r="FR101" s="6" t="inlineStr">
        <is>
          <t>Don’t know or not applicable</t>
        </is>
      </c>
      <c r="FS101" s="6" t="inlineStr">
        <is>
          <t>Don’t know or not applicable</t>
        </is>
      </c>
      <c r="FT101" s="6" t="inlineStr">
        <is>
          <t>Don’t know or not applicable</t>
        </is>
      </c>
      <c r="FU101" s="6" t="inlineStr">
        <is>
          <t>To a slight extent</t>
        </is>
      </c>
      <c r="FV101" s="6" t="inlineStr">
        <is>
          <t>NGFS</t>
        </is>
      </c>
      <c r="FW101" s="6" t="inlineStr">
        <is>
          <t>The IMF dedicated the appropriate amount of resources</t>
        </is>
      </c>
      <c r="FX101" s="6" t="n"/>
      <c r="FY101" s="6" t="inlineStr">
        <is>
          <t>To a moderate extent</t>
        </is>
      </c>
      <c r="FZ101" s="6" t="inlineStr">
        <is>
          <t>To a moderate extent</t>
        </is>
      </c>
      <c r="GA101" s="6" t="inlineStr">
        <is>
          <t>To a great extent</t>
        </is>
      </c>
      <c r="GB101" s="6" t="inlineStr">
        <is>
          <t>To a great extent</t>
        </is>
      </c>
      <c r="GC101" s="6" t="inlineStr">
        <is>
          <t>Don’t know or not applicable</t>
        </is>
      </c>
      <c r="GD101" s="6" t="n"/>
      <c r="GE101" s="6" t="inlineStr">
        <is>
          <t>To a moderate extent</t>
        </is>
      </c>
      <c r="GF101" s="6" t="inlineStr">
        <is>
          <t>To a great extent</t>
        </is>
      </c>
      <c r="GG101" s="6" t="inlineStr">
        <is>
          <t>To a moderate extent</t>
        </is>
      </c>
      <c r="GH101" s="6" t="inlineStr">
        <is>
          <t>To a moderate extent</t>
        </is>
      </c>
      <c r="GI101" s="6" t="inlineStr">
        <is>
          <t>To a great extent</t>
        </is>
      </c>
      <c r="GJ101" s="6" t="inlineStr">
        <is>
          <t>To a moderate extent</t>
        </is>
      </c>
      <c r="GK101" s="6" t="inlineStr">
        <is>
          <t>The IMF should integrate climate change—alongside other macrocritical issues—into all its core functions, including surveillance, capacity development, and financing. Climate-related factors have significant implications across the IMF’s entire policy spectrum, influencing fiscal, monetary, financial, and structural policies. As such, coverage and policy advice must be country-specific and address the full range of climate challenges: adaptation, mitigation, and transition. To support this, the IMF must embed climate considerations more effectively within its macroeconomic frameworks. Doing so would enhance policy coherence, streamline operations, and reduce the need for additional resources.</t>
        </is>
      </c>
      <c r="GL101" s="7">
        <f>DATE(2025,6,6)+TIME(10,52,13)</f>
        <v/>
      </c>
    </row>
    <row r="102" ht="94.5" customHeight="1">
      <c r="A102" s="3" t="inlineStr">
        <is>
          <t>Olga</t>
        </is>
      </c>
      <c r="B102" s="3" t="inlineStr">
        <is>
          <t>Andersen</t>
        </is>
      </c>
      <c r="C102" s="3" t="inlineStr">
        <is>
          <t>oandersen@organization.org</t>
        </is>
      </c>
      <c r="D102" s="3" t="inlineStr">
        <is>
          <t>4I83IOZN7</t>
        </is>
      </c>
      <c r="E102" s="3" t="n"/>
      <c r="F102" s="3" t="inlineStr">
        <is>
          <t>OEDNO</t>
        </is>
      </c>
      <c r="G102" s="3" t="n"/>
      <c r="H102" s="3" t="n"/>
      <c r="I102" s="3" t="n"/>
      <c r="J102" s="3" t="n"/>
      <c r="K102" s="3" t="n"/>
      <c r="L102" s="3" t="n"/>
      <c r="M102" s="3" t="n"/>
      <c r="N102" s="3" t="n"/>
      <c r="O102" s="3" t="n"/>
      <c r="P102" s="3" t="n"/>
      <c r="Q102" s="3" t="n"/>
      <c r="R102" s="3" t="n"/>
      <c r="S102" s="3" t="n"/>
      <c r="T102" s="3" t="n"/>
      <c r="U102" s="3" t="n"/>
      <c r="V102" s="3" t="n"/>
      <c r="W102" s="3" t="n"/>
      <c r="X102" s="3" t="n"/>
      <c r="Y102" s="3" t="inlineStr">
        <is>
          <t>Sweden</t>
        </is>
      </c>
      <c r="Z102" s="3" t="n"/>
      <c r="AA102" s="3" t="n"/>
      <c r="AB102" s="3" t="n"/>
      <c r="AC102" s="3" t="n"/>
      <c r="AD102" s="3" t="n"/>
      <c r="AE102" s="3" t="n"/>
      <c r="AF102" s="4" t="inlineStr">
        <is>
          <t>Sweden</t>
        </is>
      </c>
      <c r="AG102" s="3" t="inlineStr">
        <is>
          <t>The IMF should engage a similar amount on climate change-related issues</t>
        </is>
      </c>
      <c r="AH102" s="3" t="inlineStr">
        <is>
          <t>To a slight extent</t>
        </is>
      </c>
      <c r="AI102" s="3" t="inlineStr">
        <is>
          <t>To a moderate extent</t>
        </is>
      </c>
      <c r="AJ102" s="3" t="inlineStr">
        <is>
          <t>To a moderate extent</t>
        </is>
      </c>
      <c r="AK102" s="3" t="inlineStr">
        <is>
          <t>To a moderate extent</t>
        </is>
      </c>
      <c r="AL102" s="3" t="inlineStr">
        <is>
          <t>Don’t know or not applicable</t>
        </is>
      </c>
      <c r="AM102" s="3" t="inlineStr">
        <is>
          <t>Don’t know or not applicable</t>
        </is>
      </c>
      <c r="AN102" s="3" t="inlineStr">
        <is>
          <t>Don’t know or not applicable</t>
        </is>
      </c>
      <c r="AO102" s="3" t="inlineStr">
        <is>
          <t>Don’t know or not applicable</t>
        </is>
      </c>
      <c r="AP102" s="3" t="inlineStr">
        <is>
          <t>Don’t know or not applicable</t>
        </is>
      </c>
      <c r="AQ102" s="3" t="inlineStr">
        <is>
          <t>To a slight extent</t>
        </is>
      </c>
      <c r="AR102" s="3" t="inlineStr">
        <is>
          <t>To a moderate extent</t>
        </is>
      </c>
      <c r="AS102" s="3" t="n"/>
      <c r="AT102" s="3" t="inlineStr">
        <is>
          <t>To a slight extent</t>
        </is>
      </c>
      <c r="AU102" s="3" t="inlineStr">
        <is>
          <t>To a moderate extent</t>
        </is>
      </c>
      <c r="AV102" s="3" t="inlineStr">
        <is>
          <t>Not at all</t>
        </is>
      </c>
      <c r="AW102" s="3" t="inlineStr">
        <is>
          <t>To a slight extent</t>
        </is>
      </c>
      <c r="AX102" s="3" t="inlineStr">
        <is>
          <t>Not at all</t>
        </is>
      </c>
      <c r="AY102" s="3" t="inlineStr">
        <is>
          <t>To a great extent</t>
        </is>
      </c>
      <c r="AZ102" s="3" t="inlineStr">
        <is>
          <t>To a slight extent</t>
        </is>
      </c>
      <c r="BA102" s="3" t="inlineStr">
        <is>
          <t>Not at all</t>
        </is>
      </c>
      <c r="BB102" s="3" t="inlineStr">
        <is>
          <t>To a moderate extent</t>
        </is>
      </c>
      <c r="BC102" s="3" t="inlineStr">
        <is>
          <t>Not at all</t>
        </is>
      </c>
      <c r="BD102" s="3" t="inlineStr">
        <is>
          <t>To a great extent</t>
        </is>
      </c>
      <c r="BE102" s="3" t="inlineStr">
        <is>
          <t>Don’t know or not applicable</t>
        </is>
      </c>
      <c r="BF102" s="3" t="inlineStr">
        <is>
          <t>Not at all</t>
        </is>
      </c>
      <c r="BG102" s="3" t="inlineStr">
        <is>
          <t>To a moderate extent</t>
        </is>
      </c>
      <c r="BH102" s="3" t="inlineStr">
        <is>
          <t>To a slight extent</t>
        </is>
      </c>
      <c r="BI102" s="3" t="inlineStr">
        <is>
          <t>To a great extent</t>
        </is>
      </c>
      <c r="BJ102" s="3" t="inlineStr">
        <is>
          <t>To a moderate extent</t>
        </is>
      </c>
      <c r="BK102" s="3" t="inlineStr">
        <is>
          <t>Not at all</t>
        </is>
      </c>
      <c r="BL102" s="3" t="inlineStr">
        <is>
          <t>To a moderate extent</t>
        </is>
      </c>
      <c r="BM102" s="3" t="inlineStr">
        <is>
          <t>To a slight extent</t>
        </is>
      </c>
      <c r="BN102" s="3" t="inlineStr">
        <is>
          <t>To a great extent</t>
        </is>
      </c>
      <c r="BO102" s="3" t="inlineStr">
        <is>
          <t>To a moderate extent</t>
        </is>
      </c>
      <c r="BP102" s="3" t="inlineStr">
        <is>
          <t>To a moderate extent</t>
        </is>
      </c>
      <c r="BQ102" s="3" t="inlineStr">
        <is>
          <t>To a moderate extent</t>
        </is>
      </c>
      <c r="BR102" s="3" t="inlineStr">
        <is>
          <t>Don’t know or not applicable</t>
        </is>
      </c>
      <c r="BS102" s="3" t="n"/>
      <c r="BT102" s="3" t="inlineStr">
        <is>
          <t>The IMF dedicated an appropriate amount of resources</t>
        </is>
      </c>
      <c r="BU102" s="3" t="inlineStr">
        <is>
          <t>To a great extent</t>
        </is>
      </c>
      <c r="BV102" s="3" t="inlineStr">
        <is>
          <t>To a great extent</t>
        </is>
      </c>
      <c r="BW102" s="3" t="inlineStr">
        <is>
          <t>To a great extent</t>
        </is>
      </c>
      <c r="BX102" s="3" t="inlineStr">
        <is>
          <t>To a moderate extent</t>
        </is>
      </c>
      <c r="BY102" s="3" t="inlineStr">
        <is>
          <t>To a moderate extent</t>
        </is>
      </c>
      <c r="BZ102" s="3" t="inlineStr">
        <is>
          <t>To a moderate extent</t>
        </is>
      </c>
      <c r="CA102" s="3" t="inlineStr">
        <is>
          <t>To a moderate extent</t>
        </is>
      </c>
      <c r="CB102" s="3" t="inlineStr">
        <is>
          <t>To a moderate extent</t>
        </is>
      </c>
      <c r="CC102" s="3" t="inlineStr">
        <is>
          <t>To a moderate extent</t>
        </is>
      </c>
      <c r="CD102" s="3" t="inlineStr">
        <is>
          <t>To a moderate extent</t>
        </is>
      </c>
      <c r="CE102" s="3" t="inlineStr">
        <is>
          <t>To a moderate extent</t>
        </is>
      </c>
      <c r="CF102" s="3" t="inlineStr">
        <is>
          <t>To a moderate extent</t>
        </is>
      </c>
      <c r="CG102" s="3" t="n"/>
      <c r="CH102" s="3" t="inlineStr">
        <is>
          <t>No</t>
        </is>
      </c>
      <c r="CI102" s="3" t="inlineStr">
        <is>
          <t>No</t>
        </is>
      </c>
      <c r="CJ102" s="3" t="n"/>
      <c r="CK102" s="3" t="n"/>
      <c r="CL102" s="3" t="n"/>
      <c r="CM102" s="3" t="n"/>
      <c r="CN102" s="3" t="n"/>
      <c r="CO102" s="3" t="n"/>
      <c r="CP102" s="3" t="n"/>
      <c r="CQ102" s="3" t="n"/>
      <c r="CR102" s="3" t="n"/>
      <c r="CS102" s="3" t="n"/>
      <c r="CT102" s="3" t="n"/>
      <c r="CU102" s="3" t="n"/>
      <c r="CV102" s="3" t="n"/>
      <c r="CW102" s="3" t="n"/>
      <c r="CX102" s="3" t="n"/>
      <c r="CY102" s="3" t="n"/>
      <c r="CZ102" s="3" t="n"/>
      <c r="DA102" s="3" t="n"/>
      <c r="DB102" s="3" t="n"/>
      <c r="DC102" s="3" t="n"/>
      <c r="DD102" s="3" t="n"/>
      <c r="DE102" s="3" t="n"/>
      <c r="DF102" s="3" t="n"/>
      <c r="DG102" s="3" t="n"/>
      <c r="DH102" s="3" t="n"/>
      <c r="DI102" s="3" t="n"/>
      <c r="DJ102" s="3" t="n"/>
      <c r="DK102" s="3" t="n"/>
      <c r="DL102" s="3" t="n"/>
      <c r="DM102" s="3" t="n"/>
      <c r="DN102" s="3" t="n"/>
      <c r="DO102" s="3" t="n"/>
      <c r="DP102" s="3" t="inlineStr">
        <is>
          <t>My country is not eligible for an RSF arrangement</t>
        </is>
      </c>
      <c r="DQ102" s="3" t="inlineStr">
        <is>
          <t>Climate change does not pose a major balance of payments risk in my country</t>
        </is>
      </c>
      <c r="DR102" s="3" t="n"/>
      <c r="DS102" s="3" t="n"/>
      <c r="DT102" s="3" t="n"/>
      <c r="DU102" s="3" t="n"/>
      <c r="DV102" s="3" t="n"/>
      <c r="DW102" s="3" t="inlineStr">
        <is>
          <t>No</t>
        </is>
      </c>
      <c r="DX102" s="3" t="n"/>
      <c r="DY102" s="3" t="n"/>
      <c r="DZ102" s="3" t="n"/>
      <c r="EA102" s="3" t="n"/>
      <c r="EB102" s="3" t="n"/>
      <c r="EC102" s="3" t="n"/>
      <c r="ED102" s="3" t="n"/>
      <c r="EE102" s="3" t="n"/>
      <c r="EF102" s="3" t="inlineStr">
        <is>
          <t>To a great extent</t>
        </is>
      </c>
      <c r="EG102" s="3" t="inlineStr">
        <is>
          <t>Don’t know or not applicable</t>
        </is>
      </c>
      <c r="EH102" s="3" t="inlineStr">
        <is>
          <t>Don’t know or not applicable</t>
        </is>
      </c>
      <c r="EI102" s="3" t="inlineStr">
        <is>
          <t>To a great extent</t>
        </is>
      </c>
      <c r="EJ102" s="3" t="inlineStr">
        <is>
          <t>Not at all</t>
        </is>
      </c>
      <c r="EK102" s="3" t="inlineStr">
        <is>
          <t>Not at all</t>
        </is>
      </c>
      <c r="EL102" s="3" t="inlineStr">
        <is>
          <t>Not at all</t>
        </is>
      </c>
      <c r="EM102" s="3" t="n"/>
      <c r="EN102" s="3" t="n"/>
      <c r="EO102" s="3" t="n"/>
      <c r="EP102" s="3" t="n"/>
      <c r="EQ102" s="3" t="inlineStr">
        <is>
          <t>Not at all</t>
        </is>
      </c>
      <c r="ER102" s="3" t="inlineStr">
        <is>
          <t>Not at all</t>
        </is>
      </c>
      <c r="ES102" s="3" t="n"/>
      <c r="ET102" s="3" t="n"/>
      <c r="EU102" s="3" t="n"/>
      <c r="EV102" s="3" t="n"/>
      <c r="EW102" s="3" t="n"/>
      <c r="EX102" s="3" t="n"/>
      <c r="EY102" s="3" t="n"/>
      <c r="EZ102" s="3" t="n"/>
      <c r="FA102" s="3" t="n"/>
      <c r="FB102" s="3" t="n"/>
      <c r="FC102" s="3" t="n"/>
      <c r="FD102" s="3" t="n"/>
      <c r="FE102" s="3" t="n"/>
      <c r="FF102" s="3" t="n"/>
      <c r="FG102" s="3" t="n"/>
      <c r="FH102" s="3" t="n"/>
      <c r="FI102" s="3" t="n"/>
      <c r="FJ102" s="3" t="n"/>
      <c r="FK102" s="3" t="n"/>
      <c r="FL102" s="3" t="n"/>
      <c r="FM102" s="3" t="n"/>
      <c r="FN102" s="3" t="n"/>
      <c r="FO102" s="3" t="n"/>
      <c r="FP102" s="3" t="n"/>
      <c r="FQ102" s="3" t="n"/>
      <c r="FR102" s="3" t="n"/>
      <c r="FS102" s="3" t="n"/>
      <c r="FT102" s="3" t="n"/>
      <c r="FU102" s="3" t="n"/>
      <c r="FV102" s="3" t="n"/>
      <c r="FW102" s="3" t="n"/>
      <c r="FX102" s="3" t="n"/>
      <c r="FY102" s="3" t="inlineStr">
        <is>
          <t>To a moderate extent</t>
        </is>
      </c>
      <c r="FZ102" s="3" t="inlineStr">
        <is>
          <t>To a moderate extent</t>
        </is>
      </c>
      <c r="GA102" s="3" t="inlineStr">
        <is>
          <t>To a great extent</t>
        </is>
      </c>
      <c r="GB102" s="3" t="inlineStr">
        <is>
          <t>To a moderate extent</t>
        </is>
      </c>
      <c r="GC102" s="3" t="inlineStr">
        <is>
          <t>Don’t know or not applicable</t>
        </is>
      </c>
      <c r="GD102" s="3" t="n"/>
      <c r="GE102" s="3" t="inlineStr">
        <is>
          <t>To a moderate extent</t>
        </is>
      </c>
      <c r="GF102" s="3" t="inlineStr">
        <is>
          <t>To a moderate extent</t>
        </is>
      </c>
      <c r="GG102" s="3" t="inlineStr">
        <is>
          <t>To a moderate extent</t>
        </is>
      </c>
      <c r="GH102" s="3" t="inlineStr">
        <is>
          <t>To a moderate extent</t>
        </is>
      </c>
      <c r="GI102" s="3" t="inlineStr">
        <is>
          <t>To a great extent</t>
        </is>
      </c>
      <c r="GJ102" s="3" t="inlineStr">
        <is>
          <t>To a moderate extent</t>
        </is>
      </c>
      <c r="GK102" s="3" t="inlineStr">
        <is>
          <t>The IMF should identify and provide policy recommendations covering climate change in the intersect with macro criticality and BoP issues.</t>
        </is>
      </c>
      <c r="GL102" s="5">
        <f>DATE(2025,6,12)+TIME(11,13,21)</f>
        <v/>
      </c>
    </row>
    <row r="103" ht="47.25" customFormat="1" customHeight="1" s="9">
      <c r="A103" s="8" t="inlineStr">
        <is>
          <t>Hana</t>
        </is>
      </c>
      <c r="B103" s="8" t="inlineStr">
        <is>
          <t>Johansson</t>
        </is>
      </c>
      <c r="C103" s="8" t="inlineStr">
        <is>
          <t>hjohansson@organization.org</t>
        </is>
      </c>
      <c r="D103" s="8" t="inlineStr">
        <is>
          <t>JCZTXX5VO</t>
        </is>
      </c>
      <c r="E103" s="8" t="n"/>
      <c r="F103" s="8" t="inlineStr">
        <is>
          <t>OEDCE</t>
        </is>
      </c>
      <c r="G103" s="6" t="n"/>
      <c r="H103" s="6" t="n"/>
      <c r="I103" s="6" t="n"/>
      <c r="J103" s="6" t="n"/>
      <c r="K103" s="6" t="n"/>
      <c r="L103" s="6" t="n"/>
      <c r="M103" s="6" t="n"/>
      <c r="N103" s="6" t="inlineStr">
        <is>
          <t>Mexico</t>
        </is>
      </c>
      <c r="O103" s="6" t="n"/>
      <c r="P103" s="6" t="n"/>
      <c r="Q103" s="6" t="n"/>
      <c r="R103" s="6" t="n"/>
      <c r="S103" s="6" t="n"/>
      <c r="T103" s="6" t="n"/>
      <c r="U103" s="6" t="n"/>
      <c r="V103" s="6" t="n"/>
      <c r="W103" s="6" t="n"/>
      <c r="X103" s="6" t="n"/>
      <c r="Y103" s="6" t="n"/>
      <c r="Z103" s="6" t="n"/>
      <c r="AA103" s="6" t="n"/>
      <c r="AB103" s="6" t="n"/>
      <c r="AC103" s="6" t="n"/>
      <c r="AD103" s="6" t="n"/>
      <c r="AE103" s="6" t="n"/>
      <c r="AF103" s="9" t="inlineStr">
        <is>
          <t>Mexico</t>
        </is>
      </c>
      <c r="AG103" s="8" t="inlineStr">
        <is>
          <t>The IMF should engage more on climate change-related issues</t>
        </is>
      </c>
      <c r="AH103" s="8" t="inlineStr">
        <is>
          <t>To a moderate extent</t>
        </is>
      </c>
      <c r="AI103" s="8" t="inlineStr">
        <is>
          <t>To a moderate extent</t>
        </is>
      </c>
      <c r="AJ103" s="8" t="inlineStr">
        <is>
          <t>To a slight extent</t>
        </is>
      </c>
      <c r="AK103" s="8" t="inlineStr">
        <is>
          <t>To a great extent</t>
        </is>
      </c>
      <c r="AL103" s="8" t="inlineStr">
        <is>
          <t>Not at all</t>
        </is>
      </c>
      <c r="AM103" s="8" t="inlineStr">
        <is>
          <t>Don’t know or not applicable</t>
        </is>
      </c>
      <c r="AN103" s="8" t="inlineStr">
        <is>
          <t>Don’t know or not applicable</t>
        </is>
      </c>
      <c r="AO103" s="8" t="inlineStr">
        <is>
          <t>Not at all</t>
        </is>
      </c>
      <c r="AP103" s="8" t="inlineStr">
        <is>
          <t>Not at all</t>
        </is>
      </c>
      <c r="AQ103" s="8" t="inlineStr">
        <is>
          <t>To a great extent</t>
        </is>
      </c>
      <c r="AR103" s="8" t="inlineStr">
        <is>
          <t>To a slight extent</t>
        </is>
      </c>
      <c r="AS103" s="8" t="n"/>
      <c r="AT103" s="8" t="inlineStr">
        <is>
          <t>Don’t know or not applicable</t>
        </is>
      </c>
      <c r="AU103" s="8" t="inlineStr">
        <is>
          <t>To a moderate extent</t>
        </is>
      </c>
      <c r="AV103" s="8" t="inlineStr">
        <is>
          <t>Not at all</t>
        </is>
      </c>
      <c r="AW103" s="8" t="inlineStr">
        <is>
          <t>To a slight extent</t>
        </is>
      </c>
      <c r="AX103" s="8" t="inlineStr">
        <is>
          <t>To a slight extent</t>
        </is>
      </c>
      <c r="AY103" s="8" t="inlineStr">
        <is>
          <t>Don’t know or not applicable</t>
        </is>
      </c>
      <c r="AZ103" s="8" t="inlineStr">
        <is>
          <t>To a moderate extent</t>
        </is>
      </c>
      <c r="BA103" s="8" t="inlineStr">
        <is>
          <t>Not at all</t>
        </is>
      </c>
      <c r="BB103" s="8" t="inlineStr">
        <is>
          <t>To a slight extent</t>
        </is>
      </c>
      <c r="BC103" s="8" t="inlineStr">
        <is>
          <t>To a slight extent</t>
        </is>
      </c>
      <c r="BD103" s="8" t="inlineStr">
        <is>
          <t>To a moderate extent</t>
        </is>
      </c>
      <c r="BE103" s="8" t="inlineStr">
        <is>
          <t>Don’t know or not applicable</t>
        </is>
      </c>
      <c r="BF103" s="8" t="inlineStr">
        <is>
          <t>Don’t know or not applicable</t>
        </is>
      </c>
      <c r="BG103" s="8" t="inlineStr">
        <is>
          <t>Don’t know or not applicable</t>
        </is>
      </c>
      <c r="BH103" s="8" t="inlineStr">
        <is>
          <t>Don’t know or not applicable</t>
        </is>
      </c>
      <c r="BI103" s="8" t="inlineStr">
        <is>
          <t>Don’t know or not applicable</t>
        </is>
      </c>
      <c r="BJ103" s="8" t="inlineStr">
        <is>
          <t>To a moderate extent</t>
        </is>
      </c>
      <c r="BK103" s="8" t="inlineStr">
        <is>
          <t>Not at all</t>
        </is>
      </c>
      <c r="BL103" s="8" t="inlineStr">
        <is>
          <t>To a moderate extent</t>
        </is>
      </c>
      <c r="BM103" s="8" t="inlineStr">
        <is>
          <t>To a slight extent</t>
        </is>
      </c>
      <c r="BN103" s="8" t="inlineStr">
        <is>
          <t>To a slight extent</t>
        </is>
      </c>
      <c r="BO103" s="8" t="inlineStr">
        <is>
          <t>To a great extent</t>
        </is>
      </c>
      <c r="BP103" s="8" t="inlineStr">
        <is>
          <t>To a slight extent</t>
        </is>
      </c>
      <c r="BQ103" s="8" t="inlineStr">
        <is>
          <t>Don’t know or not applicable</t>
        </is>
      </c>
      <c r="BR103" s="8" t="n"/>
      <c r="BS103" s="8" t="n"/>
      <c r="BT103" s="8" t="inlineStr">
        <is>
          <t>The IMF should have dedicated more resources</t>
        </is>
      </c>
      <c r="BU103" s="8" t="inlineStr">
        <is>
          <t>To a great extent</t>
        </is>
      </c>
      <c r="BV103" s="8" t="inlineStr">
        <is>
          <t>To a slight extent</t>
        </is>
      </c>
      <c r="BW103" s="8" t="inlineStr">
        <is>
          <t>To a moderate extent</t>
        </is>
      </c>
      <c r="BX103" s="8" t="inlineStr">
        <is>
          <t>To a great extent</t>
        </is>
      </c>
      <c r="BY103" s="8" t="inlineStr">
        <is>
          <t>To a slight extent</t>
        </is>
      </c>
      <c r="BZ103" s="8" t="inlineStr">
        <is>
          <t>To a moderate extent</t>
        </is>
      </c>
      <c r="CA103" s="8" t="inlineStr">
        <is>
          <t>To a great extent</t>
        </is>
      </c>
      <c r="CB103" s="8" t="inlineStr">
        <is>
          <t>To a moderate extent</t>
        </is>
      </c>
      <c r="CC103" s="8" t="inlineStr">
        <is>
          <t>To a great extent</t>
        </is>
      </c>
      <c r="CD103" s="8" t="inlineStr">
        <is>
          <t>To a great extent</t>
        </is>
      </c>
      <c r="CE103" s="8" t="inlineStr">
        <is>
          <t>To a slight extent</t>
        </is>
      </c>
      <c r="CF103" s="8" t="inlineStr">
        <is>
          <t>To a great extent</t>
        </is>
      </c>
      <c r="CG103" s="8" t="n"/>
      <c r="CH103" s="8" t="inlineStr">
        <is>
          <t>No</t>
        </is>
      </c>
      <c r="CI103" s="8" t="inlineStr">
        <is>
          <t>Yes</t>
        </is>
      </c>
      <c r="CJ103" s="8" t="n"/>
      <c r="CK103" s="8" t="n"/>
      <c r="CL103" s="8" t="n"/>
      <c r="CM103" s="8" t="n"/>
      <c r="CN103" s="8" t="n"/>
      <c r="CO103" s="8" t="n"/>
      <c r="CP103" s="8" t="n"/>
      <c r="CQ103" s="8" t="n"/>
      <c r="CR103" s="8" t="n"/>
      <c r="CS103" s="8" t="n"/>
      <c r="CT103" s="8" t="n"/>
      <c r="CU103" s="8" t="n"/>
      <c r="CV103" s="8" t="n"/>
      <c r="CW103" s="8" t="n"/>
      <c r="CX103" s="8" t="n"/>
      <c r="CY103" s="8" t="n"/>
      <c r="CZ103" s="8" t="n"/>
      <c r="DA103" s="8" t="n"/>
      <c r="DB103" s="8" t="n"/>
      <c r="DC103" s="8" t="n"/>
      <c r="DD103" s="8" t="n"/>
      <c r="DE103" s="8" t="n"/>
      <c r="DF103" s="8" t="n"/>
      <c r="DG103" s="8" t="n"/>
      <c r="DH103" s="8" t="n"/>
      <c r="DI103" s="8" t="n"/>
      <c r="DJ103" s="8" t="n"/>
      <c r="DK103" s="8" t="n"/>
      <c r="DL103" s="8" t="n"/>
      <c r="DM103" s="8" t="n"/>
      <c r="DN103" s="8" t="n"/>
      <c r="DO103" s="8" t="n"/>
      <c r="DP103" s="8" t="inlineStr">
        <is>
          <t>My country is not eligible for an RSF arrangement</t>
        </is>
      </c>
      <c r="DQ103" s="8" t="n"/>
      <c r="DR103" s="8" t="n"/>
      <c r="DS103" s="8" t="n"/>
      <c r="DT103" s="8" t="n"/>
      <c r="DU103" s="8" t="n"/>
      <c r="DV103" s="8" t="n"/>
      <c r="DW103" s="8" t="inlineStr">
        <is>
          <t>Yes</t>
        </is>
      </c>
      <c r="DX103" s="8" t="inlineStr">
        <is>
          <t>World Bank Group</t>
        </is>
      </c>
      <c r="DY103" s="8" t="inlineStr">
        <is>
          <t>Regional development banks</t>
        </is>
      </c>
      <c r="DZ103" s="8" t="inlineStr">
        <is>
          <t>Bilateral sources</t>
        </is>
      </c>
      <c r="EA103" s="8" t="n"/>
      <c r="EB103" s="8" t="n"/>
      <c r="EC103" s="8" t="inlineStr">
        <is>
          <t>Don’t know or not applicable</t>
        </is>
      </c>
      <c r="ED103" s="8" t="inlineStr">
        <is>
          <t>Don’t know or not applicable</t>
        </is>
      </c>
      <c r="EE103" s="8" t="inlineStr">
        <is>
          <t>Don’t know or not applicable</t>
        </is>
      </c>
      <c r="EF103" s="8" t="inlineStr">
        <is>
          <t>Don’t know or not applicable</t>
        </is>
      </c>
      <c r="EG103" s="8" t="inlineStr">
        <is>
          <t>Don’t know or not applicable</t>
        </is>
      </c>
      <c r="EH103" s="8" t="inlineStr">
        <is>
          <t>Don’t know or not applicable</t>
        </is>
      </c>
      <c r="EI103" s="8" t="inlineStr">
        <is>
          <t>Don’t know or not applicable</t>
        </is>
      </c>
      <c r="EJ103" s="8" t="inlineStr">
        <is>
          <t>Don’t know or not applicable</t>
        </is>
      </c>
      <c r="EK103" s="8" t="inlineStr">
        <is>
          <t>Don’t know or not applicable</t>
        </is>
      </c>
      <c r="EL103" s="8" t="inlineStr">
        <is>
          <t>Don’t know or not applicable</t>
        </is>
      </c>
      <c r="EM103" s="8" t="inlineStr">
        <is>
          <t>To a great extent</t>
        </is>
      </c>
      <c r="EN103" s="8" t="inlineStr">
        <is>
          <t>To a moderate extent</t>
        </is>
      </c>
      <c r="EO103" s="8" t="inlineStr">
        <is>
          <t>To a great extent</t>
        </is>
      </c>
      <c r="EP103" s="8" t="n"/>
      <c r="EQ103" s="8" t="inlineStr">
        <is>
          <t>Not at all</t>
        </is>
      </c>
      <c r="ER103" s="8" t="inlineStr">
        <is>
          <t>Not at all</t>
        </is>
      </c>
      <c r="ES103" s="8" t="n"/>
      <c r="ET103" s="8" t="n"/>
      <c r="EU103" s="8" t="n"/>
      <c r="EV103" s="8" t="n"/>
      <c r="EW103" s="8" t="n"/>
      <c r="EX103" s="8" t="n"/>
      <c r="EY103" s="8" t="n"/>
      <c r="EZ103" s="8" t="n"/>
      <c r="FA103" s="8" t="n"/>
      <c r="FB103" s="8" t="n"/>
      <c r="FC103" s="8" t="n"/>
      <c r="FD103" s="8" t="n"/>
      <c r="FE103" s="8" t="n"/>
      <c r="FF103" s="8" t="n"/>
      <c r="FG103" s="8" t="n"/>
      <c r="FH103" s="8" t="n"/>
      <c r="FI103" s="8" t="n"/>
      <c r="FJ103" s="8" t="n"/>
      <c r="FK103" s="8" t="n"/>
      <c r="FL103" s="8" t="n"/>
      <c r="FM103" s="8" t="n"/>
      <c r="FN103" s="8" t="n"/>
      <c r="FO103" s="8" t="n"/>
      <c r="FP103" s="8" t="n"/>
      <c r="FQ103" s="8" t="n"/>
      <c r="FR103" s="8" t="n"/>
      <c r="FS103" s="8" t="n"/>
      <c r="FT103" s="8" t="n"/>
      <c r="FU103" s="8" t="n"/>
      <c r="FV103" s="8" t="n"/>
      <c r="FW103" s="8" t="n"/>
      <c r="FX103" s="8" t="n"/>
      <c r="FY103" s="8" t="inlineStr">
        <is>
          <t>To a great extent</t>
        </is>
      </c>
      <c r="FZ103" s="8" t="inlineStr">
        <is>
          <t>To a great extent</t>
        </is>
      </c>
      <c r="GA103" s="8" t="inlineStr">
        <is>
          <t>To a great extent</t>
        </is>
      </c>
      <c r="GB103" s="8" t="inlineStr">
        <is>
          <t>To a great extent</t>
        </is>
      </c>
      <c r="GC103" s="8" t="inlineStr">
        <is>
          <t>Don’t know or not applicable</t>
        </is>
      </c>
      <c r="GD103" s="8" t="n"/>
      <c r="GE103" s="8" t="inlineStr">
        <is>
          <t>To a moderate extent</t>
        </is>
      </c>
      <c r="GF103" s="8" t="inlineStr">
        <is>
          <t>To a great extent</t>
        </is>
      </c>
      <c r="GG103" s="8" t="inlineStr">
        <is>
          <t>To a great extent</t>
        </is>
      </c>
      <c r="GH103" s="8" t="inlineStr">
        <is>
          <t>To a moderate extent</t>
        </is>
      </c>
      <c r="GI103" s="8" t="inlineStr">
        <is>
          <t>To a slight extent</t>
        </is>
      </c>
      <c r="GJ103" s="8" t="inlineStr">
        <is>
          <t>To a great extent</t>
        </is>
      </c>
      <c r="GK103" s="8" t="n"/>
      <c r="GL103" s="10">
        <f>DATE(2025,6,9)+TIME(18,46,26)</f>
        <v/>
      </c>
    </row>
    <row r="104" ht="362.25" customHeight="1">
      <c r="A104" s="3" t="inlineStr">
        <is>
          <t>Isla</t>
        </is>
      </c>
      <c r="B104" s="3" t="inlineStr">
        <is>
          <t>Fernandez</t>
        </is>
      </c>
      <c r="C104" s="3" t="inlineStr">
        <is>
          <t>ifernandez@organization.org</t>
        </is>
      </c>
      <c r="D104" s="3" t="inlineStr">
        <is>
          <t>9APV8EZBN</t>
        </is>
      </c>
      <c r="E104" s="3" t="n"/>
      <c r="F104" s="3" t="inlineStr">
        <is>
          <t>OEDMI</t>
        </is>
      </c>
      <c r="G104" s="3" t="n"/>
      <c r="H104" s="3" t="n"/>
      <c r="I104" s="3" t="n"/>
      <c r="J104" s="3" t="n"/>
      <c r="K104" s="3" t="n"/>
      <c r="L104" s="3" t="n"/>
      <c r="M104" s="3" t="n"/>
      <c r="N104" s="3" t="n"/>
      <c r="O104" s="3" t="n"/>
      <c r="P104" s="3" t="n"/>
      <c r="Q104" s="3" t="n"/>
      <c r="R104" s="3" t="n"/>
      <c r="S104" s="3" t="n"/>
      <c r="T104" s="3" t="n"/>
      <c r="U104" s="3" t="n"/>
      <c r="V104" s="3" t="n"/>
      <c r="W104" s="3" t="inlineStr">
        <is>
          <t>United Arab Emirates</t>
        </is>
      </c>
      <c r="X104" s="3" t="n"/>
      <c r="Y104" s="3" t="n"/>
      <c r="Z104" s="3" t="n"/>
      <c r="AA104" s="3" t="n"/>
      <c r="AB104" s="3" t="n"/>
      <c r="AC104" s="3" t="n"/>
      <c r="AD104" s="3" t="n"/>
      <c r="AE104" s="3" t="n"/>
      <c r="AF104" s="4" t="inlineStr">
        <is>
          <t>United Arab Emirates</t>
        </is>
      </c>
      <c r="AG104" s="3" t="inlineStr">
        <is>
          <t>The IMF should engage less on climate change-related issues</t>
        </is>
      </c>
      <c r="AH104" s="3" t="inlineStr">
        <is>
          <t>To a moderate extent</t>
        </is>
      </c>
      <c r="AI104" s="3" t="inlineStr">
        <is>
          <t>To a slight extent</t>
        </is>
      </c>
      <c r="AJ104" s="3" t="inlineStr">
        <is>
          <t>Don’t know or not applicable</t>
        </is>
      </c>
      <c r="AK104" s="3" t="inlineStr">
        <is>
          <t>To a slight extent</t>
        </is>
      </c>
      <c r="AL104" s="3" t="inlineStr">
        <is>
          <t>To a moderate extent</t>
        </is>
      </c>
      <c r="AM104" s="3" t="inlineStr">
        <is>
          <t>Don’t know or not applicable</t>
        </is>
      </c>
      <c r="AN104" s="3" t="inlineStr">
        <is>
          <t>Don’t know or not applicable</t>
        </is>
      </c>
      <c r="AO104" s="3" t="inlineStr">
        <is>
          <t>Don’t know or not applicable</t>
        </is>
      </c>
      <c r="AP104" s="3" t="inlineStr">
        <is>
          <t>Don’t know or not applicable</t>
        </is>
      </c>
      <c r="AQ104" s="3" t="inlineStr">
        <is>
          <t>Don’t know or not applicable</t>
        </is>
      </c>
      <c r="AR104" s="3" t="inlineStr">
        <is>
          <t>To a slight extent</t>
        </is>
      </c>
      <c r="AS104" s="3" t="n"/>
      <c r="AT104" s="3" t="inlineStr">
        <is>
          <t>Not at all</t>
        </is>
      </c>
      <c r="AU104" s="3" t="inlineStr">
        <is>
          <t>To a slight extent</t>
        </is>
      </c>
      <c r="AV104" s="3" t="inlineStr">
        <is>
          <t>To a moderate extent</t>
        </is>
      </c>
      <c r="AW104" s="3" t="inlineStr">
        <is>
          <t>To a slight extent</t>
        </is>
      </c>
      <c r="AX104" s="3" t="inlineStr">
        <is>
          <t>To a slight extent</t>
        </is>
      </c>
      <c r="AY104" s="3" t="inlineStr">
        <is>
          <t>To a moderate extent</t>
        </is>
      </c>
      <c r="AZ104" s="3" t="inlineStr">
        <is>
          <t>To a slight extent</t>
        </is>
      </c>
      <c r="BA104" s="3" t="inlineStr">
        <is>
          <t>To a great extent</t>
        </is>
      </c>
      <c r="BB104" s="3" t="inlineStr">
        <is>
          <t>To a great extent</t>
        </is>
      </c>
      <c r="BC104" s="3" t="inlineStr">
        <is>
          <t>To a slight extent</t>
        </is>
      </c>
      <c r="BD104" s="3" t="inlineStr">
        <is>
          <t>To a slight extent</t>
        </is>
      </c>
      <c r="BE104" s="3" t="inlineStr">
        <is>
          <t>Don’t know or not applicable</t>
        </is>
      </c>
      <c r="BF104" s="3" t="inlineStr">
        <is>
          <t>Don’t know or not applicable</t>
        </is>
      </c>
      <c r="BG104" s="3" t="inlineStr">
        <is>
          <t>Don’t know or not applicable</t>
        </is>
      </c>
      <c r="BH104" s="3" t="inlineStr">
        <is>
          <t>Don’t know or not applicable</t>
        </is>
      </c>
      <c r="BI104" s="3" t="inlineStr">
        <is>
          <t>Don’t know or not applicable</t>
        </is>
      </c>
      <c r="BJ104" s="3" t="inlineStr">
        <is>
          <t>To a slight extent</t>
        </is>
      </c>
      <c r="BK104" s="3" t="inlineStr">
        <is>
          <t>To a great extent</t>
        </is>
      </c>
      <c r="BL104" s="3" t="inlineStr">
        <is>
          <t>To a slight extent</t>
        </is>
      </c>
      <c r="BM104" s="3" t="inlineStr">
        <is>
          <t>To a slight extent</t>
        </is>
      </c>
      <c r="BN104" s="3" t="inlineStr">
        <is>
          <t>To a slight extent</t>
        </is>
      </c>
      <c r="BO104" s="3" t="inlineStr">
        <is>
          <t>Don’t know or not applicable</t>
        </is>
      </c>
      <c r="BP104" s="3" t="inlineStr">
        <is>
          <t>Don’t know or not applicable</t>
        </is>
      </c>
      <c r="BQ104" s="3" t="inlineStr">
        <is>
          <t>Don’t know or not applicable</t>
        </is>
      </c>
      <c r="BR104" s="3" t="inlineStr">
        <is>
          <t>Don’t know or not applicable</t>
        </is>
      </c>
      <c r="BS104" s="3" t="n"/>
      <c r="BT104" s="3" t="inlineStr">
        <is>
          <t>The IMF should have dedicated less resources</t>
        </is>
      </c>
      <c r="BU104" s="3" t="inlineStr">
        <is>
          <t>To a moderate extent</t>
        </is>
      </c>
      <c r="BV104" s="3" t="inlineStr">
        <is>
          <t>To a slight extent</t>
        </is>
      </c>
      <c r="BW104" s="3" t="inlineStr">
        <is>
          <t>To a great extent</t>
        </is>
      </c>
      <c r="BX104" s="3" t="inlineStr">
        <is>
          <t>To a moderate extent</t>
        </is>
      </c>
      <c r="BY104" s="3" t="inlineStr">
        <is>
          <t>To a slight extent</t>
        </is>
      </c>
      <c r="BZ104" s="3" t="inlineStr">
        <is>
          <t>To a great extent</t>
        </is>
      </c>
      <c r="CA104" s="3" t="inlineStr">
        <is>
          <t>To a moderate extent</t>
        </is>
      </c>
      <c r="CB104" s="3" t="inlineStr">
        <is>
          <t>To a slight extent</t>
        </is>
      </c>
      <c r="CC104" s="3" t="inlineStr">
        <is>
          <t>To a great extent</t>
        </is>
      </c>
      <c r="CD104" s="3" t="inlineStr">
        <is>
          <t>To a moderate extent</t>
        </is>
      </c>
      <c r="CE104" s="3" t="inlineStr">
        <is>
          <t>To a slight extent</t>
        </is>
      </c>
      <c r="CF104" s="3" t="inlineStr">
        <is>
          <t>To a great extent</t>
        </is>
      </c>
      <c r="CG104" s="3" t="n"/>
      <c r="CH104" s="3" t="inlineStr">
        <is>
          <t>No</t>
        </is>
      </c>
      <c r="CI104" s="3" t="inlineStr">
        <is>
          <t>No</t>
        </is>
      </c>
      <c r="CJ104" s="3" t="n"/>
      <c r="CK104" s="3" t="n"/>
      <c r="CL104" s="3" t="n"/>
      <c r="CM104" s="3" t="n"/>
      <c r="CN104" s="3" t="n"/>
      <c r="CO104" s="3" t="n"/>
      <c r="CP104" s="3" t="n"/>
      <c r="CQ104" s="3" t="n"/>
      <c r="CR104" s="3" t="n"/>
      <c r="CS104" s="3" t="n"/>
      <c r="CT104" s="3" t="n"/>
      <c r="CU104" s="3" t="n"/>
      <c r="CV104" s="3" t="n"/>
      <c r="CW104" s="3" t="n"/>
      <c r="CX104" s="3" t="n"/>
      <c r="CY104" s="3" t="n"/>
      <c r="CZ104" s="3" t="n"/>
      <c r="DA104" s="3" t="n"/>
      <c r="DB104" s="3" t="n"/>
      <c r="DC104" s="3" t="n"/>
      <c r="DD104" s="3" t="n"/>
      <c r="DE104" s="3" t="n"/>
      <c r="DF104" s="3" t="n"/>
      <c r="DG104" s="3" t="n"/>
      <c r="DH104" s="3" t="n"/>
      <c r="DI104" s="3" t="n"/>
      <c r="DJ104" s="3" t="n"/>
      <c r="DK104" s="3" t="n"/>
      <c r="DL104" s="3" t="n"/>
      <c r="DM104" s="3" t="n"/>
      <c r="DN104" s="3" t="n"/>
      <c r="DO104" s="3" t="n"/>
      <c r="DP104" s="3" t="inlineStr">
        <is>
          <t>My country is not eligible for an RSF arrangement</t>
        </is>
      </c>
      <c r="DQ104" s="3" t="n"/>
      <c r="DR104" s="3" t="n"/>
      <c r="DS104" s="3" t="n"/>
      <c r="DT104" s="3" t="n"/>
      <c r="DU104" s="3" t="n"/>
      <c r="DV104" s="3" t="n"/>
      <c r="DW104" s="3" t="inlineStr">
        <is>
          <t>Don't know</t>
        </is>
      </c>
      <c r="DX104" s="3" t="n"/>
      <c r="DY104" s="3" t="n"/>
      <c r="DZ104" s="3" t="n"/>
      <c r="EA104" s="3" t="n"/>
      <c r="EB104" s="3" t="n"/>
      <c r="EC104" s="3" t="n"/>
      <c r="ED104" s="3" t="n"/>
      <c r="EE104" s="3" t="n"/>
      <c r="EF104" s="3" t="inlineStr">
        <is>
          <t>To a great extent</t>
        </is>
      </c>
      <c r="EG104" s="3" t="inlineStr">
        <is>
          <t>To a slight extent</t>
        </is>
      </c>
      <c r="EH104" s="3" t="inlineStr">
        <is>
          <t>To a slight extent</t>
        </is>
      </c>
      <c r="EI104" s="3" t="inlineStr">
        <is>
          <t>To a great extent</t>
        </is>
      </c>
      <c r="EJ104" s="3" t="inlineStr">
        <is>
          <t>To a great extent</t>
        </is>
      </c>
      <c r="EK104" s="3" t="inlineStr">
        <is>
          <t>To a great extent</t>
        </is>
      </c>
      <c r="EL104" s="3" t="inlineStr">
        <is>
          <t>To a great extent</t>
        </is>
      </c>
      <c r="EM104" s="3" t="n"/>
      <c r="EN104" s="3" t="n"/>
      <c r="EO104" s="3" t="n"/>
      <c r="EP104" s="3" t="n"/>
      <c r="EQ104" s="3" t="inlineStr">
        <is>
          <t>Not at all</t>
        </is>
      </c>
      <c r="ER104" s="3" t="inlineStr">
        <is>
          <t>Not at all</t>
        </is>
      </c>
      <c r="ES104" s="3" t="n"/>
      <c r="ET104" s="3" t="n"/>
      <c r="EU104" s="3" t="n"/>
      <c r="EV104" s="3" t="n"/>
      <c r="EW104" s="3" t="n"/>
      <c r="EX104" s="3" t="n"/>
      <c r="EY104" s="3" t="n"/>
      <c r="EZ104" s="3" t="n"/>
      <c r="FA104" s="3" t="n"/>
      <c r="FB104" s="3" t="n"/>
      <c r="FC104" s="3" t="n"/>
      <c r="FD104" s="3" t="n"/>
      <c r="FE104" s="3" t="n"/>
      <c r="FF104" s="3" t="n"/>
      <c r="FG104" s="3" t="n"/>
      <c r="FH104" s="3" t="n"/>
      <c r="FI104" s="3" t="n"/>
      <c r="FJ104" s="3" t="n"/>
      <c r="FK104" s="3" t="n"/>
      <c r="FL104" s="3" t="n"/>
      <c r="FM104" s="3" t="n"/>
      <c r="FN104" s="3" t="n"/>
      <c r="FO104" s="3" t="n"/>
      <c r="FP104" s="3" t="n"/>
      <c r="FQ104" s="3" t="n"/>
      <c r="FR104" s="3" t="n"/>
      <c r="FS104" s="3" t="n"/>
      <c r="FT104" s="3" t="n"/>
      <c r="FU104" s="3" t="n"/>
      <c r="FV104" s="3" t="n"/>
      <c r="FW104" s="3" t="n"/>
      <c r="FX104" s="3" t="n"/>
      <c r="FY104" s="3" t="inlineStr">
        <is>
          <t>To a moderate extent</t>
        </is>
      </c>
      <c r="FZ104" s="3" t="inlineStr">
        <is>
          <t>To a slight extent</t>
        </is>
      </c>
      <c r="GA104" s="3" t="inlineStr">
        <is>
          <t>To a moderate extent</t>
        </is>
      </c>
      <c r="GB104" s="3" t="inlineStr">
        <is>
          <t>To a slight extent</t>
        </is>
      </c>
      <c r="GC104" s="3" t="inlineStr">
        <is>
          <t>Don’t know or not applicable</t>
        </is>
      </c>
      <c r="GD104" s="3" t="n"/>
      <c r="GE104" s="3" t="inlineStr">
        <is>
          <t>To a moderate extent</t>
        </is>
      </c>
      <c r="GF104" s="3" t="inlineStr">
        <is>
          <t>To a slight extent</t>
        </is>
      </c>
      <c r="GG104" s="3" t="inlineStr">
        <is>
          <t>To a moderate extent</t>
        </is>
      </c>
      <c r="GH104" s="3" t="inlineStr">
        <is>
          <t>To a slight extent</t>
        </is>
      </c>
      <c r="GI104" s="3" t="inlineStr">
        <is>
          <t>To a moderate extent</t>
        </is>
      </c>
      <c r="GJ104" s="3" t="inlineStr">
        <is>
          <t>To a moderate extent</t>
        </is>
      </c>
      <c r="GK104" s="3" t="inlineStr">
        <is>
          <t>The Comprehensive Surveillance Review (CSR) should determine the Fund's engagement in non-core areas, mindful of the need to prioritize the core mandate.
Such engagement should be conditional on macro-criticality, which needs to be carefully defined in the context of the CSR.
This applies to the Fund's work on climate change-related issues.
When carried out, the Fund's work on climate change-related issues should pay close attention to adaptation and transition challenges, especially in countries facing heightened vulnerabilities.</t>
        </is>
      </c>
      <c r="GL104" s="5">
        <f>DATE(2025,6,4)+TIME(16,28,44)</f>
        <v/>
      </c>
    </row>
    <row r="105" ht="409.5" customHeight="1">
      <c r="A105" s="6" t="inlineStr">
        <is>
          <t>Leo</t>
        </is>
      </c>
      <c r="B105" s="6" t="inlineStr">
        <is>
          <t>Sharma</t>
        </is>
      </c>
      <c r="C105" s="6" t="inlineStr">
        <is>
          <t>lsharma@organization.org</t>
        </is>
      </c>
      <c r="D105" s="6" t="inlineStr">
        <is>
          <t>0WBP1ZWY0</t>
        </is>
      </c>
      <c r="E105" s="6" t="n"/>
      <c r="F105" s="6" t="inlineStr">
        <is>
          <t>OEDEC</t>
        </is>
      </c>
      <c r="G105" s="6" t="n"/>
      <c r="H105" s="6" t="n"/>
      <c r="I105" s="6" t="n"/>
      <c r="J105" s="6" t="n"/>
      <c r="K105" s="6" t="n"/>
      <c r="L105" s="6" t="n"/>
      <c r="M105" s="6" t="n"/>
      <c r="N105" s="6" t="n"/>
      <c r="O105" s="6" t="n"/>
      <c r="P105" s="6" t="inlineStr">
        <is>
          <t>Hungary</t>
        </is>
      </c>
      <c r="Q105" s="6" t="n"/>
      <c r="R105" s="6" t="n"/>
      <c r="S105" s="6" t="n"/>
      <c r="T105" s="6" t="n"/>
      <c r="U105" s="6" t="n"/>
      <c r="V105" s="6" t="n"/>
      <c r="W105" s="6" t="n"/>
      <c r="X105" s="6" t="n"/>
      <c r="Y105" s="6" t="n"/>
      <c r="Z105" s="6" t="n"/>
      <c r="AA105" s="6" t="n"/>
      <c r="AB105" s="6" t="n"/>
      <c r="AC105" s="6" t="n"/>
      <c r="AD105" s="6" t="n"/>
      <c r="AE105" s="6" t="n"/>
      <c r="AF105" s="4" t="inlineStr">
        <is>
          <t>Hungary</t>
        </is>
      </c>
      <c r="AG105" s="6" t="inlineStr">
        <is>
          <t>The IMF should engage a similar amount on climate change-related issues</t>
        </is>
      </c>
      <c r="AH105" s="6" t="inlineStr">
        <is>
          <t>To a great extent</t>
        </is>
      </c>
      <c r="AI105" s="6" t="inlineStr">
        <is>
          <t>To a moderate extent</t>
        </is>
      </c>
      <c r="AJ105" s="6" t="inlineStr">
        <is>
          <t>To a moderate extent</t>
        </is>
      </c>
      <c r="AK105" s="6" t="inlineStr">
        <is>
          <t>To a moderate extent</t>
        </is>
      </c>
      <c r="AL105" s="6" t="inlineStr">
        <is>
          <t>To a moderate extent</t>
        </is>
      </c>
      <c r="AM105" s="6" t="inlineStr">
        <is>
          <t>To a moderate extent</t>
        </is>
      </c>
      <c r="AN105" s="6" t="inlineStr">
        <is>
          <t>To a moderate extent</t>
        </is>
      </c>
      <c r="AO105" s="6" t="inlineStr">
        <is>
          <t>To a moderate extent</t>
        </is>
      </c>
      <c r="AP105" s="6" t="inlineStr">
        <is>
          <t>To a moderate extent</t>
        </is>
      </c>
      <c r="AQ105" s="6" t="inlineStr">
        <is>
          <t>To a great extent</t>
        </is>
      </c>
      <c r="AR105" s="6" t="inlineStr">
        <is>
          <t>To a moderate extent</t>
        </is>
      </c>
      <c r="AS105" s="6" t="n"/>
      <c r="AT105" s="6" t="inlineStr">
        <is>
          <t>To a moderate extent</t>
        </is>
      </c>
      <c r="AU105" s="6" t="inlineStr">
        <is>
          <t>To a moderate extent</t>
        </is>
      </c>
      <c r="AV105" s="6" t="inlineStr">
        <is>
          <t>To a slight extent</t>
        </is>
      </c>
      <c r="AW105" s="6" t="inlineStr">
        <is>
          <t>To a moderate extent</t>
        </is>
      </c>
      <c r="AX105" s="6" t="inlineStr">
        <is>
          <t>To a moderate extent</t>
        </is>
      </c>
      <c r="AY105" s="6" t="inlineStr">
        <is>
          <t>To a moderate extent</t>
        </is>
      </c>
      <c r="AZ105" s="6" t="inlineStr">
        <is>
          <t>To a moderate extent</t>
        </is>
      </c>
      <c r="BA105" s="6" t="inlineStr">
        <is>
          <t>To a slight extent</t>
        </is>
      </c>
      <c r="BB105" s="6" t="inlineStr">
        <is>
          <t>To a moderate extent</t>
        </is>
      </c>
      <c r="BC105" s="6" t="inlineStr">
        <is>
          <t>To a moderate extent</t>
        </is>
      </c>
      <c r="BD105" s="6" t="inlineStr">
        <is>
          <t>To a moderate extent</t>
        </is>
      </c>
      <c r="BE105" s="6" t="inlineStr">
        <is>
          <t>Don’t know or not applicable</t>
        </is>
      </c>
      <c r="BF105" s="6" t="inlineStr">
        <is>
          <t>Don’t know or not applicable</t>
        </is>
      </c>
      <c r="BG105" s="6" t="inlineStr">
        <is>
          <t>Don’t know or not applicable</t>
        </is>
      </c>
      <c r="BH105" s="6" t="inlineStr">
        <is>
          <t>Don’t know or not applicable</t>
        </is>
      </c>
      <c r="BI105" s="6" t="inlineStr">
        <is>
          <t>Don’t know or not applicable</t>
        </is>
      </c>
      <c r="BJ105" s="6" t="inlineStr">
        <is>
          <t>To a moderate extent</t>
        </is>
      </c>
      <c r="BK105" s="6" t="inlineStr">
        <is>
          <t>To a slight extent</t>
        </is>
      </c>
      <c r="BL105" s="6" t="inlineStr">
        <is>
          <t>To a moderate extent</t>
        </is>
      </c>
      <c r="BM105" s="6" t="inlineStr">
        <is>
          <t>To a slight extent</t>
        </is>
      </c>
      <c r="BN105" s="6" t="inlineStr">
        <is>
          <t>To a moderate extent</t>
        </is>
      </c>
      <c r="BO105" s="6" t="inlineStr">
        <is>
          <t>To a moderate extent</t>
        </is>
      </c>
      <c r="BP105" s="6" t="inlineStr">
        <is>
          <t>To a moderate extent</t>
        </is>
      </c>
      <c r="BQ105" s="6" t="inlineStr">
        <is>
          <t>To a moderate extent</t>
        </is>
      </c>
      <c r="BR105" s="6" t="inlineStr">
        <is>
          <t>Don’t know or not applicable</t>
        </is>
      </c>
      <c r="BS105" s="6" t="n"/>
      <c r="BT105" s="6" t="inlineStr">
        <is>
          <t>The IMF dedicated an appropriate amount of resources</t>
        </is>
      </c>
      <c r="BU105" s="6" t="inlineStr">
        <is>
          <t>To a moderate extent</t>
        </is>
      </c>
      <c r="BV105" s="6" t="inlineStr">
        <is>
          <t>To a moderate extent</t>
        </is>
      </c>
      <c r="BW105" s="6" t="inlineStr">
        <is>
          <t>To a moderate extent</t>
        </is>
      </c>
      <c r="BX105" s="6" t="inlineStr">
        <is>
          <t>To a moderate extent</t>
        </is>
      </c>
      <c r="BY105" s="6" t="inlineStr">
        <is>
          <t>To a moderate extent</t>
        </is>
      </c>
      <c r="BZ105" s="6" t="inlineStr">
        <is>
          <t>To a moderate extent</t>
        </is>
      </c>
      <c r="CA105" s="6" t="inlineStr">
        <is>
          <t>To a slight extent</t>
        </is>
      </c>
      <c r="CB105" s="6" t="inlineStr">
        <is>
          <t>To a slight extent</t>
        </is>
      </c>
      <c r="CC105" s="6" t="inlineStr">
        <is>
          <t>To a slight extent</t>
        </is>
      </c>
      <c r="CD105" s="6" t="inlineStr">
        <is>
          <t>To a slight extent</t>
        </is>
      </c>
      <c r="CE105" s="6" t="inlineStr">
        <is>
          <t>To a slight extent</t>
        </is>
      </c>
      <c r="CF105" s="6" t="inlineStr">
        <is>
          <t>To a slight extent</t>
        </is>
      </c>
      <c r="CG105" s="6" t="n"/>
      <c r="CH105" s="6" t="inlineStr">
        <is>
          <t>No</t>
        </is>
      </c>
      <c r="CI105" s="6" t="inlineStr">
        <is>
          <t>No</t>
        </is>
      </c>
      <c r="CJ105" s="6" t="n"/>
      <c r="CK105" s="6" t="n"/>
      <c r="CL105" s="6" t="n"/>
      <c r="CM105" s="6" t="n"/>
      <c r="CN105" s="6" t="n"/>
      <c r="CO105" s="6" t="n"/>
      <c r="CP105" s="6" t="n"/>
      <c r="CQ105" s="6" t="n"/>
      <c r="CR105" s="6" t="n"/>
      <c r="CS105" s="6" t="n"/>
      <c r="CT105" s="6" t="n"/>
      <c r="CU105" s="6" t="n"/>
      <c r="CV105" s="6" t="n"/>
      <c r="CW105" s="6" t="n"/>
      <c r="CX105" s="6" t="n"/>
      <c r="CY105" s="6" t="n"/>
      <c r="CZ105" s="6" t="n"/>
      <c r="DA105" s="6" t="n"/>
      <c r="DB105" s="6" t="n"/>
      <c r="DC105" s="6" t="n"/>
      <c r="DD105" s="6" t="n"/>
      <c r="DE105" s="6" t="n"/>
      <c r="DF105" s="6" t="n"/>
      <c r="DG105" s="6" t="n"/>
      <c r="DH105" s="6" t="n"/>
      <c r="DI105" s="6" t="n"/>
      <c r="DJ105" s="6" t="n"/>
      <c r="DK105" s="6" t="n"/>
      <c r="DL105" s="6" t="n"/>
      <c r="DM105" s="6" t="n"/>
      <c r="DN105" s="6" t="n"/>
      <c r="DO105" s="6" t="n"/>
      <c r="DP105" s="6" t="inlineStr">
        <is>
          <t>My country is not eligible for an RSF arrangement</t>
        </is>
      </c>
      <c r="DQ105" s="6" t="n"/>
      <c r="DR105" s="6" t="n"/>
      <c r="DS105" s="6" t="n"/>
      <c r="DT105" s="6" t="n"/>
      <c r="DU105" s="6" t="n"/>
      <c r="DV105" s="6" t="n"/>
      <c r="DW105" s="6" t="inlineStr">
        <is>
          <t>No</t>
        </is>
      </c>
      <c r="DX105" s="6" t="n"/>
      <c r="DY105" s="6" t="n"/>
      <c r="DZ105" s="6" t="n"/>
      <c r="EA105" s="6" t="n"/>
      <c r="EB105" s="6" t="n"/>
      <c r="EC105" s="6" t="n"/>
      <c r="ED105" s="6" t="n"/>
      <c r="EE105" s="6" t="n"/>
      <c r="EF105" s="6" t="inlineStr">
        <is>
          <t>Don’t know or not applicable</t>
        </is>
      </c>
      <c r="EG105" s="6" t="inlineStr">
        <is>
          <t>Don’t know or not applicable</t>
        </is>
      </c>
      <c r="EH105" s="6" t="inlineStr">
        <is>
          <t>Don’t know or not applicable</t>
        </is>
      </c>
      <c r="EI105" s="6" t="inlineStr">
        <is>
          <t>Don’t know or not applicable</t>
        </is>
      </c>
      <c r="EJ105" s="6" t="inlineStr">
        <is>
          <t>Don’t know or not applicable</t>
        </is>
      </c>
      <c r="EK105" s="6" t="inlineStr">
        <is>
          <t>Don’t know or not applicable</t>
        </is>
      </c>
      <c r="EL105" s="6" t="inlineStr">
        <is>
          <t>Don’t know or not applicable</t>
        </is>
      </c>
      <c r="EM105" s="6" t="n"/>
      <c r="EN105" s="6" t="n"/>
      <c r="EO105" s="6" t="n"/>
      <c r="EP105" s="6" t="n"/>
      <c r="EQ105" s="6" t="inlineStr">
        <is>
          <t>Not at all</t>
        </is>
      </c>
      <c r="ER105" s="6" t="inlineStr">
        <is>
          <t>To a slight extent</t>
        </is>
      </c>
      <c r="ES105" s="6" t="n"/>
      <c r="ET105" s="6" t="n"/>
      <c r="EU105" s="6" t="n"/>
      <c r="EV105" s="6" t="n"/>
      <c r="EW105" s="6" t="n"/>
      <c r="EX105" s="6" t="n"/>
      <c r="EY105" s="6" t="n"/>
      <c r="EZ105" s="6" t="n"/>
      <c r="FA105" s="6" t="n"/>
      <c r="FB105" s="6" t="n"/>
      <c r="FC105" s="6" t="n"/>
      <c r="FD105" s="6" t="n"/>
      <c r="FE105" s="6" t="n"/>
      <c r="FF105" s="6" t="n"/>
      <c r="FG105" s="6" t="n"/>
      <c r="FH105" s="6" t="inlineStr">
        <is>
          <t>To a moderate extent</t>
        </is>
      </c>
      <c r="FI105" s="6" t="inlineStr">
        <is>
          <t>To a moderate extent</t>
        </is>
      </c>
      <c r="FJ105" s="6" t="inlineStr">
        <is>
          <t>To a slight extent</t>
        </is>
      </c>
      <c r="FK105" s="6" t="inlineStr">
        <is>
          <t>To a moderate extent</t>
        </is>
      </c>
      <c r="FL105" s="6" t="inlineStr">
        <is>
          <t>To a moderate extent</t>
        </is>
      </c>
      <c r="FM105" s="6" t="inlineStr">
        <is>
          <t>To a slight extent</t>
        </is>
      </c>
      <c r="FN105" s="6" t="inlineStr">
        <is>
          <t>To a slight extent</t>
        </is>
      </c>
      <c r="FO105" s="6" t="inlineStr">
        <is>
          <t>To a slight extent</t>
        </is>
      </c>
      <c r="FP105" s="6" t="inlineStr">
        <is>
          <t>To a slight extent</t>
        </is>
      </c>
      <c r="FQ105" s="6" t="inlineStr">
        <is>
          <t>To a slight extent</t>
        </is>
      </c>
      <c r="FR105" s="6" t="inlineStr">
        <is>
          <t>Don’t know or not applicable</t>
        </is>
      </c>
      <c r="FS105" s="6" t="inlineStr">
        <is>
          <t>Don’t know or not applicable</t>
        </is>
      </c>
      <c r="FT105" s="6" t="inlineStr">
        <is>
          <t>Don’t know or not applicable</t>
        </is>
      </c>
      <c r="FU105" s="6" t="inlineStr">
        <is>
          <t>Don’t know or not applicable</t>
        </is>
      </c>
      <c r="FV105" s="6" t="n"/>
      <c r="FW105" s="6" t="inlineStr">
        <is>
          <t>The IMF dedicated the appropriate amount of resources</t>
        </is>
      </c>
      <c r="FX105" s="6" t="n"/>
      <c r="FY105" s="6" t="inlineStr">
        <is>
          <t>To a moderate extent</t>
        </is>
      </c>
      <c r="FZ105" s="6" t="inlineStr">
        <is>
          <t>To a moderate extent</t>
        </is>
      </c>
      <c r="GA105" s="6" t="inlineStr">
        <is>
          <t>To a moderate extent</t>
        </is>
      </c>
      <c r="GB105" s="6" t="inlineStr">
        <is>
          <t>To a slight extent</t>
        </is>
      </c>
      <c r="GC105" s="6" t="inlineStr">
        <is>
          <t>To a moderate extent</t>
        </is>
      </c>
      <c r="GD105" s="6" t="inlineStr">
        <is>
          <t>With regard to mitigation and adaptation measures, it would certainly be valuable to have a compilation of good examples, which could also reflect specific geographical circumstances where relevant. In this area, the IMF, as an international organisation, could provide useful input to countries, whether they are members of the European Union or not.</t>
        </is>
      </c>
      <c r="GE105" s="6" t="inlineStr">
        <is>
          <t>To a great extent</t>
        </is>
      </c>
      <c r="GF105" s="6" t="inlineStr">
        <is>
          <t>To a moderate extent</t>
        </is>
      </c>
      <c r="GG105" s="6" t="inlineStr">
        <is>
          <t>To a great extent</t>
        </is>
      </c>
      <c r="GH105" s="6" t="inlineStr">
        <is>
          <t>To a moderate extent</t>
        </is>
      </c>
      <c r="GI105" s="6" t="inlineStr">
        <is>
          <t>To a moderate extent</t>
        </is>
      </c>
      <c r="GJ105" s="6" t="inlineStr">
        <is>
          <t>To a moderate extent</t>
        </is>
      </c>
      <c r="GK105" s="6" t="inlineStr">
        <is>
          <t>Hungary supports the IMF's core mandate to aid macroeconomic and financial stability and to have a balanced approach taking into account energy security, affordability and competitiveness. While individual states should remain the key players to define their energy and climate policies, the IMF could play a very important advisory role to assist climate-related financial risk assessments to maintain resilience.
With the new collective quantified goal (NCQG) adopted at COP29 last year, the IMF can also foster the mobilization of international climate finance sources (especially from the private sector) and play a substantial role in the reform of the IFI-sector.
And also in a broader context, the principle of macro criticality should continue to be observed in the IMF's engagements with newer policy areas.</t>
        </is>
      </c>
      <c r="GL105" s="7">
        <f>DATE(2025,6,9)+TIME(10,40,35)</f>
        <v/>
      </c>
    </row>
    <row r="106" ht="47.25" customHeight="1">
      <c r="A106" s="3" t="inlineStr">
        <is>
          <t>Diego</t>
        </is>
      </c>
      <c r="B106" s="3" t="inlineStr">
        <is>
          <t>Osei</t>
        </is>
      </c>
      <c r="C106" s="3" t="inlineStr">
        <is>
          <t>dosei@organization.org</t>
        </is>
      </c>
      <c r="D106" s="3" t="inlineStr">
        <is>
          <t>SV92WNNJ7</t>
        </is>
      </c>
      <c r="E106" s="3" t="n"/>
      <c r="F106" s="3" t="inlineStr">
        <is>
          <t>OEDAS</t>
        </is>
      </c>
      <c r="G106" s="3" t="n"/>
      <c r="H106" s="3" t="n"/>
      <c r="I106" s="3" t="n"/>
      <c r="J106" s="3" t="inlineStr">
        <is>
          <t>Malawi</t>
        </is>
      </c>
      <c r="K106" s="3" t="n"/>
      <c r="L106" s="3" t="n"/>
      <c r="M106" s="3" t="n"/>
      <c r="N106" s="3" t="n"/>
      <c r="O106" s="3" t="n"/>
      <c r="P106" s="3" t="n"/>
      <c r="Q106" s="3" t="n"/>
      <c r="R106" s="3" t="n"/>
      <c r="S106" s="3" t="n"/>
      <c r="T106" s="3" t="n"/>
      <c r="U106" s="3" t="n"/>
      <c r="V106" s="3" t="n"/>
      <c r="W106" s="3" t="n"/>
      <c r="X106" s="3" t="n"/>
      <c r="Y106" s="3" t="n"/>
      <c r="Z106" s="3" t="n"/>
      <c r="AA106" s="3" t="n"/>
      <c r="AB106" s="3" t="n"/>
      <c r="AC106" s="3" t="n"/>
      <c r="AD106" s="3" t="n"/>
      <c r="AE106" s="3" t="n"/>
      <c r="AF106" s="4" t="inlineStr">
        <is>
          <t>Malawi</t>
        </is>
      </c>
      <c r="AG106" s="3" t="inlineStr">
        <is>
          <t>The IMF should engage more on climate change-related issues</t>
        </is>
      </c>
      <c r="AH106" s="3" t="inlineStr">
        <is>
          <t>To a slight extent</t>
        </is>
      </c>
      <c r="AI106" s="3" t="inlineStr">
        <is>
          <t>To a great extent</t>
        </is>
      </c>
      <c r="AJ106" s="3" t="inlineStr">
        <is>
          <t>Don’t know or not applicable</t>
        </is>
      </c>
      <c r="AK106" s="3" t="inlineStr">
        <is>
          <t>To a moderate extent</t>
        </is>
      </c>
      <c r="AL106" s="3" t="inlineStr">
        <is>
          <t>Don’t know or not applicable</t>
        </is>
      </c>
      <c r="AM106" s="3" t="inlineStr">
        <is>
          <t>Don’t know or not applicable</t>
        </is>
      </c>
      <c r="AN106" s="3" t="inlineStr">
        <is>
          <t>Don’t know or not applicable</t>
        </is>
      </c>
      <c r="AO106" s="3" t="inlineStr">
        <is>
          <t>Don’t know or not applicable</t>
        </is>
      </c>
      <c r="AP106" s="3" t="inlineStr">
        <is>
          <t>To a great extent</t>
        </is>
      </c>
      <c r="AQ106" s="3" t="inlineStr">
        <is>
          <t>To a great extent</t>
        </is>
      </c>
      <c r="AR106" s="3" t="inlineStr">
        <is>
          <t>Don’t know or not applicable</t>
        </is>
      </c>
      <c r="AS106" s="3" t="n"/>
      <c r="AT106" s="3" t="inlineStr">
        <is>
          <t>Don’t know or not applicable</t>
        </is>
      </c>
      <c r="AU106" s="3" t="inlineStr">
        <is>
          <t>Don’t know or not applicable</t>
        </is>
      </c>
      <c r="AV106" s="3" t="inlineStr">
        <is>
          <t>Not at all</t>
        </is>
      </c>
      <c r="AW106" s="3" t="inlineStr">
        <is>
          <t>Don’t know or not applicable</t>
        </is>
      </c>
      <c r="AX106" s="3" t="inlineStr">
        <is>
          <t>Don’t know or not applicable</t>
        </is>
      </c>
      <c r="AY106" s="3" t="inlineStr">
        <is>
          <t>Don’t know or not applicable</t>
        </is>
      </c>
      <c r="AZ106" s="3" t="inlineStr">
        <is>
          <t>To a great extent</t>
        </is>
      </c>
      <c r="BA106" s="3" t="inlineStr">
        <is>
          <t>Not at all</t>
        </is>
      </c>
      <c r="BB106" s="3" t="inlineStr">
        <is>
          <t>To a great extent</t>
        </is>
      </c>
      <c r="BC106" s="3" t="inlineStr">
        <is>
          <t>To a great extent</t>
        </is>
      </c>
      <c r="BD106" s="3" t="inlineStr">
        <is>
          <t>Don’t know or not applicable</t>
        </is>
      </c>
      <c r="BE106" s="3" t="inlineStr">
        <is>
          <t>Don’t know or not applicable</t>
        </is>
      </c>
      <c r="BF106" s="3" t="inlineStr">
        <is>
          <t>Don’t know or not applicable</t>
        </is>
      </c>
      <c r="BG106" s="3" t="inlineStr">
        <is>
          <t>Don’t know or not applicable</t>
        </is>
      </c>
      <c r="BH106" s="3" t="inlineStr">
        <is>
          <t>Don’t know or not applicable</t>
        </is>
      </c>
      <c r="BI106" s="3" t="inlineStr">
        <is>
          <t>Don’t know or not applicable</t>
        </is>
      </c>
      <c r="BJ106" s="3" t="inlineStr">
        <is>
          <t>To a slight extent</t>
        </is>
      </c>
      <c r="BK106" s="3" t="inlineStr">
        <is>
          <t>Not at all</t>
        </is>
      </c>
      <c r="BL106" s="3" t="inlineStr">
        <is>
          <t>To a slight extent</t>
        </is>
      </c>
      <c r="BM106" s="3" t="inlineStr">
        <is>
          <t>Don’t know or not applicable</t>
        </is>
      </c>
      <c r="BN106" s="3" t="inlineStr">
        <is>
          <t>Don’t know or not applicable</t>
        </is>
      </c>
      <c r="BO106" s="3" t="inlineStr">
        <is>
          <t>To a great extent</t>
        </is>
      </c>
      <c r="BP106" s="3" t="inlineStr">
        <is>
          <t>To a great extent</t>
        </is>
      </c>
      <c r="BQ106" s="3" t="inlineStr">
        <is>
          <t>Don’t know or not applicable</t>
        </is>
      </c>
      <c r="BR106" s="3" t="inlineStr">
        <is>
          <t>Don’t know or not applicable</t>
        </is>
      </c>
      <c r="BS106" s="3" t="n"/>
      <c r="BT106" s="3" t="inlineStr">
        <is>
          <t>The IMF should have dedicated more resources</t>
        </is>
      </c>
      <c r="BU106" s="3" t="inlineStr">
        <is>
          <t>To a great extent</t>
        </is>
      </c>
      <c r="BV106" s="3" t="inlineStr">
        <is>
          <t>To a great extent</t>
        </is>
      </c>
      <c r="BW106" s="3" t="inlineStr">
        <is>
          <t>To a great extent</t>
        </is>
      </c>
      <c r="BX106" s="3" t="inlineStr">
        <is>
          <t>To a great extent</t>
        </is>
      </c>
      <c r="BY106" s="3" t="inlineStr">
        <is>
          <t>To a great extent</t>
        </is>
      </c>
      <c r="BZ106" s="3" t="inlineStr">
        <is>
          <t>To a great extent</t>
        </is>
      </c>
      <c r="CA106" s="3" t="inlineStr">
        <is>
          <t>To a great extent</t>
        </is>
      </c>
      <c r="CB106" s="3" t="inlineStr">
        <is>
          <t>To a great extent</t>
        </is>
      </c>
      <c r="CC106" s="3" t="inlineStr">
        <is>
          <t>To a great extent</t>
        </is>
      </c>
      <c r="CD106" s="3" t="inlineStr">
        <is>
          <t>To a great extent</t>
        </is>
      </c>
      <c r="CE106" s="3" t="inlineStr">
        <is>
          <t>To a great extent</t>
        </is>
      </c>
      <c r="CF106" s="3" t="inlineStr">
        <is>
          <t>To a great extent</t>
        </is>
      </c>
      <c r="CG106" s="3" t="n"/>
      <c r="CH106" s="3" t="inlineStr">
        <is>
          <t>No</t>
        </is>
      </c>
      <c r="CI106" s="3" t="inlineStr">
        <is>
          <t>Yes</t>
        </is>
      </c>
      <c r="CJ106" s="3" t="n"/>
      <c r="CK106" s="3" t="n"/>
      <c r="CL106" s="3" t="n"/>
      <c r="CM106" s="3" t="n"/>
      <c r="CN106" s="3" t="n"/>
      <c r="CO106" s="3" t="n"/>
      <c r="CP106" s="3" t="n"/>
      <c r="CQ106" s="3" t="n"/>
      <c r="CR106" s="3" t="n"/>
      <c r="CS106" s="3" t="n"/>
      <c r="CT106" s="3" t="n"/>
      <c r="CU106" s="3" t="n"/>
      <c r="CV106" s="3" t="n"/>
      <c r="CW106" s="3" t="n"/>
      <c r="CX106" s="3" t="n"/>
      <c r="CY106" s="3" t="n"/>
      <c r="CZ106" s="3" t="n"/>
      <c r="DA106" s="3" t="n"/>
      <c r="DB106" s="3" t="n"/>
      <c r="DC106" s="3" t="n"/>
      <c r="DD106" s="3" t="n"/>
      <c r="DE106" s="3" t="n"/>
      <c r="DF106" s="3" t="n"/>
      <c r="DG106" s="3" t="n"/>
      <c r="DH106" s="3" t="n"/>
      <c r="DI106" s="3" t="n"/>
      <c r="DJ106" s="3" t="n"/>
      <c r="DK106" s="3" t="n"/>
      <c r="DL106" s="3" t="n"/>
      <c r="DM106" s="3" t="n"/>
      <c r="DN106" s="3" t="n"/>
      <c r="DO106" s="3" t="n"/>
      <c r="DP106" s="3" t="n"/>
      <c r="DQ106" s="3" t="n"/>
      <c r="DR106" s="3" t="n"/>
      <c r="DS106" s="3" t="n"/>
      <c r="DT106" s="3" t="n"/>
      <c r="DU106" s="3" t="n"/>
      <c r="DV106" s="3" t="inlineStr">
        <is>
          <t>Other (please specify) : Insufficient progress in the implementation of an ECF</t>
        </is>
      </c>
      <c r="DW106" s="3" t="inlineStr">
        <is>
          <t>Don't know</t>
        </is>
      </c>
      <c r="DX106" s="3" t="n"/>
      <c r="DY106" s="3" t="n"/>
      <c r="DZ106" s="3" t="n"/>
      <c r="EA106" s="3" t="n"/>
      <c r="EB106" s="3" t="n"/>
      <c r="EC106" s="3" t="n"/>
      <c r="ED106" s="3" t="n"/>
      <c r="EE106" s="3" t="n"/>
      <c r="EF106" s="3" t="inlineStr">
        <is>
          <t>To a great extent</t>
        </is>
      </c>
      <c r="EG106" s="3" t="inlineStr">
        <is>
          <t>Don’t know or not applicable</t>
        </is>
      </c>
      <c r="EH106" s="3" t="inlineStr">
        <is>
          <t>Don’t know or not applicable</t>
        </is>
      </c>
      <c r="EI106" s="3" t="inlineStr">
        <is>
          <t>Don’t know or not applicable</t>
        </is>
      </c>
      <c r="EJ106" s="3" t="inlineStr">
        <is>
          <t>To a great extent</t>
        </is>
      </c>
      <c r="EK106" s="3" t="inlineStr">
        <is>
          <t>To a great extent</t>
        </is>
      </c>
      <c r="EL106" s="3" t="inlineStr">
        <is>
          <t>To a great extent</t>
        </is>
      </c>
      <c r="EM106" s="3" t="inlineStr">
        <is>
          <t>To a moderate extent</t>
        </is>
      </c>
      <c r="EN106" s="3" t="inlineStr">
        <is>
          <t>Not at all</t>
        </is>
      </c>
      <c r="EO106" s="3" t="inlineStr">
        <is>
          <t>To a slight extent</t>
        </is>
      </c>
      <c r="EP106" s="3" t="n"/>
      <c r="EQ106" s="3" t="inlineStr">
        <is>
          <t>Not at all</t>
        </is>
      </c>
      <c r="ER106" s="3" t="inlineStr">
        <is>
          <t>Not at all</t>
        </is>
      </c>
      <c r="ES106" s="3" t="n"/>
      <c r="ET106" s="3" t="n"/>
      <c r="EU106" s="3" t="n"/>
      <c r="EV106" s="3" t="n"/>
      <c r="EW106" s="3" t="n"/>
      <c r="EX106" s="3" t="n"/>
      <c r="EY106" s="3" t="n"/>
      <c r="EZ106" s="3" t="n"/>
      <c r="FA106" s="3" t="n"/>
      <c r="FB106" s="3" t="n"/>
      <c r="FC106" s="3" t="n"/>
      <c r="FD106" s="3" t="n"/>
      <c r="FE106" s="3" t="n"/>
      <c r="FF106" s="3" t="n"/>
      <c r="FG106" s="3" t="n"/>
      <c r="FH106" s="3" t="n"/>
      <c r="FI106" s="3" t="n"/>
      <c r="FJ106" s="3" t="n"/>
      <c r="FK106" s="3" t="n"/>
      <c r="FL106" s="3" t="n"/>
      <c r="FM106" s="3" t="n"/>
      <c r="FN106" s="3" t="n"/>
      <c r="FO106" s="3" t="n"/>
      <c r="FP106" s="3" t="n"/>
      <c r="FQ106" s="3" t="n"/>
      <c r="FR106" s="3" t="n"/>
      <c r="FS106" s="3" t="n"/>
      <c r="FT106" s="3" t="n"/>
      <c r="FU106" s="3" t="n"/>
      <c r="FV106" s="3" t="n"/>
      <c r="FW106" s="3" t="n"/>
      <c r="FX106" s="3" t="n"/>
      <c r="FY106" s="3" t="inlineStr">
        <is>
          <t>To a great extent</t>
        </is>
      </c>
      <c r="FZ106" s="3" t="inlineStr">
        <is>
          <t>To a great extent</t>
        </is>
      </c>
      <c r="GA106" s="3" t="inlineStr">
        <is>
          <t>To a great extent</t>
        </is>
      </c>
      <c r="GB106" s="3" t="inlineStr">
        <is>
          <t>To a great extent</t>
        </is>
      </c>
      <c r="GC106" s="3" t="n"/>
      <c r="GD106" s="3" t="n"/>
      <c r="GE106" s="3" t="inlineStr">
        <is>
          <t>To a great extent</t>
        </is>
      </c>
      <c r="GF106" s="3" t="inlineStr">
        <is>
          <t>To a great extent</t>
        </is>
      </c>
      <c r="GG106" s="3" t="inlineStr">
        <is>
          <t>To a great extent</t>
        </is>
      </c>
      <c r="GH106" s="3" t="inlineStr">
        <is>
          <t>To a great extent</t>
        </is>
      </c>
      <c r="GI106" s="3" t="inlineStr">
        <is>
          <t>To a great extent</t>
        </is>
      </c>
      <c r="GJ106" s="3" t="inlineStr">
        <is>
          <t>To a great extent</t>
        </is>
      </c>
      <c r="GK106" s="3" t="n"/>
      <c r="GL106" s="5">
        <f>DATE(2025,6,9)+TIME(17,7,46)</f>
        <v/>
      </c>
    </row>
    <row r="107" ht="409.5" customHeight="1">
      <c r="A107" s="6" t="inlineStr">
        <is>
          <t>Dante</t>
        </is>
      </c>
      <c r="B107" s="6" t="inlineStr">
        <is>
          <t>Reyes</t>
        </is>
      </c>
      <c r="C107" s="6" t="inlineStr">
        <is>
          <t>dreyes@organization.org</t>
        </is>
      </c>
      <c r="D107" s="6" t="inlineStr">
        <is>
          <t>G7M8N85XC</t>
        </is>
      </c>
      <c r="E107" s="6" t="n"/>
      <c r="F107" s="6" t="inlineStr">
        <is>
          <t>OEDAW</t>
        </is>
      </c>
      <c r="G107" s="6" t="n"/>
      <c r="H107" s="6" t="n"/>
      <c r="I107" s="6" t="n"/>
      <c r="J107" s="6" t="n"/>
      <c r="K107" s="6" t="inlineStr">
        <is>
          <t>Mauritania</t>
        </is>
      </c>
      <c r="L107" s="6" t="n"/>
      <c r="M107" s="6" t="n"/>
      <c r="N107" s="6" t="n"/>
      <c r="O107" s="6" t="n"/>
      <c r="P107" s="6" t="n"/>
      <c r="Q107" s="6" t="n"/>
      <c r="R107" s="6" t="n"/>
      <c r="S107" s="6" t="n"/>
      <c r="T107" s="6" t="n"/>
      <c r="U107" s="6" t="n"/>
      <c r="V107" s="6" t="n"/>
      <c r="W107" s="6" t="n"/>
      <c r="X107" s="6" t="n"/>
      <c r="Y107" s="6" t="n"/>
      <c r="Z107" s="6" t="n"/>
      <c r="AA107" s="6" t="n"/>
      <c r="AB107" s="6" t="n"/>
      <c r="AC107" s="6" t="n"/>
      <c r="AD107" s="6" t="n"/>
      <c r="AE107" s="6" t="n"/>
      <c r="AF107" s="4" t="inlineStr">
        <is>
          <t>Mauritania</t>
        </is>
      </c>
      <c r="AG107" s="6" t="inlineStr">
        <is>
          <t>The IMF should engage more on climate change-related issues</t>
        </is>
      </c>
      <c r="AH107" s="6" t="inlineStr">
        <is>
          <t>To a great extent</t>
        </is>
      </c>
      <c r="AI107" s="6" t="inlineStr">
        <is>
          <t>To a moderate extent</t>
        </is>
      </c>
      <c r="AJ107" s="6" t="inlineStr">
        <is>
          <t>To a moderate extent</t>
        </is>
      </c>
      <c r="AK107" s="6" t="inlineStr">
        <is>
          <t>To a great extent</t>
        </is>
      </c>
      <c r="AL107" s="6" t="inlineStr">
        <is>
          <t>To a great extent</t>
        </is>
      </c>
      <c r="AM107" s="6" t="inlineStr">
        <is>
          <t>To a great extent</t>
        </is>
      </c>
      <c r="AN107" s="6" t="inlineStr">
        <is>
          <t>Not at all</t>
        </is>
      </c>
      <c r="AO107" s="6" t="inlineStr">
        <is>
          <t>To a great extent</t>
        </is>
      </c>
      <c r="AP107" s="6" t="inlineStr">
        <is>
          <t>To a slight extent</t>
        </is>
      </c>
      <c r="AQ107" s="6" t="inlineStr">
        <is>
          <t>To a great extent</t>
        </is>
      </c>
      <c r="AR107" s="6" t="inlineStr">
        <is>
          <t>To a moderate extent</t>
        </is>
      </c>
      <c r="AS107" s="6" t="n"/>
      <c r="AT107" s="6" t="inlineStr">
        <is>
          <t>To a great extent</t>
        </is>
      </c>
      <c r="AU107" s="6" t="inlineStr">
        <is>
          <t>To a great extent</t>
        </is>
      </c>
      <c r="AV107" s="6" t="inlineStr">
        <is>
          <t>To a slight extent</t>
        </is>
      </c>
      <c r="AW107" s="6" t="inlineStr">
        <is>
          <t>To a great extent</t>
        </is>
      </c>
      <c r="AX107" s="6" t="inlineStr">
        <is>
          <t>To a great extent</t>
        </is>
      </c>
      <c r="AY107" s="6" t="inlineStr">
        <is>
          <t>To a moderate extent</t>
        </is>
      </c>
      <c r="AZ107" s="6" t="inlineStr">
        <is>
          <t>To a moderate extent</t>
        </is>
      </c>
      <c r="BA107" s="6" t="inlineStr">
        <is>
          <t>To a moderate extent</t>
        </is>
      </c>
      <c r="BB107" s="6" t="inlineStr">
        <is>
          <t>To a great extent</t>
        </is>
      </c>
      <c r="BC107" s="6" t="inlineStr">
        <is>
          <t>To a great extent</t>
        </is>
      </c>
      <c r="BD107" s="6" t="inlineStr">
        <is>
          <t>To a moderate extent</t>
        </is>
      </c>
      <c r="BE107" s="6" t="inlineStr">
        <is>
          <t>Don’t know or not applicable</t>
        </is>
      </c>
      <c r="BF107" s="6" t="inlineStr">
        <is>
          <t>Not at all</t>
        </is>
      </c>
      <c r="BG107" s="6" t="inlineStr">
        <is>
          <t>Not at all</t>
        </is>
      </c>
      <c r="BH107" s="6" t="inlineStr">
        <is>
          <t>Not at all</t>
        </is>
      </c>
      <c r="BI107" s="6" t="inlineStr">
        <is>
          <t>Don’t know or not applicable</t>
        </is>
      </c>
      <c r="BJ107" s="6" t="inlineStr">
        <is>
          <t>To a great extent</t>
        </is>
      </c>
      <c r="BK107" s="6" t="inlineStr">
        <is>
          <t>To a moderate extent</t>
        </is>
      </c>
      <c r="BL107" s="6" t="inlineStr">
        <is>
          <t>To a great extent</t>
        </is>
      </c>
      <c r="BM107" s="6" t="inlineStr">
        <is>
          <t>To a great extent</t>
        </is>
      </c>
      <c r="BN107" s="6" t="inlineStr">
        <is>
          <t>To a great extent</t>
        </is>
      </c>
      <c r="BO107" s="6" t="inlineStr">
        <is>
          <t>To a great extent</t>
        </is>
      </c>
      <c r="BP107" s="6" t="inlineStr">
        <is>
          <t>To a great extent</t>
        </is>
      </c>
      <c r="BQ107" s="6" t="inlineStr">
        <is>
          <t>Don’t know or not applicable</t>
        </is>
      </c>
      <c r="BR107" s="6" t="inlineStr">
        <is>
          <t>Don’t know or not applicable</t>
        </is>
      </c>
      <c r="BS107" s="6" t="n"/>
      <c r="BT107" s="6" t="inlineStr">
        <is>
          <t>The IMF should have dedicated more resources</t>
        </is>
      </c>
      <c r="BU107" s="6" t="inlineStr">
        <is>
          <t>To a great extent</t>
        </is>
      </c>
      <c r="BV107" s="6" t="inlineStr">
        <is>
          <t>To a moderate extent</t>
        </is>
      </c>
      <c r="BW107" s="6" t="inlineStr">
        <is>
          <t>To a great extent</t>
        </is>
      </c>
      <c r="BX107" s="6" t="inlineStr">
        <is>
          <t>To a great extent</t>
        </is>
      </c>
      <c r="BY107" s="6" t="inlineStr">
        <is>
          <t>To a moderate extent</t>
        </is>
      </c>
      <c r="BZ107" s="6" t="inlineStr">
        <is>
          <t>To a great extent</t>
        </is>
      </c>
      <c r="CA107" s="6" t="inlineStr">
        <is>
          <t>To a moderate extent</t>
        </is>
      </c>
      <c r="CB107" s="6" t="inlineStr">
        <is>
          <t>To a moderate extent</t>
        </is>
      </c>
      <c r="CC107" s="6" t="inlineStr">
        <is>
          <t>To a moderate extent</t>
        </is>
      </c>
      <c r="CD107" s="6" t="inlineStr">
        <is>
          <t>To a great extent</t>
        </is>
      </c>
      <c r="CE107" s="6" t="inlineStr">
        <is>
          <t>To a great extent</t>
        </is>
      </c>
      <c r="CF107" s="6" t="inlineStr">
        <is>
          <t>To a great extent</t>
        </is>
      </c>
      <c r="CG107" s="6" t="n"/>
      <c r="CH107" s="6" t="inlineStr">
        <is>
          <t>Yes</t>
        </is>
      </c>
      <c r="CI107" s="6" t="inlineStr">
        <is>
          <t>Yes</t>
        </is>
      </c>
      <c r="CJ107" s="6" t="inlineStr">
        <is>
          <t>To a great extent</t>
        </is>
      </c>
      <c r="CK107" s="6" t="inlineStr">
        <is>
          <t>To a great extent</t>
        </is>
      </c>
      <c r="CL107" s="6" t="inlineStr">
        <is>
          <t>To a great extent</t>
        </is>
      </c>
      <c r="CM107" s="6" t="inlineStr">
        <is>
          <t>To a moderate extent</t>
        </is>
      </c>
      <c r="CN107" s="6" t="inlineStr">
        <is>
          <t>To a moderate extent</t>
        </is>
      </c>
      <c r="CO107" s="6" t="inlineStr">
        <is>
          <t>To a great extent</t>
        </is>
      </c>
      <c r="CP107" s="6" t="inlineStr">
        <is>
          <t>To a great extent</t>
        </is>
      </c>
      <c r="CQ107" s="6" t="inlineStr">
        <is>
          <t>To a great extent</t>
        </is>
      </c>
      <c r="CR107" s="6" t="inlineStr">
        <is>
          <t>To a moderate extent</t>
        </is>
      </c>
      <c r="CS107" s="6" t="inlineStr">
        <is>
          <t>To a great extent</t>
        </is>
      </c>
      <c r="CT107" s="6" t="inlineStr">
        <is>
          <t>To a great extent</t>
        </is>
      </c>
      <c r="CU107" s="6" t="inlineStr">
        <is>
          <t>Don’t know or not applicable</t>
        </is>
      </c>
      <c r="CV107" s="6" t="inlineStr">
        <is>
          <t>To a slight extent</t>
        </is>
      </c>
      <c r="CW107" s="6" t="inlineStr">
        <is>
          <t>To a great extent</t>
        </is>
      </c>
      <c r="CX107" s="6" t="inlineStr">
        <is>
          <t>To a great extent</t>
        </is>
      </c>
      <c r="CY107" s="6" t="inlineStr">
        <is>
          <t>To a great extent</t>
        </is>
      </c>
      <c r="CZ107" s="6" t="inlineStr">
        <is>
          <t>To a great extent</t>
        </is>
      </c>
      <c r="DA107" s="6" t="inlineStr">
        <is>
          <t>Don’t know or not applicable</t>
        </is>
      </c>
      <c r="DB107" s="6" t="inlineStr">
        <is>
          <t>Additional new spending</t>
        </is>
      </c>
      <c r="DC107" s="6" t="inlineStr">
        <is>
          <t>Existing planned spending (substituting for other financing)</t>
        </is>
      </c>
      <c r="DD107" s="6" t="n"/>
      <c r="DE107" s="6" t="inlineStr">
        <is>
          <t>Building reserves</t>
        </is>
      </c>
      <c r="DF107" s="6" t="inlineStr">
        <is>
          <t>Climate change-related policies</t>
        </is>
      </c>
      <c r="DG107" s="6" t="n"/>
      <c r="DH107" s="6" t="inlineStr">
        <is>
          <t>To a moderate extent</t>
        </is>
      </c>
      <c r="DI107" s="6" t="inlineStr">
        <is>
          <t>To a great extent</t>
        </is>
      </c>
      <c r="DJ107" s="6" t="inlineStr">
        <is>
          <t>To a moderate extent</t>
        </is>
      </c>
      <c r="DK107" s="6" t="inlineStr">
        <is>
          <t>To a moderate extent</t>
        </is>
      </c>
      <c r="DL107" s="6" t="inlineStr">
        <is>
          <t>To a moderate extent</t>
        </is>
      </c>
      <c r="DM107" s="6" t="inlineStr">
        <is>
          <t>Don’t know or not applicable</t>
        </is>
      </c>
      <c r="DN107" s="6" t="n"/>
      <c r="DO107" s="6" t="n"/>
      <c r="DP107" s="6" t="n"/>
      <c r="DQ107" s="6" t="n"/>
      <c r="DR107" s="6" t="n"/>
      <c r="DS107" s="6" t="n"/>
      <c r="DT107" s="6" t="n"/>
      <c r="DU107" s="6" t="n"/>
      <c r="DV107" s="6" t="n"/>
      <c r="DW107" s="6" t="inlineStr">
        <is>
          <t>Yes</t>
        </is>
      </c>
      <c r="DX107" s="6" t="inlineStr">
        <is>
          <t>World Bank Group</t>
        </is>
      </c>
      <c r="DY107" s="6" t="inlineStr">
        <is>
          <t>Regional development banks</t>
        </is>
      </c>
      <c r="DZ107" s="6" t="inlineStr">
        <is>
          <t>Bilateral sources</t>
        </is>
      </c>
      <c r="EA107" s="6" t="n"/>
      <c r="EB107" s="6" t="inlineStr">
        <is>
          <t>Other (please specify) : United Nations Agencies and Specialized Climate Funds (UNEP, GEF, UNDP, FAO)</t>
        </is>
      </c>
      <c r="EC107" s="6" t="inlineStr">
        <is>
          <t>To a great extent</t>
        </is>
      </c>
      <c r="ED107" s="6" t="inlineStr">
        <is>
          <t>To a slight extent</t>
        </is>
      </c>
      <c r="EE107" s="6" t="inlineStr">
        <is>
          <t>To a great extent</t>
        </is>
      </c>
      <c r="EF107" s="6" t="inlineStr">
        <is>
          <t>To a moderate extent</t>
        </is>
      </c>
      <c r="EG107" s="6" t="inlineStr">
        <is>
          <t>To a moderate extent</t>
        </is>
      </c>
      <c r="EH107" s="6" t="inlineStr">
        <is>
          <t>To a great extent</t>
        </is>
      </c>
      <c r="EI107" s="6" t="inlineStr">
        <is>
          <t>To a great extent</t>
        </is>
      </c>
      <c r="EJ107" s="6" t="inlineStr">
        <is>
          <t>To a great extent</t>
        </is>
      </c>
      <c r="EK107" s="6" t="inlineStr">
        <is>
          <t>To a great extent</t>
        </is>
      </c>
      <c r="EL107" s="6" t="inlineStr">
        <is>
          <t>To a great extent</t>
        </is>
      </c>
      <c r="EM107" s="6" t="inlineStr">
        <is>
          <t>To a great extent</t>
        </is>
      </c>
      <c r="EN107" s="6" t="inlineStr">
        <is>
          <t>To a slight extent</t>
        </is>
      </c>
      <c r="EO107" s="6" t="inlineStr">
        <is>
          <t>To a slight extent</t>
        </is>
      </c>
      <c r="EP107" s="6" t="n"/>
      <c r="EQ107" s="6" t="inlineStr">
        <is>
          <t>To a great extent</t>
        </is>
      </c>
      <c r="ER107" s="6" t="inlineStr">
        <is>
          <t>To a moderate extent</t>
        </is>
      </c>
      <c r="ES107" s="6" t="n"/>
      <c r="ET107" s="6" t="inlineStr">
        <is>
          <t>To a moderate extent</t>
        </is>
      </c>
      <c r="EU107" s="6" t="inlineStr">
        <is>
          <t>To a moderate extent</t>
        </is>
      </c>
      <c r="EV107" s="6" t="inlineStr">
        <is>
          <t>To a slight extent</t>
        </is>
      </c>
      <c r="EW107" s="6" t="inlineStr">
        <is>
          <t>To a great extent</t>
        </is>
      </c>
      <c r="EX107" s="6" t="inlineStr">
        <is>
          <t>TA is often linked to planned/ongoing RMs included in the RSF program so discussed with country team and requested by the authorities.</t>
        </is>
      </c>
      <c r="EY107" s="6" t="inlineStr">
        <is>
          <t>To a great extent</t>
        </is>
      </c>
      <c r="EZ107" s="6" t="inlineStr">
        <is>
          <t>To a slight extent</t>
        </is>
      </c>
      <c r="FA107" s="6" t="inlineStr">
        <is>
          <t>To a moderate extent</t>
        </is>
      </c>
      <c r="FB107" s="6" t="inlineStr">
        <is>
          <t>To a moderate extent</t>
        </is>
      </c>
      <c r="FC107" s="6" t="inlineStr">
        <is>
          <t>To a great extent</t>
        </is>
      </c>
      <c r="FD107" s="6" t="inlineStr">
        <is>
          <t>To a great extent</t>
        </is>
      </c>
      <c r="FE107" s="6" t="inlineStr">
        <is>
          <t>To a moderate extent</t>
        </is>
      </c>
      <c r="FF107" s="6" t="inlineStr">
        <is>
          <t>To a moderate extent</t>
        </is>
      </c>
      <c r="FG107" s="6" t="inlineStr">
        <is>
          <t>To a great extent</t>
        </is>
      </c>
      <c r="FH107" s="6" t="inlineStr">
        <is>
          <t>To a moderate extent</t>
        </is>
      </c>
      <c r="FI107" s="6" t="inlineStr">
        <is>
          <t>To a moderate extent</t>
        </is>
      </c>
      <c r="FJ107" s="6" t="inlineStr">
        <is>
          <t>To a moderate extent</t>
        </is>
      </c>
      <c r="FK107" s="6" t="inlineStr">
        <is>
          <t>To a moderate extent</t>
        </is>
      </c>
      <c r="FL107" s="6" t="inlineStr">
        <is>
          <t>To a moderate extent</t>
        </is>
      </c>
      <c r="FM107" s="6" t="inlineStr">
        <is>
          <t>To a moderate extent</t>
        </is>
      </c>
      <c r="FN107" s="6" t="inlineStr">
        <is>
          <t>To a moderate extent</t>
        </is>
      </c>
      <c r="FO107" s="6" t="inlineStr">
        <is>
          <t>To a moderate extent</t>
        </is>
      </c>
      <c r="FP107" s="6" t="inlineStr">
        <is>
          <t>To a moderate extent</t>
        </is>
      </c>
      <c r="FQ107" s="6" t="inlineStr">
        <is>
          <t>To a moderate extent</t>
        </is>
      </c>
      <c r="FR107" s="6" t="inlineStr">
        <is>
          <t>To a great extent</t>
        </is>
      </c>
      <c r="FS107" s="6" t="inlineStr">
        <is>
          <t>To a moderate extent</t>
        </is>
      </c>
      <c r="FT107" s="6" t="inlineStr">
        <is>
          <t>To a moderate extent</t>
        </is>
      </c>
      <c r="FU107" s="6" t="n"/>
      <c r="FV107" s="6" t="n"/>
      <c r="FW107" s="6" t="inlineStr">
        <is>
          <t>The IMF should have dedicated more resources</t>
        </is>
      </c>
      <c r="FX107" s="6" t="n"/>
      <c r="FY107" s="6" t="inlineStr">
        <is>
          <t>To a great extent</t>
        </is>
      </c>
      <c r="FZ107" s="6" t="inlineStr">
        <is>
          <t>To a great extent</t>
        </is>
      </c>
      <c r="GA107" s="6" t="inlineStr">
        <is>
          <t>To a great extent</t>
        </is>
      </c>
      <c r="GB107" s="6" t="inlineStr">
        <is>
          <t>To a great extent</t>
        </is>
      </c>
      <c r="GC107" s="6" t="n"/>
      <c r="GD107" s="6" t="n"/>
      <c r="GE107" s="6" t="inlineStr">
        <is>
          <t>To a moderate extent</t>
        </is>
      </c>
      <c r="GF107" s="6" t="inlineStr">
        <is>
          <t>To a great extent</t>
        </is>
      </c>
      <c r="GG107" s="6" t="inlineStr">
        <is>
          <t>To a moderate extent</t>
        </is>
      </c>
      <c r="GH107" s="6" t="inlineStr">
        <is>
          <t>To a moderate extent</t>
        </is>
      </c>
      <c r="GI107" s="6" t="inlineStr">
        <is>
          <t>To a great extent</t>
        </is>
      </c>
      <c r="GJ107" s="6" t="inlineStr">
        <is>
          <t>To a great extent</t>
        </is>
      </c>
      <c r="GK107" s="6" t="inlineStr">
        <is>
          <t>The Mauritanian authorities strongly support the IMF’s growing engagement on climate issues. They see climate change as a key macro-critical risk for Mauritania and other vulnerable countries, and welcome the creation of tools like the RSF to help support longer-term resilience-building.
At the same time, the authorities remain concerned that available financing under the RSF remains small in absolute terms, especially for countries like Mauritania with low quotas. While Mauritania has already reached its RSF access limit, the envelope is far from sufficient to meet the scale of its adaptation and mitigation needs. They would therefore encourage the Fund to keep working on ways to enhance catalytic impact, support access to other sources of climate finance, and further leverage partnerships.
Although Mauritania hasn’t yet organized a formal climate roundtable, the authorities hope to do so in the near future, and are counting on the Fund’s support to help make it a meaningful platform for resource mobilization.
Finally, the authorities would also welcome further mainstreaming of climate into surveillance, program design, and capacity development—especially where it helps design sound macro-critical reforms and signal commitment to partners—while keeping the Fund’s macroeconomic focus at the core.</t>
        </is>
      </c>
      <c r="GL107" s="7">
        <f>DATE(2025,6,5)+TIME(22,10,50)</f>
        <v/>
      </c>
    </row>
    <row r="108" ht="330.75" customHeight="1">
      <c r="A108" s="3" t="inlineStr">
        <is>
          <t>Samuel</t>
        </is>
      </c>
      <c r="B108" s="3" t="inlineStr">
        <is>
          <t>Garcia</t>
        </is>
      </c>
      <c r="C108" s="3" t="inlineStr">
        <is>
          <t>sgarcia@organization.org</t>
        </is>
      </c>
      <c r="D108" s="3" t="inlineStr">
        <is>
          <t>76HE1K0DP</t>
        </is>
      </c>
      <c r="E108" s="3" t="n"/>
      <c r="F108" s="3" t="inlineStr">
        <is>
          <t>OEDIT</t>
        </is>
      </c>
      <c r="G108" s="3" t="n"/>
      <c r="H108" s="3" t="n"/>
      <c r="I108" s="3" t="n"/>
      <c r="J108" s="3" t="n"/>
      <c r="K108" s="3" t="n"/>
      <c r="L108" s="3" t="n"/>
      <c r="M108" s="3" t="n"/>
      <c r="N108" s="3" t="n"/>
      <c r="O108" s="3" t="n"/>
      <c r="P108" s="3" t="n"/>
      <c r="Q108" s="3" t="n"/>
      <c r="R108" s="3" t="n"/>
      <c r="S108" s="3" t="n"/>
      <c r="T108" s="3" t="inlineStr">
        <is>
          <t>Albania</t>
        </is>
      </c>
      <c r="U108" s="3" t="n"/>
      <c r="V108" s="3" t="n"/>
      <c r="W108" s="3" t="n"/>
      <c r="X108" s="3" t="n"/>
      <c r="Y108" s="3" t="n"/>
      <c r="Z108" s="3" t="n"/>
      <c r="AA108" s="3" t="n"/>
      <c r="AB108" s="3" t="n"/>
      <c r="AC108" s="3" t="n"/>
      <c r="AD108" s="3" t="n"/>
      <c r="AE108" s="3" t="n"/>
      <c r="AF108" s="4" t="inlineStr">
        <is>
          <t>Albania</t>
        </is>
      </c>
      <c r="AG108" s="3" t="inlineStr">
        <is>
          <t>The IMF should engage a similar amount on climate change-related issues</t>
        </is>
      </c>
      <c r="AH108" s="3" t="inlineStr">
        <is>
          <t>To a great extent</t>
        </is>
      </c>
      <c r="AI108" s="3" t="inlineStr">
        <is>
          <t>To a moderate extent</t>
        </is>
      </c>
      <c r="AJ108" s="3" t="inlineStr">
        <is>
          <t>Don’t know or not applicable</t>
        </is>
      </c>
      <c r="AK108" s="3" t="inlineStr">
        <is>
          <t>To a great extent</t>
        </is>
      </c>
      <c r="AL108" s="3" t="inlineStr">
        <is>
          <t>To a great extent</t>
        </is>
      </c>
      <c r="AM108" s="3" t="inlineStr">
        <is>
          <t>Don’t know or not applicable</t>
        </is>
      </c>
      <c r="AN108" s="3" t="inlineStr">
        <is>
          <t>Don’t know or not applicable</t>
        </is>
      </c>
      <c r="AO108" s="3" t="inlineStr">
        <is>
          <t>To a moderate extent</t>
        </is>
      </c>
      <c r="AP108" s="3" t="inlineStr">
        <is>
          <t>To a great extent</t>
        </is>
      </c>
      <c r="AQ108" s="3" t="inlineStr">
        <is>
          <t>To a great extent</t>
        </is>
      </c>
      <c r="AR108" s="3" t="inlineStr">
        <is>
          <t>To a great extent</t>
        </is>
      </c>
      <c r="AS108" s="3" t="n"/>
      <c r="AT108" s="3" t="inlineStr">
        <is>
          <t>To a moderate extent</t>
        </is>
      </c>
      <c r="AU108" s="3" t="inlineStr">
        <is>
          <t>To a great extent</t>
        </is>
      </c>
      <c r="AV108" s="3" t="inlineStr">
        <is>
          <t>Not at all</t>
        </is>
      </c>
      <c r="AW108" s="3" t="inlineStr">
        <is>
          <t>To a great extent</t>
        </is>
      </c>
      <c r="AX108" s="3" t="inlineStr">
        <is>
          <t>To a moderate extent</t>
        </is>
      </c>
      <c r="AY108" s="3" t="inlineStr">
        <is>
          <t>Don’t know or not applicable</t>
        </is>
      </c>
      <c r="AZ108" s="3" t="inlineStr">
        <is>
          <t>To a moderate extent</t>
        </is>
      </c>
      <c r="BA108" s="3" t="inlineStr">
        <is>
          <t>Not at all</t>
        </is>
      </c>
      <c r="BB108" s="3" t="inlineStr">
        <is>
          <t>To a moderate extent</t>
        </is>
      </c>
      <c r="BC108" s="3" t="inlineStr">
        <is>
          <t>To a moderate extent</t>
        </is>
      </c>
      <c r="BD108" s="3" t="inlineStr">
        <is>
          <t>Don’t know or not applicable</t>
        </is>
      </c>
      <c r="BE108" s="3" t="inlineStr">
        <is>
          <t>Don’t know or not applicable</t>
        </is>
      </c>
      <c r="BF108" s="3" t="inlineStr">
        <is>
          <t>Don’t know or not applicable</t>
        </is>
      </c>
      <c r="BG108" s="3" t="inlineStr">
        <is>
          <t>Don’t know or not applicable</t>
        </is>
      </c>
      <c r="BH108" s="3" t="inlineStr">
        <is>
          <t>Don’t know or not applicable</t>
        </is>
      </c>
      <c r="BI108" s="3" t="inlineStr">
        <is>
          <t>Don’t know or not applicable</t>
        </is>
      </c>
      <c r="BJ108" s="3" t="inlineStr">
        <is>
          <t>To a great extent</t>
        </is>
      </c>
      <c r="BK108" s="3" t="inlineStr">
        <is>
          <t>Not at all</t>
        </is>
      </c>
      <c r="BL108" s="3" t="inlineStr">
        <is>
          <t>To a great extent</t>
        </is>
      </c>
      <c r="BM108" s="3" t="inlineStr">
        <is>
          <t>To a moderate extent</t>
        </is>
      </c>
      <c r="BN108" s="3" t="inlineStr">
        <is>
          <t>Don’t know or not applicable</t>
        </is>
      </c>
      <c r="BO108" s="3" t="inlineStr">
        <is>
          <t>To a great extent</t>
        </is>
      </c>
      <c r="BP108" s="3" t="inlineStr">
        <is>
          <t>To a slight extent</t>
        </is>
      </c>
      <c r="BQ108" s="3" t="inlineStr">
        <is>
          <t>To a moderate extent</t>
        </is>
      </c>
      <c r="BR108" s="3" t="inlineStr">
        <is>
          <t>To a slight extent</t>
        </is>
      </c>
      <c r="BS108" s="3" t="inlineStr">
        <is>
          <t>Additional staff capacity and analytical resources</t>
        </is>
      </c>
      <c r="BT108" s="3" t="inlineStr">
        <is>
          <t>The IMF should have dedicated more resources</t>
        </is>
      </c>
      <c r="BU108" s="3" t="inlineStr">
        <is>
          <t>To a great extent</t>
        </is>
      </c>
      <c r="BV108" s="3" t="inlineStr">
        <is>
          <t>To a great extent</t>
        </is>
      </c>
      <c r="BW108" s="3" t="inlineStr">
        <is>
          <t>To a great extent</t>
        </is>
      </c>
      <c r="BX108" s="3" t="inlineStr">
        <is>
          <t>To a great extent</t>
        </is>
      </c>
      <c r="BY108" s="3" t="inlineStr">
        <is>
          <t>To a great extent</t>
        </is>
      </c>
      <c r="BZ108" s="3" t="inlineStr">
        <is>
          <t>To a great extent</t>
        </is>
      </c>
      <c r="CA108" s="3" t="inlineStr">
        <is>
          <t>To a great extent</t>
        </is>
      </c>
      <c r="CB108" s="3" t="inlineStr">
        <is>
          <t>To a great extent</t>
        </is>
      </c>
      <c r="CC108" s="3" t="inlineStr">
        <is>
          <t>To a great extent</t>
        </is>
      </c>
      <c r="CD108" s="3" t="inlineStr">
        <is>
          <t>To a great extent</t>
        </is>
      </c>
      <c r="CE108" s="3" t="inlineStr">
        <is>
          <t>To a great extent</t>
        </is>
      </c>
      <c r="CF108" s="3" t="inlineStr">
        <is>
          <t>To a great extent</t>
        </is>
      </c>
      <c r="CG108" s="3" t="n"/>
      <c r="CH108" s="3" t="inlineStr">
        <is>
          <t>No</t>
        </is>
      </c>
      <c r="CI108" s="3" t="inlineStr">
        <is>
          <t>No</t>
        </is>
      </c>
      <c r="CJ108" s="3" t="n"/>
      <c r="CK108" s="3" t="n"/>
      <c r="CL108" s="3" t="n"/>
      <c r="CM108" s="3" t="n"/>
      <c r="CN108" s="3" t="n"/>
      <c r="CO108" s="3" t="n"/>
      <c r="CP108" s="3" t="n"/>
      <c r="CQ108" s="3" t="n"/>
      <c r="CR108" s="3" t="n"/>
      <c r="CS108" s="3" t="n"/>
      <c r="CT108" s="3" t="n"/>
      <c r="CU108" s="3" t="n"/>
      <c r="CV108" s="3" t="n"/>
      <c r="CW108" s="3" t="n"/>
      <c r="CX108" s="3" t="n"/>
      <c r="CY108" s="3" t="n"/>
      <c r="CZ108" s="3" t="n"/>
      <c r="DA108" s="3" t="n"/>
      <c r="DB108" s="3" t="n"/>
      <c r="DC108" s="3" t="n"/>
      <c r="DD108" s="3" t="n"/>
      <c r="DE108" s="3" t="n"/>
      <c r="DF108" s="3" t="n"/>
      <c r="DG108" s="3" t="n"/>
      <c r="DH108" s="3" t="n"/>
      <c r="DI108" s="3" t="n"/>
      <c r="DJ108" s="3" t="n"/>
      <c r="DK108" s="3" t="n"/>
      <c r="DL108" s="3" t="n"/>
      <c r="DM108" s="3" t="n"/>
      <c r="DN108" s="3" t="n"/>
      <c r="DO108" s="3" t="n"/>
      <c r="DP108" s="3" t="n"/>
      <c r="DQ108" s="3" t="inlineStr">
        <is>
          <t>Climate change does not pose a major balance of payments risk in my country</t>
        </is>
      </c>
      <c r="DR108" s="3" t="n"/>
      <c r="DS108" s="3" t="n"/>
      <c r="DT108" s="3" t="n"/>
      <c r="DU108" s="3" t="n"/>
      <c r="DV108" s="3" t="inlineStr">
        <is>
          <t>Other (please specify) : Has not been discussed</t>
        </is>
      </c>
      <c r="DW108" s="3" t="inlineStr">
        <is>
          <t>Yes</t>
        </is>
      </c>
      <c r="DX108" s="3" t="inlineStr">
        <is>
          <t>World Bank Group</t>
        </is>
      </c>
      <c r="DY108" s="3" t="inlineStr">
        <is>
          <t>Regional development banks</t>
        </is>
      </c>
      <c r="DZ108" s="3" t="inlineStr">
        <is>
          <t>Bilateral sources</t>
        </is>
      </c>
      <c r="EA108" s="3" t="n"/>
      <c r="EB108" s="3" t="n"/>
      <c r="EC108" s="3" t="inlineStr">
        <is>
          <t>Don’t know or not applicable</t>
        </is>
      </c>
      <c r="ED108" s="3" t="inlineStr">
        <is>
          <t>Don’t know or not applicable</t>
        </is>
      </c>
      <c r="EE108" s="3" t="inlineStr">
        <is>
          <t>Don’t know or not applicable</t>
        </is>
      </c>
      <c r="EF108" s="3" t="inlineStr">
        <is>
          <t>To a great extent</t>
        </is>
      </c>
      <c r="EG108" s="3" t="inlineStr">
        <is>
          <t>Don’t know or not applicable</t>
        </is>
      </c>
      <c r="EH108" s="3" t="inlineStr">
        <is>
          <t>Don’t know or not applicable</t>
        </is>
      </c>
      <c r="EI108" s="3" t="inlineStr">
        <is>
          <t>Don’t know or not applicable</t>
        </is>
      </c>
      <c r="EJ108" s="3" t="inlineStr">
        <is>
          <t>Don’t know or not applicable</t>
        </is>
      </c>
      <c r="EK108" s="3" t="inlineStr">
        <is>
          <t>Don’t know or not applicable</t>
        </is>
      </c>
      <c r="EL108" s="3" t="inlineStr">
        <is>
          <t>Don’t know or not applicable</t>
        </is>
      </c>
      <c r="EM108" s="3" t="n"/>
      <c r="EN108" s="3" t="n"/>
      <c r="EO108" s="3" t="n"/>
      <c r="EP108" s="3" t="n"/>
      <c r="EQ108" s="3" t="inlineStr">
        <is>
          <t>To a slight extent</t>
        </is>
      </c>
      <c r="ER108" s="3" t="inlineStr">
        <is>
          <t>To a moderate extent</t>
        </is>
      </c>
      <c r="ES108" s="3" t="n"/>
      <c r="ET108" s="3" t="inlineStr">
        <is>
          <t>To a moderate extent</t>
        </is>
      </c>
      <c r="EU108" s="3" t="inlineStr">
        <is>
          <t>To a moderate extent</t>
        </is>
      </c>
      <c r="EV108" s="3" t="inlineStr">
        <is>
          <t>To a moderate extent</t>
        </is>
      </c>
      <c r="EW108" s="3" t="n"/>
      <c r="EX108" s="3" t="n"/>
      <c r="EY108" s="3" t="inlineStr">
        <is>
          <t>Don’t know or not applicable</t>
        </is>
      </c>
      <c r="EZ108" s="3" t="inlineStr">
        <is>
          <t>Don’t know or not applicable</t>
        </is>
      </c>
      <c r="FA108" s="3" t="inlineStr">
        <is>
          <t>Don’t know or not applicable</t>
        </is>
      </c>
      <c r="FB108" s="3" t="inlineStr">
        <is>
          <t>Don’t know or not applicable</t>
        </is>
      </c>
      <c r="FC108" s="3" t="inlineStr">
        <is>
          <t>Don’t know or not applicable</t>
        </is>
      </c>
      <c r="FD108" s="3" t="inlineStr">
        <is>
          <t>Don’t know or not applicable</t>
        </is>
      </c>
      <c r="FE108" s="3" t="inlineStr">
        <is>
          <t>Don’t know or not applicable</t>
        </is>
      </c>
      <c r="FF108" s="3" t="inlineStr">
        <is>
          <t>Don’t know or not applicable</t>
        </is>
      </c>
      <c r="FG108" s="3" t="inlineStr">
        <is>
          <t>Don’t know or not applicable</t>
        </is>
      </c>
      <c r="FH108" s="3" t="inlineStr">
        <is>
          <t>To a great extent</t>
        </is>
      </c>
      <c r="FI108" s="3" t="inlineStr">
        <is>
          <t>To a great extent</t>
        </is>
      </c>
      <c r="FJ108" s="3" t="inlineStr">
        <is>
          <t>Not at all</t>
        </is>
      </c>
      <c r="FK108" s="3" t="inlineStr">
        <is>
          <t>To a slight extent</t>
        </is>
      </c>
      <c r="FL108" s="3" t="inlineStr">
        <is>
          <t>To a moderate extent</t>
        </is>
      </c>
      <c r="FM108" s="3" t="inlineStr">
        <is>
          <t>To a moderate extent</t>
        </is>
      </c>
      <c r="FN108" s="3" t="inlineStr">
        <is>
          <t>Don’t know or not applicable</t>
        </is>
      </c>
      <c r="FO108" s="3" t="inlineStr">
        <is>
          <t>To a slight extent</t>
        </is>
      </c>
      <c r="FP108" s="3" t="inlineStr">
        <is>
          <t>To a slight extent</t>
        </is>
      </c>
      <c r="FQ108" s="3" t="inlineStr">
        <is>
          <t>To a slight extent</t>
        </is>
      </c>
      <c r="FR108" s="3" t="inlineStr">
        <is>
          <t>To a great extent</t>
        </is>
      </c>
      <c r="FS108" s="3" t="inlineStr">
        <is>
          <t>To a moderate extent</t>
        </is>
      </c>
      <c r="FT108" s="3" t="inlineStr">
        <is>
          <t>To a moderate extent</t>
        </is>
      </c>
      <c r="FU108" s="3" t="n"/>
      <c r="FV108" s="3" t="n"/>
      <c r="FW108" s="3" t="inlineStr">
        <is>
          <t>The IMF should have dedicated more resources</t>
        </is>
      </c>
      <c r="FX108" s="3" t="n"/>
      <c r="FY108" s="3" t="inlineStr">
        <is>
          <t>To a great extent</t>
        </is>
      </c>
      <c r="FZ108" s="3" t="inlineStr">
        <is>
          <t>To a moderate extent</t>
        </is>
      </c>
      <c r="GA108" s="3" t="inlineStr">
        <is>
          <t>To a moderate extent</t>
        </is>
      </c>
      <c r="GB108" s="3" t="inlineStr">
        <is>
          <t>To a great extent</t>
        </is>
      </c>
      <c r="GC108" s="3" t="n"/>
      <c r="GD108" s="3" t="n"/>
      <c r="GE108" s="3" t="inlineStr">
        <is>
          <t>To a great extent</t>
        </is>
      </c>
      <c r="GF108" s="3" t="inlineStr">
        <is>
          <t>To a great extent</t>
        </is>
      </c>
      <c r="GG108" s="3" t="inlineStr">
        <is>
          <t>To a great extent</t>
        </is>
      </c>
      <c r="GH108" s="3" t="inlineStr">
        <is>
          <t>To a moderate extent</t>
        </is>
      </c>
      <c r="GI108" s="3" t="inlineStr">
        <is>
          <t>To a moderate extent</t>
        </is>
      </c>
      <c r="GJ108" s="3" t="inlineStr">
        <is>
          <t>To a moderate extent</t>
        </is>
      </c>
      <c r="GK108" s="3" t="inlineStr">
        <is>
          <t>The IMF should engage by providing technical assistance and capacity building, as well as by promoting institutional collaboration and coordination.
We commend the development of tools such as the Climate Policy Assessment Tool (CPAT) and the Climate Change Indicators Dashboard.
In conclusion, the IMF is a valuable partner, and we encourage it to remain ambitious in its climate strategy while remaining attentive to country-specific needs and circumstances.</t>
        </is>
      </c>
      <c r="GL108" s="5">
        <f>DATE(2025,6,4)+TIME(12,40,4)</f>
        <v/>
      </c>
    </row>
    <row r="109" ht="78.75" customHeight="1">
      <c r="A109" s="6" t="inlineStr">
        <is>
          <t>Ahmed</t>
        </is>
      </c>
      <c r="B109" s="6" t="inlineStr">
        <is>
          <t>Nakamura</t>
        </is>
      </c>
      <c r="C109" s="6" t="inlineStr">
        <is>
          <t>anakamura@organization.org</t>
        </is>
      </c>
      <c r="D109" s="6" t="inlineStr">
        <is>
          <t>EMWZ90ML0</t>
        </is>
      </c>
      <c r="E109" s="6" t="n"/>
      <c r="F109" s="6" t="inlineStr">
        <is>
          <t>OEDAC</t>
        </is>
      </c>
      <c r="G109" s="6" t="inlineStr">
        <is>
          <t>Chad</t>
        </is>
      </c>
      <c r="H109" s="6" t="n"/>
      <c r="I109" s="6" t="n"/>
      <c r="J109" s="6" t="n"/>
      <c r="K109" s="6" t="n"/>
      <c r="L109" s="6" t="n"/>
      <c r="M109" s="6" t="n"/>
      <c r="N109" s="6" t="n"/>
      <c r="O109" s="6" t="n"/>
      <c r="P109" s="6" t="n"/>
      <c r="Q109" s="6" t="n"/>
      <c r="R109" s="6" t="n"/>
      <c r="S109" s="6" t="n"/>
      <c r="T109" s="6" t="n"/>
      <c r="U109" s="6" t="n"/>
      <c r="V109" s="6" t="n"/>
      <c r="W109" s="6" t="n"/>
      <c r="X109" s="6" t="n"/>
      <c r="Y109" s="6" t="n"/>
      <c r="Z109" s="6" t="n"/>
      <c r="AA109" s="6" t="n"/>
      <c r="AB109" s="6" t="n"/>
      <c r="AC109" s="6" t="n"/>
      <c r="AD109" s="6" t="n"/>
      <c r="AE109" s="6" t="n"/>
      <c r="AF109" s="4" t="inlineStr">
        <is>
          <t>Chad</t>
        </is>
      </c>
      <c r="AG109" s="6" t="inlineStr">
        <is>
          <t>The IMF should engage a similar amount on climate change-related issues</t>
        </is>
      </c>
      <c r="AH109" s="6" t="inlineStr">
        <is>
          <t>To a great extent</t>
        </is>
      </c>
      <c r="AI109" s="6" t="inlineStr">
        <is>
          <t>To a great extent</t>
        </is>
      </c>
      <c r="AJ109" s="6" t="inlineStr">
        <is>
          <t>Don’t know or not applicable</t>
        </is>
      </c>
      <c r="AK109" s="6" t="inlineStr">
        <is>
          <t>To a great extent</t>
        </is>
      </c>
      <c r="AL109" s="6" t="inlineStr">
        <is>
          <t>To a great extent</t>
        </is>
      </c>
      <c r="AM109" s="6" t="inlineStr">
        <is>
          <t>Don’t know or not applicable</t>
        </is>
      </c>
      <c r="AN109" s="6" t="inlineStr">
        <is>
          <t>Don’t know or not applicable</t>
        </is>
      </c>
      <c r="AO109" s="6" t="inlineStr">
        <is>
          <t>To a great extent</t>
        </is>
      </c>
      <c r="AP109" s="6" t="inlineStr">
        <is>
          <t>To a great extent</t>
        </is>
      </c>
      <c r="AQ109" s="6" t="inlineStr">
        <is>
          <t>To a great extent</t>
        </is>
      </c>
      <c r="AR109" s="6" t="inlineStr">
        <is>
          <t>To a great extent</t>
        </is>
      </c>
      <c r="AS109" s="6" t="n"/>
      <c r="AT109" s="6" t="inlineStr">
        <is>
          <t>To a great extent</t>
        </is>
      </c>
      <c r="AU109" s="6" t="inlineStr">
        <is>
          <t>Don’t know or not applicable</t>
        </is>
      </c>
      <c r="AV109" s="6" t="inlineStr">
        <is>
          <t>To a slight extent</t>
        </is>
      </c>
      <c r="AW109" s="6" t="inlineStr">
        <is>
          <t>To a great extent</t>
        </is>
      </c>
      <c r="AX109" s="6" t="inlineStr">
        <is>
          <t>To a moderate extent</t>
        </is>
      </c>
      <c r="AY109" s="6" t="inlineStr">
        <is>
          <t>To a great extent</t>
        </is>
      </c>
      <c r="AZ109" s="6" t="inlineStr">
        <is>
          <t>To a slight extent</t>
        </is>
      </c>
      <c r="BA109" s="6" t="inlineStr">
        <is>
          <t>To a slight extent</t>
        </is>
      </c>
      <c r="BB109" s="6" t="inlineStr">
        <is>
          <t>To a great extent</t>
        </is>
      </c>
      <c r="BC109" s="6" t="inlineStr">
        <is>
          <t>To a moderate extent</t>
        </is>
      </c>
      <c r="BD109" s="6" t="inlineStr">
        <is>
          <t>To a great extent</t>
        </is>
      </c>
      <c r="BE109" s="6" t="inlineStr">
        <is>
          <t>Don’t know or not applicable</t>
        </is>
      </c>
      <c r="BF109" s="6" t="inlineStr">
        <is>
          <t>Don’t know or not applicable</t>
        </is>
      </c>
      <c r="BG109" s="6" t="inlineStr">
        <is>
          <t>Don’t know or not applicable</t>
        </is>
      </c>
      <c r="BH109" s="6" t="inlineStr">
        <is>
          <t>Don’t know or not applicable</t>
        </is>
      </c>
      <c r="BI109" s="6" t="inlineStr">
        <is>
          <t>Don’t know or not applicable</t>
        </is>
      </c>
      <c r="BJ109" s="6" t="inlineStr">
        <is>
          <t>To a slight extent</t>
        </is>
      </c>
      <c r="BK109" s="6" t="inlineStr">
        <is>
          <t>To a slight extent</t>
        </is>
      </c>
      <c r="BL109" s="6" t="inlineStr">
        <is>
          <t>To a great extent</t>
        </is>
      </c>
      <c r="BM109" s="6" t="inlineStr">
        <is>
          <t>To a moderate extent</t>
        </is>
      </c>
      <c r="BN109" s="6" t="inlineStr">
        <is>
          <t>To a great extent</t>
        </is>
      </c>
      <c r="BO109" s="6" t="inlineStr">
        <is>
          <t>To a great extent</t>
        </is>
      </c>
      <c r="BP109" s="6" t="inlineStr">
        <is>
          <t>Don’t know or not applicable</t>
        </is>
      </c>
      <c r="BQ109" s="6" t="inlineStr">
        <is>
          <t>To a moderate extent</t>
        </is>
      </c>
      <c r="BR109" s="6" t="inlineStr">
        <is>
          <t>Don’t know or not applicable</t>
        </is>
      </c>
      <c r="BS109" s="6" t="n"/>
      <c r="BT109" s="6" t="inlineStr">
        <is>
          <t>The IMF dedicated an appropriate amount of resources</t>
        </is>
      </c>
      <c r="BU109" s="6" t="inlineStr">
        <is>
          <t>To a great extent</t>
        </is>
      </c>
      <c r="BV109" s="6" t="inlineStr">
        <is>
          <t>To a great extent</t>
        </is>
      </c>
      <c r="BW109" s="6" t="inlineStr">
        <is>
          <t>To a great extent</t>
        </is>
      </c>
      <c r="BX109" s="6" t="inlineStr">
        <is>
          <t>To a great extent</t>
        </is>
      </c>
      <c r="BY109" s="6" t="inlineStr">
        <is>
          <t>To a great extent</t>
        </is>
      </c>
      <c r="BZ109" s="6" t="inlineStr">
        <is>
          <t>To a great extent</t>
        </is>
      </c>
      <c r="CA109" s="6" t="inlineStr">
        <is>
          <t>To a moderate extent</t>
        </is>
      </c>
      <c r="CB109" s="6" t="inlineStr">
        <is>
          <t>To a moderate extent</t>
        </is>
      </c>
      <c r="CC109" s="6" t="inlineStr">
        <is>
          <t>To a moderate extent</t>
        </is>
      </c>
      <c r="CD109" s="6" t="inlineStr">
        <is>
          <t>To a moderate extent</t>
        </is>
      </c>
      <c r="CE109" s="6" t="inlineStr">
        <is>
          <t>To a moderate extent</t>
        </is>
      </c>
      <c r="CF109" s="6" t="inlineStr">
        <is>
          <t>To a moderate extent</t>
        </is>
      </c>
      <c r="CG109" s="6" t="n"/>
      <c r="CH109" s="6" t="inlineStr">
        <is>
          <t>No</t>
        </is>
      </c>
      <c r="CI109" s="6" t="inlineStr">
        <is>
          <t>No</t>
        </is>
      </c>
      <c r="CJ109" s="6" t="n"/>
      <c r="CK109" s="6" t="n"/>
      <c r="CL109" s="6" t="n"/>
      <c r="CM109" s="6" t="n"/>
      <c r="CN109" s="6" t="n"/>
      <c r="CO109" s="6" t="n"/>
      <c r="CP109" s="6" t="n"/>
      <c r="CQ109" s="6" t="n"/>
      <c r="CR109" s="6" t="n"/>
      <c r="CS109" s="6" t="n"/>
      <c r="CT109" s="6" t="n"/>
      <c r="CU109" s="6" t="n"/>
      <c r="CV109" s="6" t="n"/>
      <c r="CW109" s="6" t="n"/>
      <c r="CX109" s="6" t="n"/>
      <c r="CY109" s="6" t="n"/>
      <c r="CZ109" s="6" t="n"/>
      <c r="DA109" s="6" t="n"/>
      <c r="DB109" s="6" t="n"/>
      <c r="DC109" s="6" t="n"/>
      <c r="DD109" s="6" t="n"/>
      <c r="DE109" s="6" t="n"/>
      <c r="DF109" s="6" t="n"/>
      <c r="DG109" s="6" t="n"/>
      <c r="DH109" s="6" t="n"/>
      <c r="DI109" s="6" t="n"/>
      <c r="DJ109" s="6" t="n"/>
      <c r="DK109" s="6" t="n"/>
      <c r="DL109" s="6" t="n"/>
      <c r="DM109" s="6" t="n"/>
      <c r="DN109" s="6" t="n"/>
      <c r="DO109" s="6" t="n"/>
      <c r="DP109" s="6" t="n"/>
      <c r="DQ109" s="6" t="n"/>
      <c r="DR109" s="6" t="n"/>
      <c r="DS109" s="6" t="n"/>
      <c r="DT109" s="6" t="inlineStr">
        <is>
          <t>My country requested an RSF arrangement but it has not been approved yet or the request did not progress</t>
        </is>
      </c>
      <c r="DU109" s="6" t="n"/>
      <c r="DV109" s="6" t="n"/>
      <c r="DW109" s="6" t="inlineStr">
        <is>
          <t>Yes</t>
        </is>
      </c>
      <c r="DX109" s="6" t="inlineStr">
        <is>
          <t>World Bank Group</t>
        </is>
      </c>
      <c r="DY109" s="6" t="n"/>
      <c r="DZ109" s="6" t="n"/>
      <c r="EA109" s="6" t="n"/>
      <c r="EB109" s="6" t="inlineStr">
        <is>
          <t>Other (please specify) : Green Climate Fund</t>
        </is>
      </c>
      <c r="EC109" s="6" t="inlineStr">
        <is>
          <t>Don’t know or not applicable</t>
        </is>
      </c>
      <c r="ED109" s="6" t="inlineStr">
        <is>
          <t>To a slight extent</t>
        </is>
      </c>
      <c r="EE109" s="6" t="inlineStr">
        <is>
          <t>Don’t know or not applicable</t>
        </is>
      </c>
      <c r="EF109" s="6" t="inlineStr">
        <is>
          <t>To a great extent</t>
        </is>
      </c>
      <c r="EG109" s="6" t="inlineStr">
        <is>
          <t>To a moderate extent</t>
        </is>
      </c>
      <c r="EH109" s="6" t="inlineStr">
        <is>
          <t>To a moderate extent</t>
        </is>
      </c>
      <c r="EI109" s="6" t="inlineStr">
        <is>
          <t>To a great extent</t>
        </is>
      </c>
      <c r="EJ109" s="6" t="inlineStr">
        <is>
          <t>To a great extent</t>
        </is>
      </c>
      <c r="EK109" s="6" t="inlineStr">
        <is>
          <t>To a great extent</t>
        </is>
      </c>
      <c r="EL109" s="6" t="inlineStr">
        <is>
          <t>To a great extent</t>
        </is>
      </c>
      <c r="EM109" s="6" t="n"/>
      <c r="EN109" s="6" t="n"/>
      <c r="EO109" s="6" t="n"/>
      <c r="EP109" s="6" t="n"/>
      <c r="EQ109" s="6" t="inlineStr">
        <is>
          <t>To a moderate extent</t>
        </is>
      </c>
      <c r="ER109" s="6" t="inlineStr">
        <is>
          <t>Not at all</t>
        </is>
      </c>
      <c r="ES109" s="6" t="n"/>
      <c r="ET109" s="6" t="inlineStr">
        <is>
          <t>To a great extent</t>
        </is>
      </c>
      <c r="EU109" s="6" t="inlineStr">
        <is>
          <t>To a slight extent</t>
        </is>
      </c>
      <c r="EV109" s="6" t="inlineStr">
        <is>
          <t>Don’t know or not applicable</t>
        </is>
      </c>
      <c r="EW109" s="6" t="inlineStr">
        <is>
          <t>Don’t know or not applicable</t>
        </is>
      </c>
      <c r="EX109" s="6" t="n"/>
      <c r="EY109" s="6" t="inlineStr">
        <is>
          <t>Don’t know or not applicable</t>
        </is>
      </c>
      <c r="EZ109" s="6" t="inlineStr">
        <is>
          <t>Don’t know or not applicable</t>
        </is>
      </c>
      <c r="FA109" s="6" t="inlineStr">
        <is>
          <t>Don’t know or not applicable</t>
        </is>
      </c>
      <c r="FB109" s="6" t="inlineStr">
        <is>
          <t>Don’t know or not applicable</t>
        </is>
      </c>
      <c r="FC109" s="6" t="inlineStr">
        <is>
          <t>Don’t know or not applicable</t>
        </is>
      </c>
      <c r="FD109" s="6" t="inlineStr">
        <is>
          <t>Don’t know or not applicable</t>
        </is>
      </c>
      <c r="FE109" s="6" t="inlineStr">
        <is>
          <t>Don’t know or not applicable</t>
        </is>
      </c>
      <c r="FF109" s="6" t="inlineStr">
        <is>
          <t>Don’t know or not applicable</t>
        </is>
      </c>
      <c r="FG109" s="6" t="inlineStr">
        <is>
          <t>Don’t know or not applicable</t>
        </is>
      </c>
      <c r="FH109" s="6" t="n"/>
      <c r="FI109" s="6" t="n"/>
      <c r="FJ109" s="6" t="n"/>
      <c r="FK109" s="6" t="n"/>
      <c r="FL109" s="6" t="n"/>
      <c r="FM109" s="6" t="n"/>
      <c r="FN109" s="6" t="n"/>
      <c r="FO109" s="6" t="n"/>
      <c r="FP109" s="6" t="n"/>
      <c r="FQ109" s="6" t="n"/>
      <c r="FR109" s="6" t="inlineStr">
        <is>
          <t>To a great extent</t>
        </is>
      </c>
      <c r="FS109" s="6" t="inlineStr">
        <is>
          <t>To a great extent</t>
        </is>
      </c>
      <c r="FT109" s="6" t="inlineStr">
        <is>
          <t>To a great extent</t>
        </is>
      </c>
      <c r="FU109" s="6" t="inlineStr">
        <is>
          <t>Don’t know or not applicable</t>
        </is>
      </c>
      <c r="FV109" s="6" t="n"/>
      <c r="FW109" s="6" t="inlineStr">
        <is>
          <t>The IMF dedicated the appropriate amount of resources</t>
        </is>
      </c>
      <c r="FX109" s="6" t="n"/>
      <c r="FY109" s="6" t="inlineStr">
        <is>
          <t>To a great extent</t>
        </is>
      </c>
      <c r="FZ109" s="6" t="inlineStr">
        <is>
          <t>To a great extent</t>
        </is>
      </c>
      <c r="GA109" s="6" t="inlineStr">
        <is>
          <t>To a great extent</t>
        </is>
      </c>
      <c r="GB109" s="6" t="inlineStr">
        <is>
          <t>To a great extent</t>
        </is>
      </c>
      <c r="GC109" s="6" t="inlineStr">
        <is>
          <t>Don’t know or not applicable</t>
        </is>
      </c>
      <c r="GD109" s="6" t="n"/>
      <c r="GE109" s="6" t="inlineStr">
        <is>
          <t>To a slight extent</t>
        </is>
      </c>
      <c r="GF109" s="6" t="inlineStr">
        <is>
          <t>To a great extent</t>
        </is>
      </c>
      <c r="GG109" s="6" t="inlineStr">
        <is>
          <t>To a great extent</t>
        </is>
      </c>
      <c r="GH109" s="6" t="inlineStr">
        <is>
          <t>To a great extent</t>
        </is>
      </c>
      <c r="GI109" s="6" t="inlineStr">
        <is>
          <t>To a great extent</t>
        </is>
      </c>
      <c r="GJ109" s="6" t="inlineStr">
        <is>
          <t>To a great extent</t>
        </is>
      </c>
      <c r="GK109" s="6" t="n"/>
      <c r="GL109" s="7">
        <f>DATE(2025,6,12)+TIME(10,22,20)</f>
        <v/>
      </c>
    </row>
    <row r="110" ht="409.5" customHeight="1">
      <c r="A110" s="3" t="inlineStr">
        <is>
          <t>Henrik</t>
        </is>
      </c>
      <c r="B110" s="3" t="inlineStr">
        <is>
          <t>Fernandez</t>
        </is>
      </c>
      <c r="C110" s="3" t="inlineStr">
        <is>
          <t>hfernandez@organization.org</t>
        </is>
      </c>
      <c r="D110" s="3" t="inlineStr">
        <is>
          <t>71NQ184SR</t>
        </is>
      </c>
      <c r="E110" s="3" t="n"/>
      <c r="F110" s="3" t="inlineStr">
        <is>
          <t>OEDIT</t>
        </is>
      </c>
      <c r="G110" s="3" t="n"/>
      <c r="H110" s="3" t="n"/>
      <c r="I110" s="3" t="n"/>
      <c r="J110" s="3" t="n"/>
      <c r="K110" s="3" t="n"/>
      <c r="L110" s="3" t="n"/>
      <c r="M110" s="3" t="n"/>
      <c r="N110" s="3" t="n"/>
      <c r="O110" s="3" t="n"/>
      <c r="P110" s="3" t="n"/>
      <c r="Q110" s="3" t="n"/>
      <c r="R110" s="3" t="n"/>
      <c r="S110" s="3" t="n"/>
      <c r="T110" s="3" t="inlineStr">
        <is>
          <t>Portugal</t>
        </is>
      </c>
      <c r="U110" s="3" t="n"/>
      <c r="V110" s="3" t="n"/>
      <c r="W110" s="3" t="n"/>
      <c r="X110" s="3" t="n"/>
      <c r="Y110" s="3" t="n"/>
      <c r="Z110" s="3" t="n"/>
      <c r="AA110" s="3" t="n"/>
      <c r="AB110" s="3" t="n"/>
      <c r="AC110" s="3" t="n"/>
      <c r="AD110" s="3" t="n"/>
      <c r="AE110" s="3" t="n"/>
      <c r="AF110" s="4" t="inlineStr">
        <is>
          <t>Portugal</t>
        </is>
      </c>
      <c r="AG110" s="3" t="inlineStr">
        <is>
          <t>The IMF should engage a similar amount on climate change-related issues</t>
        </is>
      </c>
      <c r="AH110" s="3" t="inlineStr">
        <is>
          <t>To a moderate extent</t>
        </is>
      </c>
      <c r="AI110" s="3" t="inlineStr">
        <is>
          <t>To a moderate extent</t>
        </is>
      </c>
      <c r="AJ110" s="3" t="inlineStr">
        <is>
          <t>Don’t know or not applicable</t>
        </is>
      </c>
      <c r="AK110" s="3" t="inlineStr">
        <is>
          <t>To a slight extent</t>
        </is>
      </c>
      <c r="AL110" s="3" t="inlineStr">
        <is>
          <t>Don’t know or not applicable</t>
        </is>
      </c>
      <c r="AM110" s="3" t="inlineStr">
        <is>
          <t>Don’t know or not applicable</t>
        </is>
      </c>
      <c r="AN110" s="3" t="inlineStr">
        <is>
          <t>Don’t know or not applicable</t>
        </is>
      </c>
      <c r="AO110" s="3" t="inlineStr">
        <is>
          <t>Don’t know or not applicable</t>
        </is>
      </c>
      <c r="AP110" s="3" t="inlineStr">
        <is>
          <t>Don’t know or not applicable</t>
        </is>
      </c>
      <c r="AQ110" s="3" t="inlineStr">
        <is>
          <t>To a slight extent</t>
        </is>
      </c>
      <c r="AR110" s="3" t="inlineStr">
        <is>
          <t>Don’t know or not applicable</t>
        </is>
      </c>
      <c r="AS110" s="3" t="n"/>
      <c r="AT110" s="3" t="inlineStr">
        <is>
          <t>To a slight extent</t>
        </is>
      </c>
      <c r="AU110" s="3" t="inlineStr">
        <is>
          <t>To a moderate extent</t>
        </is>
      </c>
      <c r="AV110" s="3" t="inlineStr">
        <is>
          <t>Not at all</t>
        </is>
      </c>
      <c r="AW110" s="3" t="inlineStr">
        <is>
          <t>To a slight extent</t>
        </is>
      </c>
      <c r="AX110" s="3" t="inlineStr">
        <is>
          <t>To a slight extent</t>
        </is>
      </c>
      <c r="AY110" s="3" t="inlineStr">
        <is>
          <t>To a great extent</t>
        </is>
      </c>
      <c r="AZ110" s="3" t="inlineStr">
        <is>
          <t>To a moderate extent</t>
        </is>
      </c>
      <c r="BA110" s="3" t="inlineStr">
        <is>
          <t>Not at all</t>
        </is>
      </c>
      <c r="BB110" s="3" t="inlineStr">
        <is>
          <t>To a moderate extent</t>
        </is>
      </c>
      <c r="BC110" s="3" t="inlineStr">
        <is>
          <t>To a moderate extent</t>
        </is>
      </c>
      <c r="BD110" s="3" t="inlineStr">
        <is>
          <t>To a great extent</t>
        </is>
      </c>
      <c r="BE110" s="3" t="inlineStr">
        <is>
          <t>Not at all</t>
        </is>
      </c>
      <c r="BF110" s="3" t="inlineStr">
        <is>
          <t>Don’t know or not applicable</t>
        </is>
      </c>
      <c r="BG110" s="3" t="inlineStr">
        <is>
          <t>Don’t know or not applicable</t>
        </is>
      </c>
      <c r="BH110" s="3" t="inlineStr">
        <is>
          <t>Don’t know or not applicable</t>
        </is>
      </c>
      <c r="BI110" s="3" t="inlineStr">
        <is>
          <t>Don’t know or not applicable</t>
        </is>
      </c>
      <c r="BJ110" s="3" t="inlineStr">
        <is>
          <t>To a moderate extent</t>
        </is>
      </c>
      <c r="BK110" s="3" t="inlineStr">
        <is>
          <t>Not at all</t>
        </is>
      </c>
      <c r="BL110" s="3" t="inlineStr">
        <is>
          <t>To a moderate extent</t>
        </is>
      </c>
      <c r="BM110" s="3" t="inlineStr">
        <is>
          <t>Don’t know or not applicable</t>
        </is>
      </c>
      <c r="BN110" s="3" t="inlineStr">
        <is>
          <t>Don’t know or not applicable</t>
        </is>
      </c>
      <c r="BO110" s="3" t="inlineStr">
        <is>
          <t>Don’t know or not applicable</t>
        </is>
      </c>
      <c r="BP110" s="3" t="inlineStr">
        <is>
          <t>Don’t know or not applicable</t>
        </is>
      </c>
      <c r="BQ110" s="3" t="inlineStr">
        <is>
          <t>Don’t know or not applicable</t>
        </is>
      </c>
      <c r="BR110" s="3" t="inlineStr">
        <is>
          <t>Don’t know or not applicable</t>
        </is>
      </c>
      <c r="BS110" s="3" t="n"/>
      <c r="BT110" s="3" t="inlineStr">
        <is>
          <t>The IMF dedicated an appropriate amount of resources</t>
        </is>
      </c>
      <c r="BU110" s="3" t="inlineStr">
        <is>
          <t>To a moderate extent</t>
        </is>
      </c>
      <c r="BV110" s="3" t="inlineStr">
        <is>
          <t>To a moderate extent</t>
        </is>
      </c>
      <c r="BW110" s="3" t="inlineStr">
        <is>
          <t>To a moderate extent</t>
        </is>
      </c>
      <c r="BX110" s="3" t="inlineStr">
        <is>
          <t>To a moderate extent</t>
        </is>
      </c>
      <c r="BY110" s="3" t="inlineStr">
        <is>
          <t>To a moderate extent</t>
        </is>
      </c>
      <c r="BZ110" s="3" t="inlineStr">
        <is>
          <t>To a moderate extent</t>
        </is>
      </c>
      <c r="CA110" s="3" t="inlineStr">
        <is>
          <t>To a moderate extent</t>
        </is>
      </c>
      <c r="CB110" s="3" t="inlineStr">
        <is>
          <t>To a moderate extent</t>
        </is>
      </c>
      <c r="CC110" s="3" t="inlineStr">
        <is>
          <t>To a moderate extent</t>
        </is>
      </c>
      <c r="CD110" s="3" t="inlineStr">
        <is>
          <t>To a slight extent</t>
        </is>
      </c>
      <c r="CE110" s="3" t="inlineStr">
        <is>
          <t>To a slight extent</t>
        </is>
      </c>
      <c r="CF110" s="3" t="inlineStr">
        <is>
          <t>To a slight extent</t>
        </is>
      </c>
      <c r="CG110" s="3" t="n"/>
      <c r="CH110" s="3" t="inlineStr">
        <is>
          <t>No</t>
        </is>
      </c>
      <c r="CI110" s="3" t="inlineStr">
        <is>
          <t>No</t>
        </is>
      </c>
      <c r="CJ110" s="3" t="n"/>
      <c r="CK110" s="3" t="n"/>
      <c r="CL110" s="3" t="n"/>
      <c r="CM110" s="3" t="n"/>
      <c r="CN110" s="3" t="n"/>
      <c r="CO110" s="3" t="n"/>
      <c r="CP110" s="3" t="n"/>
      <c r="CQ110" s="3" t="n"/>
      <c r="CR110" s="3" t="n"/>
      <c r="CS110" s="3" t="n"/>
      <c r="CT110" s="3" t="n"/>
      <c r="CU110" s="3" t="n"/>
      <c r="CV110" s="3" t="n"/>
      <c r="CW110" s="3" t="n"/>
      <c r="CX110" s="3" t="n"/>
      <c r="CY110" s="3" t="n"/>
      <c r="CZ110" s="3" t="n"/>
      <c r="DA110" s="3" t="n"/>
      <c r="DB110" s="3" t="n"/>
      <c r="DC110" s="3" t="n"/>
      <c r="DD110" s="3" t="n"/>
      <c r="DE110" s="3" t="n"/>
      <c r="DF110" s="3" t="n"/>
      <c r="DG110" s="3" t="n"/>
      <c r="DH110" s="3" t="n"/>
      <c r="DI110" s="3" t="n"/>
      <c r="DJ110" s="3" t="n"/>
      <c r="DK110" s="3" t="n"/>
      <c r="DL110" s="3" t="n"/>
      <c r="DM110" s="3" t="n"/>
      <c r="DN110" s="3" t="n"/>
      <c r="DO110" s="3" t="n"/>
      <c r="DP110" s="3" t="inlineStr">
        <is>
          <t>My country is not eligible for an RSF arrangement</t>
        </is>
      </c>
      <c r="DQ110" s="3" t="n"/>
      <c r="DR110" s="3" t="n"/>
      <c r="DS110" s="3" t="n"/>
      <c r="DT110" s="3" t="n"/>
      <c r="DU110" s="3" t="n"/>
      <c r="DV110" s="3" t="n"/>
      <c r="DW110" s="3" t="inlineStr">
        <is>
          <t>Yes</t>
        </is>
      </c>
      <c r="DX110" s="3" t="n"/>
      <c r="DY110" s="3" t="n"/>
      <c r="DZ110" s="3" t="n"/>
      <c r="EA110" s="3" t="n"/>
      <c r="EB110" s="3" t="inlineStr">
        <is>
          <t>Other (please specify) : Recovery and Resilience Facility and the European Investment Bank</t>
        </is>
      </c>
      <c r="EC110" s="3" t="inlineStr">
        <is>
          <t>Don’t know or not applicable</t>
        </is>
      </c>
      <c r="ED110" s="3" t="inlineStr">
        <is>
          <t>Don’t know or not applicable</t>
        </is>
      </c>
      <c r="EE110" s="3" t="inlineStr">
        <is>
          <t>Don’t know or not applicable</t>
        </is>
      </c>
      <c r="EF110" s="3" t="inlineStr">
        <is>
          <t>To a great extent</t>
        </is>
      </c>
      <c r="EG110" s="3" t="inlineStr">
        <is>
          <t>To a moderate extent</t>
        </is>
      </c>
      <c r="EH110" s="3" t="inlineStr">
        <is>
          <t>To a moderate extent</t>
        </is>
      </c>
      <c r="EI110" s="3" t="inlineStr">
        <is>
          <t>To a great extent</t>
        </is>
      </c>
      <c r="EJ110" s="3" t="inlineStr">
        <is>
          <t>Not at all</t>
        </is>
      </c>
      <c r="EK110" s="3" t="inlineStr">
        <is>
          <t>Not at all</t>
        </is>
      </c>
      <c r="EL110" s="3" t="inlineStr">
        <is>
          <t>To a moderate extent</t>
        </is>
      </c>
      <c r="EM110" s="3" t="n"/>
      <c r="EN110" s="3" t="n"/>
      <c r="EO110" s="3" t="n"/>
      <c r="EP110" s="3" t="n"/>
      <c r="EQ110" s="3" t="inlineStr">
        <is>
          <t>Not at all</t>
        </is>
      </c>
      <c r="ER110" s="3" t="inlineStr">
        <is>
          <t>Not at all</t>
        </is>
      </c>
      <c r="ES110" s="3" t="n"/>
      <c r="ET110" s="3" t="n"/>
      <c r="EU110" s="3" t="n"/>
      <c r="EV110" s="3" t="n"/>
      <c r="EW110" s="3" t="n"/>
      <c r="EX110" s="3" t="n"/>
      <c r="EY110" s="3" t="n"/>
      <c r="EZ110" s="3" t="n"/>
      <c r="FA110" s="3" t="n"/>
      <c r="FB110" s="3" t="n"/>
      <c r="FC110" s="3" t="n"/>
      <c r="FD110" s="3" t="n"/>
      <c r="FE110" s="3" t="n"/>
      <c r="FF110" s="3" t="n"/>
      <c r="FG110" s="3" t="n"/>
      <c r="FH110" s="3" t="n"/>
      <c r="FI110" s="3" t="n"/>
      <c r="FJ110" s="3" t="n"/>
      <c r="FK110" s="3" t="n"/>
      <c r="FL110" s="3" t="n"/>
      <c r="FM110" s="3" t="n"/>
      <c r="FN110" s="3" t="n"/>
      <c r="FO110" s="3" t="n"/>
      <c r="FP110" s="3" t="n"/>
      <c r="FQ110" s="3" t="n"/>
      <c r="FR110" s="3" t="n"/>
      <c r="FS110" s="3" t="n"/>
      <c r="FT110" s="3" t="n"/>
      <c r="FU110" s="3" t="n"/>
      <c r="FV110" s="3" t="n"/>
      <c r="FW110" s="3" t="n"/>
      <c r="FX110" s="3" t="n"/>
      <c r="FY110" s="3" t="inlineStr">
        <is>
          <t>To a great extent</t>
        </is>
      </c>
      <c r="FZ110" s="3" t="inlineStr">
        <is>
          <t>To a great extent</t>
        </is>
      </c>
      <c r="GA110" s="3" t="inlineStr">
        <is>
          <t>To a great extent</t>
        </is>
      </c>
      <c r="GB110" s="3" t="inlineStr">
        <is>
          <t>To a moderate extent</t>
        </is>
      </c>
      <c r="GC110" s="3" t="n"/>
      <c r="GD110" s="3" t="n"/>
      <c r="GE110" s="3" t="inlineStr">
        <is>
          <t>To a great extent</t>
        </is>
      </c>
      <c r="GF110" s="3" t="inlineStr">
        <is>
          <t>To a great extent</t>
        </is>
      </c>
      <c r="GG110" s="3" t="inlineStr">
        <is>
          <t>To a moderate extent</t>
        </is>
      </c>
      <c r="GH110" s="3" t="inlineStr">
        <is>
          <t>To a moderate extent</t>
        </is>
      </c>
      <c r="GI110" s="3" t="inlineStr">
        <is>
          <t>To a great extent</t>
        </is>
      </c>
      <c r="GJ110" s="3" t="inlineStr">
        <is>
          <t>To a great extent</t>
        </is>
      </c>
      <c r="GK110" s="3" t="inlineStr">
        <is>
          <t>The IMF should continue to actively engage in climate-related issues from an economic standpoint. Pigou’s insights on externalities and Pigouvian taxation have been part of mainstream public economics for a century and remind us how one cannot consider climate-change related matters as new or “non-core” economics, given that greenhouse gas emissions are a textbook negative
externality, with global costs not borne by emitters. These emissions also cross borders, making climate change a clear case of international externalities that demand coordinated global action. With its macroeconomic mandate and global reach, the IMF is uniquely positioned to promote carbon pricing, green subsidies, climate-informed fiscal frameworks, and proper management of climate-related financial risks. Moreover, climate adaptation is critical for countries disproportionately affected by natural disasters. As with other areas like governance and AI, the IMF’s resource allocation should be guided by the principle of macrocriticality—ensuring focus where climate risks (or other relevant areas) threaten macroeconomic resilience and/or impose significant externalities to others. 
Please note that we responded to Q.8 from the strict perspective of bilateral surveillance. The Portuguese authorities are nonetheless very aware of the cooperation between the Fund and the World Bank on climate-related issues, including for RSF designs. 
Please note that we responded to Q13 considering any climate-related financing that Portugal received from non-private sources during the surveyed period, even if Portugal is not eligible for the RST. By design, all EU countries had to use a significant part of the resources received from the Recovery and Resilience Facility for climate/energy - related purposes.</t>
        </is>
      </c>
      <c r="GL110" s="5">
        <f>DATE(2025,6,5)+TIME(18,28,14)</f>
        <v/>
      </c>
    </row>
    <row r="111" ht="110.25" customHeight="1">
      <c r="A111" s="6" t="inlineStr">
        <is>
          <t>Fatima</t>
        </is>
      </c>
      <c r="B111" s="6" t="inlineStr">
        <is>
          <t>Nakamura</t>
        </is>
      </c>
      <c r="C111" s="6" t="inlineStr">
        <is>
          <t>fnakamura@organization.org</t>
        </is>
      </c>
      <c r="D111" s="6" t="inlineStr">
        <is>
          <t>9R5SD39SO</t>
        </is>
      </c>
      <c r="E111" s="6" t="n"/>
      <c r="F111" s="6" t="inlineStr">
        <is>
          <t>OEDMD</t>
        </is>
      </c>
      <c r="G111" s="6" t="n"/>
      <c r="H111" s="6" t="n"/>
      <c r="I111" s="6" t="n"/>
      <c r="J111" s="6" t="n"/>
      <c r="K111" s="6" t="n"/>
      <c r="L111" s="6" t="n"/>
      <c r="M111" s="6" t="n"/>
      <c r="N111" s="6" t="n"/>
      <c r="O111" s="6" t="n"/>
      <c r="P111" s="6" t="n"/>
      <c r="Q111" s="6" t="n"/>
      <c r="R111" s="6" t="n"/>
      <c r="S111" s="6" t="n"/>
      <c r="T111" s="6" t="n"/>
      <c r="U111" s="6" t="n"/>
      <c r="V111" s="6" t="inlineStr">
        <is>
          <t>Tunisia</t>
        </is>
      </c>
      <c r="W111" s="6" t="n"/>
      <c r="X111" s="6" t="n"/>
      <c r="Y111" s="6" t="n"/>
      <c r="Z111" s="6" t="n"/>
      <c r="AA111" s="6" t="n"/>
      <c r="AB111" s="6" t="n"/>
      <c r="AC111" s="6" t="n"/>
      <c r="AD111" s="6" t="n"/>
      <c r="AE111" s="6" t="n"/>
      <c r="AF111" s="4" t="inlineStr">
        <is>
          <t>Tunisia</t>
        </is>
      </c>
      <c r="AG111" s="6" t="inlineStr">
        <is>
          <t>The IMF should engage a similar amount on climate change-related issues</t>
        </is>
      </c>
      <c r="AH111" s="6" t="inlineStr">
        <is>
          <t>Don’t know or not applicable</t>
        </is>
      </c>
      <c r="AI111" s="6" t="inlineStr">
        <is>
          <t>To a slight extent</t>
        </is>
      </c>
      <c r="AJ111" s="6" t="inlineStr">
        <is>
          <t>Don’t know or not applicable</t>
        </is>
      </c>
      <c r="AK111" s="6" t="inlineStr">
        <is>
          <t>Don’t know or not applicable</t>
        </is>
      </c>
      <c r="AL111" s="6" t="inlineStr">
        <is>
          <t>Don’t know or not applicable</t>
        </is>
      </c>
      <c r="AM111" s="6" t="inlineStr">
        <is>
          <t>Don’t know or not applicable</t>
        </is>
      </c>
      <c r="AN111" s="6" t="inlineStr">
        <is>
          <t>Don’t know or not applicable</t>
        </is>
      </c>
      <c r="AO111" s="6" t="inlineStr">
        <is>
          <t>Don’t know or not applicable</t>
        </is>
      </c>
      <c r="AP111" s="6" t="inlineStr">
        <is>
          <t>Don’t know or not applicable</t>
        </is>
      </c>
      <c r="AQ111" s="6" t="inlineStr">
        <is>
          <t>Don’t know or not applicable</t>
        </is>
      </c>
      <c r="AR111" s="6" t="inlineStr">
        <is>
          <t>Don’t know or not applicable</t>
        </is>
      </c>
      <c r="AS111" s="6" t="n"/>
      <c r="AT111" s="6" t="inlineStr">
        <is>
          <t>Not at all</t>
        </is>
      </c>
      <c r="AU111" s="6" t="inlineStr">
        <is>
          <t>Not at all</t>
        </is>
      </c>
      <c r="AV111" s="6" t="inlineStr">
        <is>
          <t>Don’t know or not applicable</t>
        </is>
      </c>
      <c r="AW111" s="6" t="inlineStr">
        <is>
          <t>Don’t know or not applicable</t>
        </is>
      </c>
      <c r="AX111" s="6" t="inlineStr">
        <is>
          <t>Don’t know or not applicable</t>
        </is>
      </c>
      <c r="AY111" s="6" t="inlineStr">
        <is>
          <t>Don’t know or not applicable</t>
        </is>
      </c>
      <c r="AZ111" s="6" t="inlineStr">
        <is>
          <t>To a slight extent</t>
        </is>
      </c>
      <c r="BA111" s="6" t="inlineStr">
        <is>
          <t>Don’t know or not applicable</t>
        </is>
      </c>
      <c r="BB111" s="6" t="inlineStr">
        <is>
          <t>To a slight extent</t>
        </is>
      </c>
      <c r="BC111" s="6" t="inlineStr">
        <is>
          <t>Don’t know or not applicable</t>
        </is>
      </c>
      <c r="BD111" s="6" t="inlineStr">
        <is>
          <t>To a moderate extent</t>
        </is>
      </c>
      <c r="BE111" s="6" t="inlineStr">
        <is>
          <t>Don’t know or not applicable</t>
        </is>
      </c>
      <c r="BF111" s="6" t="inlineStr">
        <is>
          <t>Don’t know or not applicable</t>
        </is>
      </c>
      <c r="BG111" s="6" t="inlineStr">
        <is>
          <t>Don’t know or not applicable</t>
        </is>
      </c>
      <c r="BH111" s="6" t="inlineStr">
        <is>
          <t>Don’t know or not applicable</t>
        </is>
      </c>
      <c r="BI111" s="6" t="inlineStr">
        <is>
          <t>Don’t know or not applicable</t>
        </is>
      </c>
      <c r="BJ111" s="6" t="inlineStr">
        <is>
          <t>Don’t know or not applicable</t>
        </is>
      </c>
      <c r="BK111" s="6" t="inlineStr">
        <is>
          <t>Don’t know or not applicable</t>
        </is>
      </c>
      <c r="BL111" s="6" t="inlineStr">
        <is>
          <t>Don’t know or not applicable</t>
        </is>
      </c>
      <c r="BM111" s="6" t="inlineStr">
        <is>
          <t>Don’t know or not applicable</t>
        </is>
      </c>
      <c r="BN111" s="6" t="inlineStr">
        <is>
          <t>Don’t know or not applicable</t>
        </is>
      </c>
      <c r="BO111" s="6" t="inlineStr">
        <is>
          <t>Don’t know or not applicable</t>
        </is>
      </c>
      <c r="BP111" s="6" t="inlineStr">
        <is>
          <t>Don’t know or not applicable</t>
        </is>
      </c>
      <c r="BQ111" s="6" t="inlineStr">
        <is>
          <t>Don’t know or not applicable</t>
        </is>
      </c>
      <c r="BR111" s="6" t="inlineStr">
        <is>
          <t>Don’t know or not applicable</t>
        </is>
      </c>
      <c r="BS111" s="6" t="n"/>
      <c r="BT111" s="6" t="inlineStr">
        <is>
          <t>The IMF dedicated an appropriate amount of resources</t>
        </is>
      </c>
      <c r="BU111" s="6" t="inlineStr">
        <is>
          <t>To a moderate extent</t>
        </is>
      </c>
      <c r="BV111" s="6" t="inlineStr">
        <is>
          <t>To a moderate extent</t>
        </is>
      </c>
      <c r="BW111" s="6" t="inlineStr">
        <is>
          <t>To a moderate extent</t>
        </is>
      </c>
      <c r="BX111" s="6" t="inlineStr">
        <is>
          <t>To a great extent</t>
        </is>
      </c>
      <c r="BY111" s="6" t="inlineStr">
        <is>
          <t>To a great extent</t>
        </is>
      </c>
      <c r="BZ111" s="6" t="inlineStr">
        <is>
          <t>To a great extent</t>
        </is>
      </c>
      <c r="CA111" s="6" t="inlineStr">
        <is>
          <t>To a great extent</t>
        </is>
      </c>
      <c r="CB111" s="6" t="inlineStr">
        <is>
          <t>To a great extent</t>
        </is>
      </c>
      <c r="CC111" s="6" t="inlineStr">
        <is>
          <t>To a great extent</t>
        </is>
      </c>
      <c r="CD111" s="6" t="inlineStr">
        <is>
          <t>To a great extent</t>
        </is>
      </c>
      <c r="CE111" s="6" t="inlineStr">
        <is>
          <t>To a great extent</t>
        </is>
      </c>
      <c r="CF111" s="6" t="inlineStr">
        <is>
          <t>To a great extent</t>
        </is>
      </c>
      <c r="CG111" s="6" t="n"/>
      <c r="CH111" s="6" t="inlineStr">
        <is>
          <t>No</t>
        </is>
      </c>
      <c r="CI111" s="6" t="inlineStr">
        <is>
          <t>No</t>
        </is>
      </c>
      <c r="CJ111" s="6" t="n"/>
      <c r="CK111" s="6" t="n"/>
      <c r="CL111" s="6" t="n"/>
      <c r="CM111" s="6" t="n"/>
      <c r="CN111" s="6" t="n"/>
      <c r="CO111" s="6" t="n"/>
      <c r="CP111" s="6" t="n"/>
      <c r="CQ111" s="6" t="n"/>
      <c r="CR111" s="6" t="n"/>
      <c r="CS111" s="6" t="n"/>
      <c r="CT111" s="6" t="n"/>
      <c r="CU111" s="6" t="n"/>
      <c r="CV111" s="6" t="n"/>
      <c r="CW111" s="6" t="n"/>
      <c r="CX111" s="6" t="n"/>
      <c r="CY111" s="6" t="n"/>
      <c r="CZ111" s="6" t="n"/>
      <c r="DA111" s="6" t="n"/>
      <c r="DB111" s="6" t="n"/>
      <c r="DC111" s="6" t="n"/>
      <c r="DD111" s="6" t="n"/>
      <c r="DE111" s="6" t="n"/>
      <c r="DF111" s="6" t="n"/>
      <c r="DG111" s="6" t="n"/>
      <c r="DH111" s="6" t="n"/>
      <c r="DI111" s="6" t="n"/>
      <c r="DJ111" s="6" t="n"/>
      <c r="DK111" s="6" t="n"/>
      <c r="DL111" s="6" t="n"/>
      <c r="DM111" s="6" t="n"/>
      <c r="DN111" s="6" t="n"/>
      <c r="DO111" s="6" t="n"/>
      <c r="DP111" s="6" t="n"/>
      <c r="DQ111" s="6" t="n"/>
      <c r="DR111" s="6" t="n"/>
      <c r="DS111" s="6" t="n"/>
      <c r="DT111" s="6" t="n"/>
      <c r="DU111" s="6" t="inlineStr">
        <is>
          <t>An RSF arrangement would have been useful, but my country had no balance of payments issues/did not need/was not willing to commit to the underlying UCT program</t>
        </is>
      </c>
      <c r="DV111" s="6" t="n"/>
      <c r="DW111" s="6" t="inlineStr">
        <is>
          <t>Don't know</t>
        </is>
      </c>
      <c r="DX111" s="6" t="n"/>
      <c r="DY111" s="6" t="n"/>
      <c r="DZ111" s="6" t="n"/>
      <c r="EA111" s="6" t="n"/>
      <c r="EB111" s="6" t="n"/>
      <c r="EC111" s="6" t="n"/>
      <c r="ED111" s="6" t="n"/>
      <c r="EE111" s="6" t="n"/>
      <c r="EF111" s="6" t="inlineStr">
        <is>
          <t>Don’t know or not applicable</t>
        </is>
      </c>
      <c r="EG111" s="6" t="inlineStr">
        <is>
          <t>Don’t know or not applicable</t>
        </is>
      </c>
      <c r="EH111" s="6" t="inlineStr">
        <is>
          <t>Don’t know or not applicable</t>
        </is>
      </c>
      <c r="EI111" s="6" t="inlineStr">
        <is>
          <t>Don’t know or not applicable</t>
        </is>
      </c>
      <c r="EJ111" s="6" t="inlineStr">
        <is>
          <t>Don’t know or not applicable</t>
        </is>
      </c>
      <c r="EK111" s="6" t="inlineStr">
        <is>
          <t>Don’t know or not applicable</t>
        </is>
      </c>
      <c r="EL111" s="6" t="inlineStr">
        <is>
          <t>Don’t know or not applicable</t>
        </is>
      </c>
      <c r="EM111" s="6" t="n"/>
      <c r="EN111" s="6" t="n"/>
      <c r="EO111" s="6" t="n"/>
      <c r="EP111" s="6" t="n"/>
      <c r="EQ111" s="6" t="inlineStr">
        <is>
          <t>Not at all</t>
        </is>
      </c>
      <c r="ER111" s="6" t="inlineStr">
        <is>
          <t>Not at all</t>
        </is>
      </c>
      <c r="ES111" s="6" t="n"/>
      <c r="ET111" s="6" t="n"/>
      <c r="EU111" s="6" t="n"/>
      <c r="EV111" s="6" t="n"/>
      <c r="EW111" s="6" t="n"/>
      <c r="EX111" s="6" t="n"/>
      <c r="EY111" s="6" t="n"/>
      <c r="EZ111" s="6" t="n"/>
      <c r="FA111" s="6" t="n"/>
      <c r="FB111" s="6" t="n"/>
      <c r="FC111" s="6" t="n"/>
      <c r="FD111" s="6" t="n"/>
      <c r="FE111" s="6" t="n"/>
      <c r="FF111" s="6" t="n"/>
      <c r="FG111" s="6" t="n"/>
      <c r="FH111" s="6" t="n"/>
      <c r="FI111" s="6" t="n"/>
      <c r="FJ111" s="6" t="n"/>
      <c r="FK111" s="6" t="n"/>
      <c r="FL111" s="6" t="n"/>
      <c r="FM111" s="6" t="n"/>
      <c r="FN111" s="6" t="n"/>
      <c r="FO111" s="6" t="n"/>
      <c r="FP111" s="6" t="n"/>
      <c r="FQ111" s="6" t="n"/>
      <c r="FR111" s="6" t="n"/>
      <c r="FS111" s="6" t="n"/>
      <c r="FT111" s="6" t="n"/>
      <c r="FU111" s="6" t="n"/>
      <c r="FV111" s="6" t="n"/>
      <c r="FW111" s="6" t="n"/>
      <c r="FX111" s="6" t="n"/>
      <c r="FY111" s="6" t="inlineStr">
        <is>
          <t>To a great extent</t>
        </is>
      </c>
      <c r="FZ111" s="6" t="inlineStr">
        <is>
          <t>To a great extent</t>
        </is>
      </c>
      <c r="GA111" s="6" t="inlineStr">
        <is>
          <t>To a great extent</t>
        </is>
      </c>
      <c r="GB111" s="6" t="inlineStr">
        <is>
          <t>To a great extent</t>
        </is>
      </c>
      <c r="GC111" s="6" t="n"/>
      <c r="GD111" s="6" t="n"/>
      <c r="GE111" s="6" t="inlineStr">
        <is>
          <t>To a moderate extent</t>
        </is>
      </c>
      <c r="GF111" s="6" t="inlineStr">
        <is>
          <t>To a great extent</t>
        </is>
      </c>
      <c r="GG111" s="6" t="inlineStr">
        <is>
          <t>To a great extent</t>
        </is>
      </c>
      <c r="GH111" s="6" t="inlineStr">
        <is>
          <t>To a slight extent</t>
        </is>
      </c>
      <c r="GI111" s="6" t="inlineStr">
        <is>
          <t>To a great extent</t>
        </is>
      </c>
      <c r="GJ111" s="6" t="inlineStr">
        <is>
          <t>To a great extent</t>
        </is>
      </c>
      <c r="GK111" s="6" t="n"/>
      <c r="GL111" s="7">
        <f>DATE(2025,6,6)+TIME(11,23,16)</f>
        <v/>
      </c>
    </row>
    <row r="112" ht="110.25" customHeight="1">
      <c r="A112" s="3" t="inlineStr">
        <is>
          <t>Oscar</t>
        </is>
      </c>
      <c r="B112" s="3" t="inlineStr">
        <is>
          <t>Alvarez</t>
        </is>
      </c>
      <c r="C112" s="3" t="inlineStr">
        <is>
          <t>oalvarez@organization.org</t>
        </is>
      </c>
      <c r="D112" s="3" t="inlineStr">
        <is>
          <t>SF2GG5AAX</t>
        </is>
      </c>
      <c r="E112" s="3" t="n"/>
      <c r="F112" s="3" t="inlineStr">
        <is>
          <t>OEDBR</t>
        </is>
      </c>
      <c r="G112" s="3" t="n"/>
      <c r="H112" s="3" t="n"/>
      <c r="I112" s="3" t="n"/>
      <c r="J112" s="3" t="n"/>
      <c r="K112" s="3" t="n"/>
      <c r="L112" s="3" t="inlineStr">
        <is>
          <t>Dominican Republic</t>
        </is>
      </c>
      <c r="M112" s="3" t="n"/>
      <c r="N112" s="3" t="n"/>
      <c r="O112" s="3" t="n"/>
      <c r="P112" s="3" t="n"/>
      <c r="Q112" s="3" t="n"/>
      <c r="R112" s="3" t="n"/>
      <c r="S112" s="3" t="n"/>
      <c r="T112" s="3" t="n"/>
      <c r="U112" s="3" t="n"/>
      <c r="V112" s="3" t="n"/>
      <c r="W112" s="3" t="n"/>
      <c r="X112" s="3" t="n"/>
      <c r="Y112" s="3" t="n"/>
      <c r="Z112" s="3" t="n"/>
      <c r="AA112" s="3" t="n"/>
      <c r="AB112" s="3" t="n"/>
      <c r="AC112" s="3" t="n"/>
      <c r="AD112" s="3" t="n"/>
      <c r="AE112" s="3" t="n"/>
      <c r="AF112" s="4" t="inlineStr">
        <is>
          <t>Dominican Republic</t>
        </is>
      </c>
      <c r="AG112" s="3" t="inlineStr">
        <is>
          <t>The IMF should engage less on climate change-related issues</t>
        </is>
      </c>
      <c r="AH112" s="3" t="inlineStr">
        <is>
          <t>To a moderate extent</t>
        </is>
      </c>
      <c r="AI112" s="3" t="inlineStr">
        <is>
          <t>To a moderate extent</t>
        </is>
      </c>
      <c r="AJ112" s="3" t="inlineStr">
        <is>
          <t>To a slight extent</t>
        </is>
      </c>
      <c r="AK112" s="3" t="inlineStr">
        <is>
          <t>To a moderate extent</t>
        </is>
      </c>
      <c r="AL112" s="3" t="inlineStr">
        <is>
          <t>To a great extent</t>
        </is>
      </c>
      <c r="AM112" s="3" t="inlineStr">
        <is>
          <t>To a great extent</t>
        </is>
      </c>
      <c r="AN112" s="3" t="inlineStr">
        <is>
          <t>To a moderate extent</t>
        </is>
      </c>
      <c r="AO112" s="3" t="inlineStr">
        <is>
          <t>To a moderate extent</t>
        </is>
      </c>
      <c r="AP112" s="3" t="inlineStr">
        <is>
          <t>To a moderate extent</t>
        </is>
      </c>
      <c r="AQ112" s="3" t="inlineStr">
        <is>
          <t>To a moderate extent</t>
        </is>
      </c>
      <c r="AR112" s="3" t="inlineStr">
        <is>
          <t>To a great extent</t>
        </is>
      </c>
      <c r="AS112" s="3" t="n"/>
      <c r="AT112" s="3" t="inlineStr">
        <is>
          <t>To a moderate extent</t>
        </is>
      </c>
      <c r="AU112" s="3" t="inlineStr">
        <is>
          <t>To a moderate extent</t>
        </is>
      </c>
      <c r="AV112" s="3" t="inlineStr">
        <is>
          <t>To a great extent</t>
        </is>
      </c>
      <c r="AW112" s="3" t="inlineStr">
        <is>
          <t>To a moderate extent</t>
        </is>
      </c>
      <c r="AX112" s="3" t="inlineStr">
        <is>
          <t>To a moderate extent</t>
        </is>
      </c>
      <c r="AY112" s="3" t="inlineStr">
        <is>
          <t>To a slight extent</t>
        </is>
      </c>
      <c r="AZ112" s="3" t="inlineStr">
        <is>
          <t>To a moderate extent</t>
        </is>
      </c>
      <c r="BA112" s="3" t="inlineStr">
        <is>
          <t>To a great extent</t>
        </is>
      </c>
      <c r="BB112" s="3" t="inlineStr">
        <is>
          <t>To a moderate extent</t>
        </is>
      </c>
      <c r="BC112" s="3" t="inlineStr">
        <is>
          <t>To a moderate extent</t>
        </is>
      </c>
      <c r="BD112" s="3" t="inlineStr">
        <is>
          <t>To a slight extent</t>
        </is>
      </c>
      <c r="BE112" s="3" t="inlineStr">
        <is>
          <t>Don’t know or not applicable</t>
        </is>
      </c>
      <c r="BF112" s="3" t="inlineStr">
        <is>
          <t>Don’t know or not applicable</t>
        </is>
      </c>
      <c r="BG112" s="3" t="inlineStr">
        <is>
          <t>Don’t know or not applicable</t>
        </is>
      </c>
      <c r="BH112" s="3" t="inlineStr">
        <is>
          <t>Don’t know or not applicable</t>
        </is>
      </c>
      <c r="BI112" s="3" t="inlineStr">
        <is>
          <t>Don’t know or not applicable</t>
        </is>
      </c>
      <c r="BJ112" s="3" t="inlineStr">
        <is>
          <t>To a moderate extent</t>
        </is>
      </c>
      <c r="BK112" s="3" t="inlineStr">
        <is>
          <t>To a great extent</t>
        </is>
      </c>
      <c r="BL112" s="3" t="inlineStr">
        <is>
          <t>To a moderate extent</t>
        </is>
      </c>
      <c r="BM112" s="3" t="inlineStr">
        <is>
          <t>To a moderate extent</t>
        </is>
      </c>
      <c r="BN112" s="3" t="inlineStr">
        <is>
          <t>To a slight extent</t>
        </is>
      </c>
      <c r="BO112" s="3" t="inlineStr">
        <is>
          <t>To a great extent</t>
        </is>
      </c>
      <c r="BP112" s="3" t="inlineStr">
        <is>
          <t>To a slight extent</t>
        </is>
      </c>
      <c r="BQ112" s="3" t="inlineStr">
        <is>
          <t>To a slight extent</t>
        </is>
      </c>
      <c r="BR112" s="3" t="inlineStr">
        <is>
          <t>Don’t know or not applicable</t>
        </is>
      </c>
      <c r="BS112" s="3" t="n"/>
      <c r="BT112" s="3" t="inlineStr">
        <is>
          <t>The IMF should have dedicated less resources</t>
        </is>
      </c>
      <c r="BU112" s="3" t="inlineStr">
        <is>
          <t>To a slight extent</t>
        </is>
      </c>
      <c r="BV112" s="3" t="inlineStr">
        <is>
          <t>To a slight extent</t>
        </is>
      </c>
      <c r="BW112" s="3" t="inlineStr">
        <is>
          <t>To a slight extent</t>
        </is>
      </c>
      <c r="BX112" s="3" t="inlineStr">
        <is>
          <t>To a slight extent</t>
        </is>
      </c>
      <c r="BY112" s="3" t="inlineStr">
        <is>
          <t>To a slight extent</t>
        </is>
      </c>
      <c r="BZ112" s="3" t="inlineStr">
        <is>
          <t>To a slight extent</t>
        </is>
      </c>
      <c r="CA112" s="3" t="inlineStr">
        <is>
          <t>To a slight extent</t>
        </is>
      </c>
      <c r="CB112" s="3" t="inlineStr">
        <is>
          <t>To a slight extent</t>
        </is>
      </c>
      <c r="CC112" s="3" t="inlineStr">
        <is>
          <t>To a moderate extent</t>
        </is>
      </c>
      <c r="CD112" s="3" t="inlineStr">
        <is>
          <t>To a moderate extent</t>
        </is>
      </c>
      <c r="CE112" s="3" t="inlineStr">
        <is>
          <t>To a moderate extent</t>
        </is>
      </c>
      <c r="CF112" s="3" t="inlineStr">
        <is>
          <t>To a moderate extent</t>
        </is>
      </c>
      <c r="CG112" s="3" t="n"/>
      <c r="CH112" s="3" t="inlineStr">
        <is>
          <t>No</t>
        </is>
      </c>
      <c r="CI112" s="3" t="inlineStr">
        <is>
          <t>Yes</t>
        </is>
      </c>
      <c r="CJ112" s="3" t="n"/>
      <c r="CK112" s="3" t="n"/>
      <c r="CL112" s="3" t="n"/>
      <c r="CM112" s="3" t="n"/>
      <c r="CN112" s="3" t="n"/>
      <c r="CO112" s="3" t="n"/>
      <c r="CP112" s="3" t="n"/>
      <c r="CQ112" s="3" t="n"/>
      <c r="CR112" s="3" t="n"/>
      <c r="CS112" s="3" t="n"/>
      <c r="CT112" s="3" t="n"/>
      <c r="CU112" s="3" t="n"/>
      <c r="CV112" s="3" t="n"/>
      <c r="CW112" s="3" t="n"/>
      <c r="CX112" s="3" t="n"/>
      <c r="CY112" s="3" t="n"/>
      <c r="CZ112" s="3" t="n"/>
      <c r="DA112" s="3" t="n"/>
      <c r="DB112" s="3" t="n"/>
      <c r="DC112" s="3" t="n"/>
      <c r="DD112" s="3" t="n"/>
      <c r="DE112" s="3" t="n"/>
      <c r="DF112" s="3" t="n"/>
      <c r="DG112" s="3" t="n"/>
      <c r="DH112" s="3" t="n"/>
      <c r="DI112" s="3" t="n"/>
      <c r="DJ112" s="3" t="n"/>
      <c r="DK112" s="3" t="n"/>
      <c r="DL112" s="3" t="n"/>
      <c r="DM112" s="3" t="n"/>
      <c r="DN112" s="3" t="n"/>
      <c r="DO112" s="3" t="n"/>
      <c r="DP112" s="3" t="n"/>
      <c r="DQ112" s="3" t="n"/>
      <c r="DR112" s="3" t="n"/>
      <c r="DS112" s="3" t="n"/>
      <c r="DT112" s="3" t="n"/>
      <c r="DU112" s="3" t="inlineStr">
        <is>
          <t>An RSF arrangement would have been useful, but my country had no balance of payments issues/did not need/was not willing to commit to the underlying UCT program</t>
        </is>
      </c>
      <c r="DV112" s="3" t="n"/>
      <c r="DW112" s="3" t="inlineStr">
        <is>
          <t>No</t>
        </is>
      </c>
      <c r="DX112" s="3" t="n"/>
      <c r="DY112" s="3" t="n"/>
      <c r="DZ112" s="3" t="n"/>
      <c r="EA112" s="3" t="n"/>
      <c r="EB112" s="3" t="n"/>
      <c r="EC112" s="3" t="n"/>
      <c r="ED112" s="3" t="n"/>
      <c r="EE112" s="3" t="n"/>
      <c r="EF112" s="3" t="inlineStr">
        <is>
          <t>Not at all</t>
        </is>
      </c>
      <c r="EG112" s="3" t="inlineStr">
        <is>
          <t>Don’t know or not applicable</t>
        </is>
      </c>
      <c r="EH112" s="3" t="inlineStr">
        <is>
          <t>Don’t know or not applicable</t>
        </is>
      </c>
      <c r="EI112" s="3" t="inlineStr">
        <is>
          <t>To a great extent</t>
        </is>
      </c>
      <c r="EJ112" s="3" t="inlineStr">
        <is>
          <t>To a great extent</t>
        </is>
      </c>
      <c r="EK112" s="3" t="inlineStr">
        <is>
          <t>To a great extent</t>
        </is>
      </c>
      <c r="EL112" s="3" t="inlineStr">
        <is>
          <t>To a great extent</t>
        </is>
      </c>
      <c r="EM112" s="3" t="inlineStr">
        <is>
          <t>To a moderate extent</t>
        </is>
      </c>
      <c r="EN112" s="3" t="inlineStr">
        <is>
          <t>To a great extent</t>
        </is>
      </c>
      <c r="EO112" s="3" t="inlineStr">
        <is>
          <t>Not at all</t>
        </is>
      </c>
      <c r="EP112" s="3" t="n"/>
      <c r="EQ112" s="3" t="inlineStr">
        <is>
          <t>To a slight extent</t>
        </is>
      </c>
      <c r="ER112" s="3" t="inlineStr">
        <is>
          <t>To a slight extent</t>
        </is>
      </c>
      <c r="ES112" s="3" t="n"/>
      <c r="ET112" s="3" t="inlineStr">
        <is>
          <t>Not at all</t>
        </is>
      </c>
      <c r="EU112" s="3" t="inlineStr">
        <is>
          <t>To a moderate extent</t>
        </is>
      </c>
      <c r="EV112" s="3" t="inlineStr">
        <is>
          <t>To a great extent</t>
        </is>
      </c>
      <c r="EW112" s="3" t="inlineStr">
        <is>
          <t>Don’t know or not applicable</t>
        </is>
      </c>
      <c r="EX112" s="3" t="n"/>
      <c r="EY112" s="3" t="inlineStr">
        <is>
          <t>Don’t know or not applicable</t>
        </is>
      </c>
      <c r="EZ112" s="3" t="inlineStr">
        <is>
          <t>Don’t know or not applicable</t>
        </is>
      </c>
      <c r="FA112" s="3" t="inlineStr">
        <is>
          <t>Don’t know or not applicable</t>
        </is>
      </c>
      <c r="FB112" s="3" t="inlineStr">
        <is>
          <t>Don’t know or not applicable</t>
        </is>
      </c>
      <c r="FC112" s="3" t="inlineStr">
        <is>
          <t>Don’t know or not applicable</t>
        </is>
      </c>
      <c r="FD112" s="3" t="inlineStr">
        <is>
          <t>Don’t know or not applicable</t>
        </is>
      </c>
      <c r="FE112" s="3" t="inlineStr">
        <is>
          <t>Don’t know or not applicable</t>
        </is>
      </c>
      <c r="FF112" s="3" t="inlineStr">
        <is>
          <t>Don’t know or not applicable</t>
        </is>
      </c>
      <c r="FG112" s="3" t="inlineStr">
        <is>
          <t>Don’t know or not applicable</t>
        </is>
      </c>
      <c r="FH112" s="3" t="inlineStr">
        <is>
          <t>Don’t know or not applicable</t>
        </is>
      </c>
      <c r="FI112" s="3" t="inlineStr">
        <is>
          <t>Don’t know or not applicable</t>
        </is>
      </c>
      <c r="FJ112" s="3" t="inlineStr">
        <is>
          <t>Don’t know or not applicable</t>
        </is>
      </c>
      <c r="FK112" s="3" t="inlineStr">
        <is>
          <t>Don’t know or not applicable</t>
        </is>
      </c>
      <c r="FL112" s="3" t="inlineStr">
        <is>
          <t>Don’t know or not applicable</t>
        </is>
      </c>
      <c r="FM112" s="3" t="inlineStr">
        <is>
          <t>Don’t know or not applicable</t>
        </is>
      </c>
      <c r="FN112" s="3" t="inlineStr">
        <is>
          <t>Don’t know or not applicable</t>
        </is>
      </c>
      <c r="FO112" s="3" t="inlineStr">
        <is>
          <t>Don’t know or not applicable</t>
        </is>
      </c>
      <c r="FP112" s="3" t="inlineStr">
        <is>
          <t>Don’t know or not applicable</t>
        </is>
      </c>
      <c r="FQ112" s="3" t="inlineStr">
        <is>
          <t>Don’t know or not applicable</t>
        </is>
      </c>
      <c r="FR112" s="3" t="inlineStr">
        <is>
          <t>To a moderate extent</t>
        </is>
      </c>
      <c r="FS112" s="3" t="inlineStr">
        <is>
          <t>Don’t know or not applicable</t>
        </is>
      </c>
      <c r="FT112" s="3" t="inlineStr">
        <is>
          <t>Don’t know or not applicable</t>
        </is>
      </c>
      <c r="FU112" s="3" t="inlineStr">
        <is>
          <t>Don’t know or not applicable</t>
        </is>
      </c>
      <c r="FV112" s="3" t="n"/>
      <c r="FW112" s="3" t="inlineStr">
        <is>
          <t>The IMF should have dedicated less resources</t>
        </is>
      </c>
      <c r="FX112" s="3" t="n"/>
      <c r="FY112" s="3" t="inlineStr">
        <is>
          <t>To a slight extent</t>
        </is>
      </c>
      <c r="FZ112" s="3" t="inlineStr">
        <is>
          <t>To a slight extent</t>
        </is>
      </c>
      <c r="GA112" s="3" t="inlineStr">
        <is>
          <t>To a slight extent</t>
        </is>
      </c>
      <c r="GB112" s="3" t="inlineStr">
        <is>
          <t>Not at all</t>
        </is>
      </c>
      <c r="GC112" s="3" t="inlineStr">
        <is>
          <t>Don’t know or not applicable</t>
        </is>
      </c>
      <c r="GD112" s="3" t="n"/>
      <c r="GE112" s="3" t="inlineStr">
        <is>
          <t>To a great extent</t>
        </is>
      </c>
      <c r="GF112" s="3" t="inlineStr">
        <is>
          <t>To a slight extent</t>
        </is>
      </c>
      <c r="GG112" s="3" t="inlineStr">
        <is>
          <t>To a great extent</t>
        </is>
      </c>
      <c r="GH112" s="3" t="inlineStr">
        <is>
          <t>Not at all</t>
        </is>
      </c>
      <c r="GI112" s="3" t="inlineStr">
        <is>
          <t>Not at all</t>
        </is>
      </c>
      <c r="GJ112" s="3" t="inlineStr">
        <is>
          <t>To a slight extent</t>
        </is>
      </c>
      <c r="GK112" s="3" t="n"/>
      <c r="GL112" s="5">
        <f>DATE(2025,6,9)+TIME(14,32,42)</f>
        <v/>
      </c>
    </row>
    <row r="113" ht="78.75" customHeight="1">
      <c r="A113" s="6" t="inlineStr">
        <is>
          <t>Malik</t>
        </is>
      </c>
      <c r="B113" s="6" t="inlineStr">
        <is>
          <t>Nakamura</t>
        </is>
      </c>
      <c r="C113" s="6" t="inlineStr">
        <is>
          <t>mnakamura@organization.org</t>
        </is>
      </c>
      <c r="D113" s="6" t="inlineStr">
        <is>
          <t>JQSFWFECP</t>
        </is>
      </c>
      <c r="E113" s="6" t="n"/>
      <c r="F113" s="6" t="inlineStr">
        <is>
          <t>OEDAW</t>
        </is>
      </c>
      <c r="G113" s="6" t="n"/>
      <c r="H113" s="6" t="n"/>
      <c r="I113" s="6" t="n"/>
      <c r="J113" s="6" t="n"/>
      <c r="K113" s="6" t="inlineStr">
        <is>
          <t>Burkina Faso</t>
        </is>
      </c>
      <c r="L113" s="6" t="n"/>
      <c r="M113" s="6" t="n"/>
      <c r="N113" s="6" t="n"/>
      <c r="O113" s="6" t="n"/>
      <c r="P113" s="6" t="n"/>
      <c r="Q113" s="6" t="n"/>
      <c r="R113" s="6" t="n"/>
      <c r="S113" s="6" t="n"/>
      <c r="T113" s="6" t="n"/>
      <c r="U113" s="6" t="n"/>
      <c r="V113" s="6" t="n"/>
      <c r="W113" s="6" t="n"/>
      <c r="X113" s="6" t="n"/>
      <c r="Y113" s="6" t="n"/>
      <c r="Z113" s="6" t="n"/>
      <c r="AA113" s="6" t="n"/>
      <c r="AB113" s="6" t="n"/>
      <c r="AC113" s="6" t="n"/>
      <c r="AD113" s="6" t="n"/>
      <c r="AE113" s="6" t="n"/>
      <c r="AF113" s="4" t="inlineStr">
        <is>
          <t>Burkina Faso</t>
        </is>
      </c>
      <c r="AG113" s="6" t="inlineStr">
        <is>
          <t>The IMF should engage more on climate change-related issues</t>
        </is>
      </c>
      <c r="AH113" s="6" t="inlineStr">
        <is>
          <t>To a moderate extent</t>
        </is>
      </c>
      <c r="AI113" s="6" t="inlineStr">
        <is>
          <t>Not at all</t>
        </is>
      </c>
      <c r="AJ113" s="6" t="inlineStr">
        <is>
          <t>Not at all</t>
        </is>
      </c>
      <c r="AK113" s="6" t="inlineStr">
        <is>
          <t>Not at all</t>
        </is>
      </c>
      <c r="AL113" s="6" t="inlineStr">
        <is>
          <t>To a great extent</t>
        </is>
      </c>
      <c r="AM113" s="6" t="inlineStr">
        <is>
          <t>Don’t know or not applicable</t>
        </is>
      </c>
      <c r="AN113" s="6" t="inlineStr">
        <is>
          <t>Don’t know or not applicable</t>
        </is>
      </c>
      <c r="AO113" s="6" t="inlineStr">
        <is>
          <t>To a great extent</t>
        </is>
      </c>
      <c r="AP113" s="6" t="inlineStr">
        <is>
          <t>To a slight extent</t>
        </is>
      </c>
      <c r="AQ113" s="6" t="inlineStr">
        <is>
          <t>Not at all</t>
        </is>
      </c>
      <c r="AR113" s="6" t="inlineStr">
        <is>
          <t>To a slight extent</t>
        </is>
      </c>
      <c r="AS113" s="6" t="n"/>
      <c r="AT113" s="6" t="inlineStr">
        <is>
          <t>To a great extent</t>
        </is>
      </c>
      <c r="AU113" s="6" t="inlineStr">
        <is>
          <t>Not at all</t>
        </is>
      </c>
      <c r="AV113" s="6" t="inlineStr">
        <is>
          <t>Not at all</t>
        </is>
      </c>
      <c r="AW113" s="6" t="inlineStr">
        <is>
          <t>To a great extent</t>
        </is>
      </c>
      <c r="AX113" s="6" t="inlineStr">
        <is>
          <t>To a slight extent</t>
        </is>
      </c>
      <c r="AY113" s="6" t="inlineStr">
        <is>
          <t>Not at all</t>
        </is>
      </c>
      <c r="AZ113" s="6" t="inlineStr">
        <is>
          <t>Not at all</t>
        </is>
      </c>
      <c r="BA113" s="6" t="inlineStr">
        <is>
          <t>Not at all</t>
        </is>
      </c>
      <c r="BB113" s="6" t="inlineStr">
        <is>
          <t>To a slight extent</t>
        </is>
      </c>
      <c r="BC113" s="6" t="inlineStr">
        <is>
          <t>To a slight extent</t>
        </is>
      </c>
      <c r="BD113" s="6" t="inlineStr">
        <is>
          <t>Not at all</t>
        </is>
      </c>
      <c r="BE113" s="6" t="inlineStr">
        <is>
          <t>Not at all</t>
        </is>
      </c>
      <c r="BF113" s="6" t="inlineStr">
        <is>
          <t>Not at all</t>
        </is>
      </c>
      <c r="BG113" s="6" t="inlineStr">
        <is>
          <t>Not at all</t>
        </is>
      </c>
      <c r="BH113" s="6" t="inlineStr">
        <is>
          <t>Not at all</t>
        </is>
      </c>
      <c r="BI113" s="6" t="inlineStr">
        <is>
          <t>Not at all</t>
        </is>
      </c>
      <c r="BJ113" s="6" t="inlineStr">
        <is>
          <t>To a slight extent</t>
        </is>
      </c>
      <c r="BK113" s="6" t="inlineStr">
        <is>
          <t>Not at all</t>
        </is>
      </c>
      <c r="BL113" s="6" t="inlineStr">
        <is>
          <t>To a slight extent</t>
        </is>
      </c>
      <c r="BM113" s="6" t="inlineStr">
        <is>
          <t>To a slight extent</t>
        </is>
      </c>
      <c r="BN113" s="6" t="inlineStr">
        <is>
          <t>Not at all</t>
        </is>
      </c>
      <c r="BO113" s="6" t="inlineStr">
        <is>
          <t>To a moderate extent</t>
        </is>
      </c>
      <c r="BP113" s="6" t="inlineStr">
        <is>
          <t>To a slight extent</t>
        </is>
      </c>
      <c r="BQ113" s="6" t="inlineStr">
        <is>
          <t>To a moderate extent</t>
        </is>
      </c>
      <c r="BR113" s="6" t="inlineStr">
        <is>
          <t>Not at all</t>
        </is>
      </c>
      <c r="BS113" s="6" t="n"/>
      <c r="BT113" s="6" t="inlineStr">
        <is>
          <t>The IMF should have dedicated more resources</t>
        </is>
      </c>
      <c r="BU113" s="6" t="inlineStr">
        <is>
          <t>To a great extent</t>
        </is>
      </c>
      <c r="BV113" s="6" t="inlineStr">
        <is>
          <t>To a great extent</t>
        </is>
      </c>
      <c r="BW113" s="6" t="inlineStr">
        <is>
          <t>To a great extent</t>
        </is>
      </c>
      <c r="BX113" s="6" t="inlineStr">
        <is>
          <t>To a great extent</t>
        </is>
      </c>
      <c r="BY113" s="6" t="inlineStr">
        <is>
          <t>To a great extent</t>
        </is>
      </c>
      <c r="BZ113" s="6" t="inlineStr">
        <is>
          <t>To a great extent</t>
        </is>
      </c>
      <c r="CA113" s="6" t="inlineStr">
        <is>
          <t>To a great extent</t>
        </is>
      </c>
      <c r="CB113" s="6" t="inlineStr">
        <is>
          <t>To a great extent</t>
        </is>
      </c>
      <c r="CC113" s="6" t="inlineStr">
        <is>
          <t>To a great extent</t>
        </is>
      </c>
      <c r="CD113" s="6" t="inlineStr">
        <is>
          <t>To a great extent</t>
        </is>
      </c>
      <c r="CE113" s="6" t="inlineStr">
        <is>
          <t>To a great extent</t>
        </is>
      </c>
      <c r="CF113" s="6" t="inlineStr">
        <is>
          <t>To a great extent</t>
        </is>
      </c>
      <c r="CG113" s="6" t="n"/>
      <c r="CH113" s="6" t="inlineStr">
        <is>
          <t>No</t>
        </is>
      </c>
      <c r="CI113" s="6" t="inlineStr">
        <is>
          <t>Yes</t>
        </is>
      </c>
      <c r="CJ113" s="6" t="n"/>
      <c r="CK113" s="6" t="n"/>
      <c r="CL113" s="6" t="n"/>
      <c r="CM113" s="6" t="n"/>
      <c r="CN113" s="6" t="n"/>
      <c r="CO113" s="6" t="n"/>
      <c r="CP113" s="6" t="n"/>
      <c r="CQ113" s="6" t="n"/>
      <c r="CR113" s="6" t="n"/>
      <c r="CS113" s="6" t="n"/>
      <c r="CT113" s="6" t="n"/>
      <c r="CU113" s="6" t="n"/>
      <c r="CV113" s="6" t="n"/>
      <c r="CW113" s="6" t="n"/>
      <c r="CX113" s="6" t="n"/>
      <c r="CY113" s="6" t="n"/>
      <c r="CZ113" s="6" t="n"/>
      <c r="DA113" s="6" t="n"/>
      <c r="DB113" s="6" t="n"/>
      <c r="DC113" s="6" t="n"/>
      <c r="DD113" s="6" t="n"/>
      <c r="DE113" s="6" t="n"/>
      <c r="DF113" s="6" t="n"/>
      <c r="DG113" s="6" t="n"/>
      <c r="DH113" s="6" t="n"/>
      <c r="DI113" s="6" t="n"/>
      <c r="DJ113" s="6" t="n"/>
      <c r="DK113" s="6" t="n"/>
      <c r="DL113" s="6" t="n"/>
      <c r="DM113" s="6" t="n"/>
      <c r="DN113" s="6" t="n"/>
      <c r="DO113" s="6" t="n"/>
      <c r="DP113" s="6" t="n"/>
      <c r="DQ113" s="6" t="n"/>
      <c r="DR113" s="6" t="n"/>
      <c r="DS113" s="6" t="n"/>
      <c r="DT113" s="6" t="inlineStr">
        <is>
          <t>My country requested an RSF arrangement but it has not been approved yet or the request did not progress</t>
        </is>
      </c>
      <c r="DU113" s="6" t="n"/>
      <c r="DV113" s="6" t="n"/>
      <c r="DW113" s="6" t="inlineStr">
        <is>
          <t>Don't know</t>
        </is>
      </c>
      <c r="DX113" s="6" t="n"/>
      <c r="DY113" s="6" t="n"/>
      <c r="DZ113" s="6" t="n"/>
      <c r="EA113" s="6" t="n"/>
      <c r="EB113" s="6" t="n"/>
      <c r="EC113" s="6" t="n"/>
      <c r="ED113" s="6" t="n"/>
      <c r="EE113" s="6" t="n"/>
      <c r="EF113" s="6" t="inlineStr">
        <is>
          <t>Not at all</t>
        </is>
      </c>
      <c r="EG113" s="6" t="inlineStr">
        <is>
          <t>Not at all</t>
        </is>
      </c>
      <c r="EH113" s="6" t="inlineStr">
        <is>
          <t>Not at all</t>
        </is>
      </c>
      <c r="EI113" s="6" t="inlineStr">
        <is>
          <t>Not at all</t>
        </is>
      </c>
      <c r="EJ113" s="6" t="inlineStr">
        <is>
          <t>To a great extent</t>
        </is>
      </c>
      <c r="EK113" s="6" t="inlineStr">
        <is>
          <t>To a great extent</t>
        </is>
      </c>
      <c r="EL113" s="6" t="inlineStr">
        <is>
          <t>To a great extent</t>
        </is>
      </c>
      <c r="EM113" s="6" t="inlineStr">
        <is>
          <t>Not at all</t>
        </is>
      </c>
      <c r="EN113" s="6" t="inlineStr">
        <is>
          <t>Not at all</t>
        </is>
      </c>
      <c r="EO113" s="6" t="inlineStr">
        <is>
          <t>To a slight extent</t>
        </is>
      </c>
      <c r="EP113" s="6" t="n"/>
      <c r="EQ113" s="6" t="inlineStr">
        <is>
          <t>To a moderate extent</t>
        </is>
      </c>
      <c r="ER113" s="6" t="inlineStr">
        <is>
          <t>Not at all</t>
        </is>
      </c>
      <c r="ES113" s="6" t="n"/>
      <c r="ET113" s="6" t="inlineStr">
        <is>
          <t>To a great extent</t>
        </is>
      </c>
      <c r="EU113" s="6" t="inlineStr">
        <is>
          <t>Not at all</t>
        </is>
      </c>
      <c r="EV113" s="6" t="inlineStr">
        <is>
          <t>Not at all</t>
        </is>
      </c>
      <c r="EW113" s="6" t="inlineStr">
        <is>
          <t>Don’t know or not applicable</t>
        </is>
      </c>
      <c r="EX113" s="6" t="n"/>
      <c r="EY113" s="6" t="inlineStr">
        <is>
          <t>To a slight extent</t>
        </is>
      </c>
      <c r="EZ113" s="6" t="inlineStr">
        <is>
          <t>Not at all</t>
        </is>
      </c>
      <c r="FA113" s="6" t="inlineStr">
        <is>
          <t>To a great extent</t>
        </is>
      </c>
      <c r="FB113" s="6" t="inlineStr">
        <is>
          <t>To a slight extent</t>
        </is>
      </c>
      <c r="FC113" s="6" t="inlineStr">
        <is>
          <t>To a slight extent</t>
        </is>
      </c>
      <c r="FD113" s="6" t="inlineStr">
        <is>
          <t>To a slight extent</t>
        </is>
      </c>
      <c r="FE113" s="6" t="inlineStr">
        <is>
          <t>Not at all</t>
        </is>
      </c>
      <c r="FF113" s="6" t="inlineStr">
        <is>
          <t>Not at all</t>
        </is>
      </c>
      <c r="FG113" s="6" t="inlineStr">
        <is>
          <t>Not at all</t>
        </is>
      </c>
      <c r="FH113" s="6" t="n"/>
      <c r="FI113" s="6" t="n"/>
      <c r="FJ113" s="6" t="n"/>
      <c r="FK113" s="6" t="n"/>
      <c r="FL113" s="6" t="n"/>
      <c r="FM113" s="6" t="n"/>
      <c r="FN113" s="6" t="n"/>
      <c r="FO113" s="6" t="n"/>
      <c r="FP113" s="6" t="n"/>
      <c r="FQ113" s="6" t="n"/>
      <c r="FR113" s="6" t="inlineStr">
        <is>
          <t>To a great extent</t>
        </is>
      </c>
      <c r="FS113" s="6" t="inlineStr">
        <is>
          <t>To a slight extent</t>
        </is>
      </c>
      <c r="FT113" s="6" t="inlineStr">
        <is>
          <t>To a slight extent</t>
        </is>
      </c>
      <c r="FU113" s="6" t="inlineStr">
        <is>
          <t>Not at all</t>
        </is>
      </c>
      <c r="FV113" s="6" t="n"/>
      <c r="FW113" s="6" t="inlineStr">
        <is>
          <t>The IMF should have dedicated more resources</t>
        </is>
      </c>
      <c r="FX113" s="6" t="n"/>
      <c r="FY113" s="6" t="inlineStr">
        <is>
          <t>To a great extent</t>
        </is>
      </c>
      <c r="FZ113" s="6" t="inlineStr">
        <is>
          <t>To a great extent</t>
        </is>
      </c>
      <c r="GA113" s="6" t="inlineStr">
        <is>
          <t>To a great extent</t>
        </is>
      </c>
      <c r="GB113" s="6" t="inlineStr">
        <is>
          <t>To a great extent</t>
        </is>
      </c>
      <c r="GC113" s="6" t="n"/>
      <c r="GD113" s="6" t="n"/>
      <c r="GE113" s="6" t="inlineStr">
        <is>
          <t>To a slight extent</t>
        </is>
      </c>
      <c r="GF113" s="6" t="inlineStr">
        <is>
          <t>To a great extent</t>
        </is>
      </c>
      <c r="GG113" s="6" t="inlineStr">
        <is>
          <t>To a great extent</t>
        </is>
      </c>
      <c r="GH113" s="6" t="inlineStr">
        <is>
          <t>To a great extent</t>
        </is>
      </c>
      <c r="GI113" s="6" t="inlineStr">
        <is>
          <t>To a great extent</t>
        </is>
      </c>
      <c r="GJ113" s="6" t="inlineStr">
        <is>
          <t>To a great extent</t>
        </is>
      </c>
      <c r="GK113" s="6" t="n"/>
      <c r="GL113" s="7">
        <f>DATE(2025,7,11)+TIME(11,58,15)</f>
        <v/>
      </c>
    </row>
    <row r="114" ht="63" customHeight="1">
      <c r="A114" s="3" t="inlineStr">
        <is>
          <t>Elena</t>
        </is>
      </c>
      <c r="B114" s="3" t="inlineStr">
        <is>
          <t>Chen</t>
        </is>
      </c>
      <c r="C114" s="3" t="inlineStr">
        <is>
          <t>echen@organization.org</t>
        </is>
      </c>
      <c r="D114" s="3" t="inlineStr">
        <is>
          <t>3YZO9ROFH</t>
        </is>
      </c>
      <c r="E114" s="3" t="n"/>
      <c r="F114" s="3" t="inlineStr">
        <is>
          <t>OEDNE</t>
        </is>
      </c>
      <c r="G114" s="3" t="n"/>
      <c r="H114" s="3" t="n"/>
      <c r="I114" s="3" t="n"/>
      <c r="J114" s="3" t="n"/>
      <c r="K114" s="3" t="n"/>
      <c r="L114" s="3" t="n"/>
      <c r="M114" s="3" t="n"/>
      <c r="N114" s="3" t="n"/>
      <c r="O114" s="3" t="n"/>
      <c r="P114" s="3" t="n"/>
      <c r="Q114" s="3" t="n"/>
      <c r="R114" s="3" t="n"/>
      <c r="S114" s="3" t="n"/>
      <c r="T114" s="3" t="n"/>
      <c r="U114" s="3" t="n"/>
      <c r="V114" s="3" t="n"/>
      <c r="W114" s="3" t="n"/>
      <c r="X114" s="3" t="inlineStr">
        <is>
          <t>Netherlands</t>
        </is>
      </c>
      <c r="Y114" s="3" t="n"/>
      <c r="Z114" s="3" t="n"/>
      <c r="AA114" s="3" t="n"/>
      <c r="AB114" s="3" t="n"/>
      <c r="AC114" s="3" t="n"/>
      <c r="AD114" s="3" t="n"/>
      <c r="AE114" s="3" t="n"/>
      <c r="AF114" s="4" t="inlineStr">
        <is>
          <t>Netherlands</t>
        </is>
      </c>
      <c r="AG114" s="3" t="inlineStr">
        <is>
          <t>The IMF should engage more on climate change-related issues</t>
        </is>
      </c>
      <c r="AH114" s="3" t="inlineStr">
        <is>
          <t>To a great extent</t>
        </is>
      </c>
      <c r="AI114" s="3" t="inlineStr">
        <is>
          <t>To a great extent</t>
        </is>
      </c>
      <c r="AJ114" s="3" t="inlineStr">
        <is>
          <t>To a great extent</t>
        </is>
      </c>
      <c r="AK114" s="3" t="inlineStr">
        <is>
          <t>To a great extent</t>
        </is>
      </c>
      <c r="AL114" s="3" t="inlineStr">
        <is>
          <t>To a moderate extent</t>
        </is>
      </c>
      <c r="AM114" s="3" t="inlineStr">
        <is>
          <t>To a great extent</t>
        </is>
      </c>
      <c r="AN114" s="3" t="inlineStr">
        <is>
          <t>To a moderate extent</t>
        </is>
      </c>
      <c r="AO114" s="3" t="inlineStr">
        <is>
          <t>To a moderate extent</t>
        </is>
      </c>
      <c r="AP114" s="3" t="inlineStr">
        <is>
          <t>To a moderate extent</t>
        </is>
      </c>
      <c r="AQ114" s="3" t="inlineStr">
        <is>
          <t>To a great extent</t>
        </is>
      </c>
      <c r="AR114" s="3" t="inlineStr">
        <is>
          <t>To a great extent</t>
        </is>
      </c>
      <c r="AS114" s="3" t="n"/>
      <c r="AT114" s="3" t="inlineStr">
        <is>
          <t>To a moderate extent</t>
        </is>
      </c>
      <c r="AU114" s="3" t="inlineStr">
        <is>
          <t>To a great extent</t>
        </is>
      </c>
      <c r="AV114" s="3" t="inlineStr">
        <is>
          <t>Not at all</t>
        </is>
      </c>
      <c r="AW114" s="3" t="inlineStr">
        <is>
          <t>To a moderate extent</t>
        </is>
      </c>
      <c r="AX114" s="3" t="inlineStr">
        <is>
          <t>To a moderate extent</t>
        </is>
      </c>
      <c r="AY114" s="3" t="inlineStr">
        <is>
          <t>To a great extent</t>
        </is>
      </c>
      <c r="AZ114" s="3" t="inlineStr">
        <is>
          <t>To a great extent</t>
        </is>
      </c>
      <c r="BA114" s="3" t="inlineStr">
        <is>
          <t>To a slight extent</t>
        </is>
      </c>
      <c r="BB114" s="3" t="inlineStr">
        <is>
          <t>To a great extent</t>
        </is>
      </c>
      <c r="BC114" s="3" t="inlineStr">
        <is>
          <t>To a great extent</t>
        </is>
      </c>
      <c r="BD114" s="3" t="inlineStr">
        <is>
          <t>To a great extent</t>
        </is>
      </c>
      <c r="BE114" s="3" t="inlineStr">
        <is>
          <t>To a moderate extent</t>
        </is>
      </c>
      <c r="BF114" s="3" t="inlineStr">
        <is>
          <t>Not at all</t>
        </is>
      </c>
      <c r="BG114" s="3" t="inlineStr">
        <is>
          <t>To a moderate extent</t>
        </is>
      </c>
      <c r="BH114" s="3" t="inlineStr">
        <is>
          <t>To a moderate extent</t>
        </is>
      </c>
      <c r="BI114" s="3" t="inlineStr">
        <is>
          <t>To a great extent</t>
        </is>
      </c>
      <c r="BJ114" s="3" t="inlineStr">
        <is>
          <t>To a great extent</t>
        </is>
      </c>
      <c r="BK114" s="3" t="inlineStr">
        <is>
          <t>To a slight extent</t>
        </is>
      </c>
      <c r="BL114" s="3" t="inlineStr">
        <is>
          <t>To a great extent</t>
        </is>
      </c>
      <c r="BM114" s="3" t="inlineStr">
        <is>
          <t>To a great extent</t>
        </is>
      </c>
      <c r="BN114" s="3" t="inlineStr">
        <is>
          <t>To a great extent</t>
        </is>
      </c>
      <c r="BO114" s="3" t="inlineStr">
        <is>
          <t>To a moderate extent</t>
        </is>
      </c>
      <c r="BP114" s="3" t="inlineStr">
        <is>
          <t>To a slight extent</t>
        </is>
      </c>
      <c r="BQ114" s="3" t="inlineStr">
        <is>
          <t>To a slight extent</t>
        </is>
      </c>
      <c r="BR114" s="3" t="n"/>
      <c r="BS114" s="3" t="n"/>
      <c r="BT114" s="3" t="inlineStr">
        <is>
          <t>The IMF should have dedicated more resources</t>
        </is>
      </c>
      <c r="BU114" s="3" t="inlineStr">
        <is>
          <t>To a great extent</t>
        </is>
      </c>
      <c r="BV114" s="3" t="inlineStr">
        <is>
          <t>To a great extent</t>
        </is>
      </c>
      <c r="BW114" s="3" t="inlineStr">
        <is>
          <t>To a great extent</t>
        </is>
      </c>
      <c r="BX114" s="3" t="inlineStr">
        <is>
          <t>To a great extent</t>
        </is>
      </c>
      <c r="BY114" s="3" t="inlineStr">
        <is>
          <t>To a great extent</t>
        </is>
      </c>
      <c r="BZ114" s="3" t="inlineStr">
        <is>
          <t>To a great extent</t>
        </is>
      </c>
      <c r="CA114" s="3" t="inlineStr">
        <is>
          <t>To a moderate extent</t>
        </is>
      </c>
      <c r="CB114" s="3" t="inlineStr">
        <is>
          <t>To a moderate extent</t>
        </is>
      </c>
      <c r="CC114" s="3" t="inlineStr">
        <is>
          <t>To a great extent</t>
        </is>
      </c>
      <c r="CD114" s="3" t="inlineStr">
        <is>
          <t>To a great extent</t>
        </is>
      </c>
      <c r="CE114" s="3" t="inlineStr">
        <is>
          <t>To a great extent</t>
        </is>
      </c>
      <c r="CF114" s="3" t="inlineStr">
        <is>
          <t>To a great extent</t>
        </is>
      </c>
      <c r="CG114" s="3" t="n"/>
      <c r="CH114" s="3" t="inlineStr">
        <is>
          <t>No</t>
        </is>
      </c>
      <c r="CI114" s="3" t="inlineStr">
        <is>
          <t>No</t>
        </is>
      </c>
      <c r="CJ114" s="3" t="n"/>
      <c r="CK114" s="3" t="n"/>
      <c r="CL114" s="3" t="n"/>
      <c r="CM114" s="3" t="n"/>
      <c r="CN114" s="3" t="n"/>
      <c r="CO114" s="3" t="n"/>
      <c r="CP114" s="3" t="n"/>
      <c r="CQ114" s="3" t="n"/>
      <c r="CR114" s="3" t="n"/>
      <c r="CS114" s="3" t="n"/>
      <c r="CT114" s="3" t="n"/>
      <c r="CU114" s="3" t="n"/>
      <c r="CV114" s="3" t="n"/>
      <c r="CW114" s="3" t="n"/>
      <c r="CX114" s="3" t="n"/>
      <c r="CY114" s="3" t="n"/>
      <c r="CZ114" s="3" t="n"/>
      <c r="DA114" s="3" t="n"/>
      <c r="DB114" s="3" t="n"/>
      <c r="DC114" s="3" t="n"/>
      <c r="DD114" s="3" t="n"/>
      <c r="DE114" s="3" t="n"/>
      <c r="DF114" s="3" t="n"/>
      <c r="DG114" s="3" t="n"/>
      <c r="DH114" s="3" t="n"/>
      <c r="DI114" s="3" t="n"/>
      <c r="DJ114" s="3" t="n"/>
      <c r="DK114" s="3" t="n"/>
      <c r="DL114" s="3" t="n"/>
      <c r="DM114" s="3" t="n"/>
      <c r="DN114" s="3" t="n"/>
      <c r="DO114" s="3" t="n"/>
      <c r="DP114" s="3" t="inlineStr">
        <is>
          <t>My country is not eligible for an RSF arrangement</t>
        </is>
      </c>
      <c r="DQ114" s="3" t="n"/>
      <c r="DR114" s="3" t="n"/>
      <c r="DS114" s="3" t="n"/>
      <c r="DT114" s="3" t="n"/>
      <c r="DU114" s="3" t="n"/>
      <c r="DV114" s="3" t="n"/>
      <c r="DW114" s="3" t="inlineStr">
        <is>
          <t>No</t>
        </is>
      </c>
      <c r="DX114" s="3" t="n"/>
      <c r="DY114" s="3" t="n"/>
      <c r="DZ114" s="3" t="n"/>
      <c r="EA114" s="3" t="n"/>
      <c r="EB114" s="3" t="n"/>
      <c r="EC114" s="3" t="n"/>
      <c r="ED114" s="3" t="n"/>
      <c r="EE114" s="3" t="n"/>
      <c r="EF114" s="3" t="inlineStr">
        <is>
          <t>To a great extent</t>
        </is>
      </c>
      <c r="EG114" s="3" t="inlineStr">
        <is>
          <t>To a moderate extent</t>
        </is>
      </c>
      <c r="EH114" s="3" t="inlineStr">
        <is>
          <t>To a moderate extent</t>
        </is>
      </c>
      <c r="EI114" s="3" t="inlineStr">
        <is>
          <t>To a great extent</t>
        </is>
      </c>
      <c r="EJ114" s="3" t="inlineStr">
        <is>
          <t>To a moderate extent</t>
        </is>
      </c>
      <c r="EK114" s="3" t="inlineStr">
        <is>
          <t>Not at all</t>
        </is>
      </c>
      <c r="EL114" s="3" t="inlineStr">
        <is>
          <t>To a great extent</t>
        </is>
      </c>
      <c r="EM114" s="3" t="n"/>
      <c r="EN114" s="3" t="n"/>
      <c r="EO114" s="3" t="n"/>
      <c r="EP114" s="3" t="n"/>
      <c r="EQ114" s="3" t="inlineStr">
        <is>
          <t>Not at all</t>
        </is>
      </c>
      <c r="ER114" s="3" t="inlineStr">
        <is>
          <t>Not at all</t>
        </is>
      </c>
      <c r="ES114" s="3" t="n"/>
      <c r="ET114" s="3" t="n"/>
      <c r="EU114" s="3" t="n"/>
      <c r="EV114" s="3" t="n"/>
      <c r="EW114" s="3" t="n"/>
      <c r="EX114" s="3" t="n"/>
      <c r="EY114" s="3" t="n"/>
      <c r="EZ114" s="3" t="n"/>
      <c r="FA114" s="3" t="n"/>
      <c r="FB114" s="3" t="n"/>
      <c r="FC114" s="3" t="n"/>
      <c r="FD114" s="3" t="n"/>
      <c r="FE114" s="3" t="n"/>
      <c r="FF114" s="3" t="n"/>
      <c r="FG114" s="3" t="n"/>
      <c r="FH114" s="3" t="n"/>
      <c r="FI114" s="3" t="n"/>
      <c r="FJ114" s="3" t="n"/>
      <c r="FK114" s="3" t="n"/>
      <c r="FL114" s="3" t="n"/>
      <c r="FM114" s="3" t="n"/>
      <c r="FN114" s="3" t="n"/>
      <c r="FO114" s="3" t="n"/>
      <c r="FP114" s="3" t="n"/>
      <c r="FQ114" s="3" t="n"/>
      <c r="FR114" s="3" t="n"/>
      <c r="FS114" s="3" t="n"/>
      <c r="FT114" s="3" t="n"/>
      <c r="FU114" s="3" t="n"/>
      <c r="FV114" s="3" t="n"/>
      <c r="FW114" s="3" t="n"/>
      <c r="FX114" s="3" t="n"/>
      <c r="FY114" s="3" t="inlineStr">
        <is>
          <t>To a great extent</t>
        </is>
      </c>
      <c r="FZ114" s="3" t="inlineStr">
        <is>
          <t>To a moderate extent</t>
        </is>
      </c>
      <c r="GA114" s="3" t="inlineStr">
        <is>
          <t>To a great extent</t>
        </is>
      </c>
      <c r="GB114" s="3" t="inlineStr">
        <is>
          <t>To a great extent</t>
        </is>
      </c>
      <c r="GC114" s="3" t="n"/>
      <c r="GD114" s="3" t="n"/>
      <c r="GE114" s="3" t="inlineStr">
        <is>
          <t>To a great extent</t>
        </is>
      </c>
      <c r="GF114" s="3" t="inlineStr">
        <is>
          <t>To a great extent</t>
        </is>
      </c>
      <c r="GG114" s="3" t="inlineStr">
        <is>
          <t>To a great extent</t>
        </is>
      </c>
      <c r="GH114" s="3" t="inlineStr">
        <is>
          <t>To a great extent</t>
        </is>
      </c>
      <c r="GI114" s="3" t="inlineStr">
        <is>
          <t>To a great extent</t>
        </is>
      </c>
      <c r="GJ114" s="3" t="inlineStr">
        <is>
          <t>To a great extent</t>
        </is>
      </c>
      <c r="GK114" s="3" t="inlineStr">
        <is>
          <t>Should be demand driven in bilateral surveillance and focus on macro critical aspects of climate.</t>
        </is>
      </c>
      <c r="GL114" s="5">
        <f>DATE(2025,6,2)+TIME(16,14,7)</f>
        <v/>
      </c>
    </row>
    <row r="115" ht="110.25" customFormat="1" customHeight="1" s="9">
      <c r="A115" s="8" t="inlineStr">
        <is>
          <t>Leo</t>
        </is>
      </c>
      <c r="B115" s="8" t="inlineStr">
        <is>
          <t>Asante</t>
        </is>
      </c>
      <c r="C115" s="8" t="inlineStr">
        <is>
          <t>lasante@organization.org</t>
        </is>
      </c>
      <c r="D115" s="8" t="inlineStr">
        <is>
          <t>9GS4RW39P</t>
        </is>
      </c>
      <c r="E115" s="8" t="n"/>
      <c r="F115" s="8" t="inlineStr">
        <is>
          <t>OEDEC</t>
        </is>
      </c>
      <c r="G115" s="6" t="n"/>
      <c r="H115" s="6" t="n"/>
      <c r="I115" s="6" t="n"/>
      <c r="J115" s="6" t="n"/>
      <c r="K115" s="6" t="n"/>
      <c r="L115" s="6" t="n"/>
      <c r="M115" s="6" t="n"/>
      <c r="N115" s="6" t="n"/>
      <c r="O115" s="6" t="n"/>
      <c r="P115" s="6" t="inlineStr">
        <is>
          <t>Türkiye</t>
        </is>
      </c>
      <c r="Q115" s="6" t="n"/>
      <c r="R115" s="6" t="n"/>
      <c r="S115" s="6" t="n"/>
      <c r="T115" s="6" t="n"/>
      <c r="U115" s="6" t="n"/>
      <c r="V115" s="6" t="n"/>
      <c r="W115" s="6" t="n"/>
      <c r="X115" s="6" t="n"/>
      <c r="Y115" s="6" t="n"/>
      <c r="Z115" s="6" t="n"/>
      <c r="AA115" s="6" t="n"/>
      <c r="AB115" s="6" t="n"/>
      <c r="AC115" s="6" t="n"/>
      <c r="AD115" s="6" t="n"/>
      <c r="AE115" s="6" t="n"/>
      <c r="AF115" s="9" t="inlineStr">
        <is>
          <t>Türkiye</t>
        </is>
      </c>
      <c r="AG115" s="8" t="inlineStr">
        <is>
          <t>The IMF should engage more on climate change-related issues</t>
        </is>
      </c>
      <c r="AH115" s="8" t="inlineStr">
        <is>
          <t>To a slight extent</t>
        </is>
      </c>
      <c r="AI115" s="8" t="inlineStr">
        <is>
          <t>To a moderate extent</t>
        </is>
      </c>
      <c r="AJ115" s="8" t="inlineStr">
        <is>
          <t>To a slight extent</t>
        </is>
      </c>
      <c r="AK115" s="8" t="inlineStr">
        <is>
          <t>To a slight extent</t>
        </is>
      </c>
      <c r="AL115" s="8" t="inlineStr">
        <is>
          <t>To a slight extent</t>
        </is>
      </c>
      <c r="AM115" s="8" t="inlineStr">
        <is>
          <t>Not at all</t>
        </is>
      </c>
      <c r="AN115" s="8" t="inlineStr">
        <is>
          <t>To a slight extent</t>
        </is>
      </c>
      <c r="AO115" s="8" t="inlineStr">
        <is>
          <t>To a slight extent</t>
        </is>
      </c>
      <c r="AP115" s="8" t="inlineStr">
        <is>
          <t>To a slight extent</t>
        </is>
      </c>
      <c r="AQ115" s="8" t="inlineStr">
        <is>
          <t>To a slight extent</t>
        </is>
      </c>
      <c r="AR115" s="8" t="inlineStr">
        <is>
          <t>To a slight extent</t>
        </is>
      </c>
      <c r="AS115" s="8" t="n"/>
      <c r="AT115" s="8" t="inlineStr">
        <is>
          <t>Not at all</t>
        </is>
      </c>
      <c r="AU115" s="8" t="inlineStr">
        <is>
          <t>To a slight extent</t>
        </is>
      </c>
      <c r="AV115" s="8" t="inlineStr">
        <is>
          <t>Not at all</t>
        </is>
      </c>
      <c r="AW115" s="8" t="inlineStr">
        <is>
          <t>To a slight extent</t>
        </is>
      </c>
      <c r="AX115" s="8" t="inlineStr">
        <is>
          <t>To a slight extent</t>
        </is>
      </c>
      <c r="AY115" s="8" t="inlineStr">
        <is>
          <t>To a slight extent</t>
        </is>
      </c>
      <c r="AZ115" s="8" t="inlineStr">
        <is>
          <t>To a slight extent</t>
        </is>
      </c>
      <c r="BA115" s="8" t="inlineStr">
        <is>
          <t>To a slight extent</t>
        </is>
      </c>
      <c r="BB115" s="8" t="inlineStr">
        <is>
          <t>To a slight extent</t>
        </is>
      </c>
      <c r="BC115" s="8" t="inlineStr">
        <is>
          <t>To a slight extent</t>
        </is>
      </c>
      <c r="BD115" s="8" t="inlineStr">
        <is>
          <t>To a slight extent</t>
        </is>
      </c>
      <c r="BE115" s="8" t="inlineStr">
        <is>
          <t>To a slight extent</t>
        </is>
      </c>
      <c r="BF115" s="8" t="inlineStr">
        <is>
          <t>To a slight extent</t>
        </is>
      </c>
      <c r="BG115" s="8" t="inlineStr">
        <is>
          <t>To a slight extent</t>
        </is>
      </c>
      <c r="BH115" s="8" t="inlineStr">
        <is>
          <t>To a slight extent</t>
        </is>
      </c>
      <c r="BI115" s="8" t="inlineStr">
        <is>
          <t>To a slight extent</t>
        </is>
      </c>
      <c r="BJ115" s="8" t="inlineStr">
        <is>
          <t>To a slight extent</t>
        </is>
      </c>
      <c r="BK115" s="8" t="inlineStr">
        <is>
          <t>To a slight extent</t>
        </is>
      </c>
      <c r="BL115" s="8" t="inlineStr">
        <is>
          <t>To a slight extent</t>
        </is>
      </c>
      <c r="BM115" s="8" t="inlineStr">
        <is>
          <t>To a slight extent</t>
        </is>
      </c>
      <c r="BN115" s="8" t="inlineStr">
        <is>
          <t>To a slight extent</t>
        </is>
      </c>
      <c r="BO115" s="8" t="inlineStr">
        <is>
          <t>To a great extent</t>
        </is>
      </c>
      <c r="BP115" s="8" t="inlineStr">
        <is>
          <t>To a moderate extent</t>
        </is>
      </c>
      <c r="BQ115" s="8" t="inlineStr">
        <is>
          <t>To a slight extent</t>
        </is>
      </c>
      <c r="BR115" s="8" t="inlineStr">
        <is>
          <t>Not at all</t>
        </is>
      </c>
      <c r="BS115" s="8" t="n"/>
      <c r="BT115" s="8" t="inlineStr">
        <is>
          <t>The IMF should have dedicated more resources</t>
        </is>
      </c>
      <c r="BU115" s="8" t="inlineStr">
        <is>
          <t>To a moderate extent</t>
        </is>
      </c>
      <c r="BV115" s="8" t="inlineStr">
        <is>
          <t>To a moderate extent</t>
        </is>
      </c>
      <c r="BW115" s="8" t="inlineStr">
        <is>
          <t>To a moderate extent</t>
        </is>
      </c>
      <c r="BX115" s="8" t="inlineStr">
        <is>
          <t>To a moderate extent</t>
        </is>
      </c>
      <c r="BY115" s="8" t="inlineStr">
        <is>
          <t>To a moderate extent</t>
        </is>
      </c>
      <c r="BZ115" s="8" t="inlineStr">
        <is>
          <t>To a moderate extent</t>
        </is>
      </c>
      <c r="CA115" s="8" t="inlineStr">
        <is>
          <t>To a moderate extent</t>
        </is>
      </c>
      <c r="CB115" s="8" t="inlineStr">
        <is>
          <t>To a moderate extent</t>
        </is>
      </c>
      <c r="CC115" s="8" t="inlineStr">
        <is>
          <t>To a moderate extent</t>
        </is>
      </c>
      <c r="CD115" s="8" t="inlineStr">
        <is>
          <t>To a moderate extent</t>
        </is>
      </c>
      <c r="CE115" s="8" t="inlineStr">
        <is>
          <t>To a moderate extent</t>
        </is>
      </c>
      <c r="CF115" s="8" t="inlineStr">
        <is>
          <t>To a moderate extent</t>
        </is>
      </c>
      <c r="CG115" s="8" t="n"/>
      <c r="CH115" s="8" t="inlineStr">
        <is>
          <t>No</t>
        </is>
      </c>
      <c r="CI115" s="8" t="inlineStr">
        <is>
          <t>No</t>
        </is>
      </c>
      <c r="CJ115" s="8" t="n"/>
      <c r="CK115" s="8" t="n"/>
      <c r="CL115" s="8" t="n"/>
      <c r="CM115" s="8" t="n"/>
      <c r="CN115" s="8" t="n"/>
      <c r="CO115" s="8" t="n"/>
      <c r="CP115" s="8" t="n"/>
      <c r="CQ115" s="8" t="n"/>
      <c r="CR115" s="8" t="n"/>
      <c r="CS115" s="8" t="n"/>
      <c r="CT115" s="8" t="n"/>
      <c r="CU115" s="8" t="n"/>
      <c r="CV115" s="8" t="n"/>
      <c r="CW115" s="8" t="n"/>
      <c r="CX115" s="8" t="n"/>
      <c r="CY115" s="8" t="n"/>
      <c r="CZ115" s="8" t="n"/>
      <c r="DA115" s="8" t="n"/>
      <c r="DB115" s="8" t="n"/>
      <c r="DC115" s="8" t="n"/>
      <c r="DD115" s="8" t="n"/>
      <c r="DE115" s="8" t="n"/>
      <c r="DF115" s="8" t="n"/>
      <c r="DG115" s="8" t="n"/>
      <c r="DH115" s="8" t="n"/>
      <c r="DI115" s="8" t="n"/>
      <c r="DJ115" s="8" t="n"/>
      <c r="DK115" s="8" t="n"/>
      <c r="DL115" s="8" t="n"/>
      <c r="DM115" s="8" t="n"/>
      <c r="DN115" s="8" t="n"/>
      <c r="DO115" s="8" t="n"/>
      <c r="DP115" s="8" t="inlineStr">
        <is>
          <t>My country is not eligible for an RSF arrangement</t>
        </is>
      </c>
      <c r="DQ115" s="8" t="inlineStr">
        <is>
          <t>Climate change does not pose a major balance of payments risk in my country</t>
        </is>
      </c>
      <c r="DR115" s="8" t="n"/>
      <c r="DS115" s="8" t="inlineStr">
        <is>
          <t>More convenient alternative financing options</t>
        </is>
      </c>
      <c r="DT115" s="8" t="n"/>
      <c r="DU115" s="8" t="inlineStr">
        <is>
          <t>An RSF arrangement would have been useful, but my country had no balance of payments issues/did not need/was not willing to commit to the underlying UCT program</t>
        </is>
      </c>
      <c r="DV115" s="8" t="n"/>
      <c r="DW115" s="8" t="inlineStr">
        <is>
          <t>Yes</t>
        </is>
      </c>
      <c r="DX115" s="8" t="inlineStr">
        <is>
          <t>World Bank Group</t>
        </is>
      </c>
      <c r="DY115" s="8" t="inlineStr">
        <is>
          <t>Regional development banks</t>
        </is>
      </c>
      <c r="DZ115" s="8" t="n"/>
      <c r="EA115" s="8" t="n"/>
      <c r="EB115" s="8" t="n"/>
      <c r="EC115" s="8" t="inlineStr">
        <is>
          <t>To a slight extent</t>
        </is>
      </c>
      <c r="ED115" s="8" t="inlineStr">
        <is>
          <t>To a moderate extent</t>
        </is>
      </c>
      <c r="EE115" s="8" t="inlineStr">
        <is>
          <t>To a slight extent</t>
        </is>
      </c>
      <c r="EF115" s="8" t="inlineStr">
        <is>
          <t>Don’t know or not applicable</t>
        </is>
      </c>
      <c r="EG115" s="8" t="inlineStr">
        <is>
          <t>Don’t know or not applicable</t>
        </is>
      </c>
      <c r="EH115" s="8" t="inlineStr">
        <is>
          <t>Don’t know or not applicable</t>
        </is>
      </c>
      <c r="EI115" s="8" t="inlineStr">
        <is>
          <t>Don’t know or not applicable</t>
        </is>
      </c>
      <c r="EJ115" s="8" t="inlineStr">
        <is>
          <t>Don’t know or not applicable</t>
        </is>
      </c>
      <c r="EK115" s="8" t="inlineStr">
        <is>
          <t>Don’t know or not applicable</t>
        </is>
      </c>
      <c r="EL115" s="8" t="inlineStr">
        <is>
          <t>Don’t know or not applicable</t>
        </is>
      </c>
      <c r="EM115" s="8" t="n"/>
      <c r="EN115" s="8" t="n"/>
      <c r="EO115" s="8" t="n"/>
      <c r="EP115" s="8" t="n"/>
      <c r="EQ115" s="8" t="inlineStr">
        <is>
          <t>To a slight extent</t>
        </is>
      </c>
      <c r="ER115" s="8" t="inlineStr">
        <is>
          <t>To a slight extent</t>
        </is>
      </c>
      <c r="ES115" s="8" t="n"/>
      <c r="ET115" s="8" t="inlineStr">
        <is>
          <t>Don’t know or not applicable</t>
        </is>
      </c>
      <c r="EU115" s="8" t="inlineStr">
        <is>
          <t>Don’t know or not applicable</t>
        </is>
      </c>
      <c r="EV115" s="8" t="inlineStr">
        <is>
          <t>Don’t know or not applicable</t>
        </is>
      </c>
      <c r="EW115" s="8" t="inlineStr">
        <is>
          <t>Don’t know or not applicable</t>
        </is>
      </c>
      <c r="EX115" s="8" t="n"/>
      <c r="EY115" s="8" t="inlineStr">
        <is>
          <t>Don’t know or not applicable</t>
        </is>
      </c>
      <c r="EZ115" s="8" t="inlineStr">
        <is>
          <t>Don’t know or not applicable</t>
        </is>
      </c>
      <c r="FA115" s="8" t="inlineStr">
        <is>
          <t>Don’t know or not applicable</t>
        </is>
      </c>
      <c r="FB115" s="8" t="inlineStr">
        <is>
          <t>Don’t know or not applicable</t>
        </is>
      </c>
      <c r="FC115" s="8" t="inlineStr">
        <is>
          <t>Don’t know or not applicable</t>
        </is>
      </c>
      <c r="FD115" s="8" t="inlineStr">
        <is>
          <t>Don’t know or not applicable</t>
        </is>
      </c>
      <c r="FE115" s="8" t="inlineStr">
        <is>
          <t>Don’t know or not applicable</t>
        </is>
      </c>
      <c r="FF115" s="8" t="inlineStr">
        <is>
          <t>Don’t know or not applicable</t>
        </is>
      </c>
      <c r="FG115" s="8" t="inlineStr">
        <is>
          <t>Don’t know or not applicable</t>
        </is>
      </c>
      <c r="FH115" s="8" t="inlineStr">
        <is>
          <t>Don’t know or not applicable</t>
        </is>
      </c>
      <c r="FI115" s="8" t="inlineStr">
        <is>
          <t>Don’t know or not applicable</t>
        </is>
      </c>
      <c r="FJ115" s="8" t="inlineStr">
        <is>
          <t>Don’t know or not applicable</t>
        </is>
      </c>
      <c r="FK115" s="8" t="inlineStr">
        <is>
          <t>Don’t know or not applicable</t>
        </is>
      </c>
      <c r="FL115" s="8" t="inlineStr">
        <is>
          <t>Don’t know or not applicable</t>
        </is>
      </c>
      <c r="FM115" s="8" t="inlineStr">
        <is>
          <t>Don’t know or not applicable</t>
        </is>
      </c>
      <c r="FN115" s="8" t="inlineStr">
        <is>
          <t>Don’t know or not applicable</t>
        </is>
      </c>
      <c r="FO115" s="8" t="inlineStr">
        <is>
          <t>Don’t know or not applicable</t>
        </is>
      </c>
      <c r="FP115" s="8" t="inlineStr">
        <is>
          <t>Don’t know or not applicable</t>
        </is>
      </c>
      <c r="FQ115" s="8" t="inlineStr">
        <is>
          <t>Don’t know or not applicable</t>
        </is>
      </c>
      <c r="FR115" s="8" t="inlineStr">
        <is>
          <t>Don’t know or not applicable</t>
        </is>
      </c>
      <c r="FS115" s="8" t="inlineStr">
        <is>
          <t>Don’t know or not applicable</t>
        </is>
      </c>
      <c r="FT115" s="8" t="inlineStr">
        <is>
          <t>Don’t know or not applicable</t>
        </is>
      </c>
      <c r="FU115" s="8" t="inlineStr">
        <is>
          <t>Don’t know or not applicable</t>
        </is>
      </c>
      <c r="FV115" s="8" t="n"/>
      <c r="FW115" s="8" t="inlineStr">
        <is>
          <t>The IMF should have dedicated more resources</t>
        </is>
      </c>
      <c r="FX115" s="8" t="n"/>
      <c r="FY115" s="8" t="inlineStr">
        <is>
          <t>To a great extent</t>
        </is>
      </c>
      <c r="FZ115" s="8" t="inlineStr">
        <is>
          <t>To a moderate extent</t>
        </is>
      </c>
      <c r="GA115" s="8" t="inlineStr">
        <is>
          <t>To a moderate extent</t>
        </is>
      </c>
      <c r="GB115" s="8" t="inlineStr">
        <is>
          <t>To a moderate extent</t>
        </is>
      </c>
      <c r="GC115" s="8" t="inlineStr">
        <is>
          <t>Not at all</t>
        </is>
      </c>
      <c r="GD115" s="8" t="n"/>
      <c r="GE115" s="8" t="inlineStr">
        <is>
          <t>To a great extent</t>
        </is>
      </c>
      <c r="GF115" s="8" t="inlineStr">
        <is>
          <t>To a moderate extent</t>
        </is>
      </c>
      <c r="GG115" s="8" t="inlineStr">
        <is>
          <t>To a great extent</t>
        </is>
      </c>
      <c r="GH115" s="8" t="inlineStr">
        <is>
          <t>To a moderate extent</t>
        </is>
      </c>
      <c r="GI115" s="8" t="inlineStr">
        <is>
          <t>To a great extent</t>
        </is>
      </c>
      <c r="GJ115" s="8" t="inlineStr">
        <is>
          <t>To a great extent</t>
        </is>
      </c>
      <c r="GK115" s="8" t="n"/>
      <c r="GL115" s="10">
        <f>DATE(2025,6,2)+TIME(20,17,50)</f>
        <v/>
      </c>
    </row>
    <row r="116" ht="110.25" customHeight="1">
      <c r="A116" s="3" t="inlineStr">
        <is>
          <t>Ahmed</t>
        </is>
      </c>
      <c r="B116" s="3" t="inlineStr">
        <is>
          <t>Hassan</t>
        </is>
      </c>
      <c r="C116" s="3" t="inlineStr">
        <is>
          <t>ahassan@organization.org</t>
        </is>
      </c>
      <c r="D116" s="3" t="inlineStr">
        <is>
          <t>LGI8R01X5</t>
        </is>
      </c>
      <c r="E116" s="3" t="n"/>
      <c r="F116" s="3" t="inlineStr">
        <is>
          <t>OEDAS</t>
        </is>
      </c>
      <c r="G116" s="3" t="n"/>
      <c r="H116" s="3" t="n"/>
      <c r="I116" s="3" t="n"/>
      <c r="J116" s="3" t="inlineStr">
        <is>
          <t>Comoros</t>
        </is>
      </c>
      <c r="K116" s="3" t="n"/>
      <c r="L116" s="3" t="n"/>
      <c r="M116" s="3" t="n"/>
      <c r="N116" s="3" t="n"/>
      <c r="O116" s="3" t="n"/>
      <c r="P116" s="3" t="n"/>
      <c r="Q116" s="3" t="n"/>
      <c r="R116" s="3" t="n"/>
      <c r="S116" s="3" t="n"/>
      <c r="T116" s="3" t="n"/>
      <c r="U116" s="3" t="n"/>
      <c r="V116" s="3" t="n"/>
      <c r="W116" s="3" t="n"/>
      <c r="X116" s="3" t="n"/>
      <c r="Y116" s="3" t="n"/>
      <c r="Z116" s="3" t="n"/>
      <c r="AA116" s="3" t="n"/>
      <c r="AB116" s="3" t="n"/>
      <c r="AC116" s="3" t="n"/>
      <c r="AD116" s="3" t="n"/>
      <c r="AE116" s="3" t="n"/>
      <c r="AF116" s="4" t="inlineStr">
        <is>
          <t>Comoros</t>
        </is>
      </c>
      <c r="AG116" s="3" t="inlineStr">
        <is>
          <t>The IMF should engage a similar amount on climate change-related issues</t>
        </is>
      </c>
      <c r="AH116" s="3" t="inlineStr">
        <is>
          <t>Not at all</t>
        </is>
      </c>
      <c r="AI116" s="3" t="inlineStr">
        <is>
          <t>To a slight extent</t>
        </is>
      </c>
      <c r="AJ116" s="3" t="inlineStr">
        <is>
          <t>To a slight extent</t>
        </is>
      </c>
      <c r="AK116" s="3" t="inlineStr">
        <is>
          <t>To a slight extent</t>
        </is>
      </c>
      <c r="AL116" s="3" t="inlineStr">
        <is>
          <t>To a slight extent</t>
        </is>
      </c>
      <c r="AM116" s="3" t="inlineStr">
        <is>
          <t>To a slight extent</t>
        </is>
      </c>
      <c r="AN116" s="3" t="inlineStr">
        <is>
          <t>To a slight extent</t>
        </is>
      </c>
      <c r="AO116" s="3" t="inlineStr">
        <is>
          <t>To a slight extent</t>
        </is>
      </c>
      <c r="AP116" s="3" t="inlineStr">
        <is>
          <t>To a slight extent</t>
        </is>
      </c>
      <c r="AQ116" s="3" t="inlineStr">
        <is>
          <t>To a slight extent</t>
        </is>
      </c>
      <c r="AR116" s="3" t="inlineStr">
        <is>
          <t>To a slight extent</t>
        </is>
      </c>
      <c r="AS116" s="3" t="n"/>
      <c r="AT116" s="3" t="inlineStr">
        <is>
          <t>To a great extent</t>
        </is>
      </c>
      <c r="AU116" s="3" t="inlineStr">
        <is>
          <t>Not at all</t>
        </is>
      </c>
      <c r="AV116" s="3" t="inlineStr">
        <is>
          <t>To a slight extent</t>
        </is>
      </c>
      <c r="AW116" s="3" t="inlineStr">
        <is>
          <t>To a slight extent</t>
        </is>
      </c>
      <c r="AX116" s="3" t="inlineStr">
        <is>
          <t>To a slight extent</t>
        </is>
      </c>
      <c r="AY116" s="3" t="inlineStr">
        <is>
          <t>To a slight extent</t>
        </is>
      </c>
      <c r="AZ116" s="3" t="inlineStr">
        <is>
          <t>To a great extent</t>
        </is>
      </c>
      <c r="BA116" s="3" t="inlineStr">
        <is>
          <t>To a slight extent</t>
        </is>
      </c>
      <c r="BB116" s="3" t="inlineStr">
        <is>
          <t>To a slight extent</t>
        </is>
      </c>
      <c r="BC116" s="3" t="inlineStr">
        <is>
          <t>To a slight extent</t>
        </is>
      </c>
      <c r="BD116" s="3" t="inlineStr">
        <is>
          <t>To a slight extent</t>
        </is>
      </c>
      <c r="BE116" s="3" t="inlineStr">
        <is>
          <t>To a slight extent</t>
        </is>
      </c>
      <c r="BF116" s="3" t="inlineStr">
        <is>
          <t>To a slight extent</t>
        </is>
      </c>
      <c r="BG116" s="3" t="inlineStr">
        <is>
          <t>To a slight extent</t>
        </is>
      </c>
      <c r="BH116" s="3" t="inlineStr">
        <is>
          <t>To a slight extent</t>
        </is>
      </c>
      <c r="BI116" s="3" t="inlineStr">
        <is>
          <t>To a slight extent</t>
        </is>
      </c>
      <c r="BJ116" s="3" t="inlineStr">
        <is>
          <t>To a slight extent</t>
        </is>
      </c>
      <c r="BK116" s="3" t="inlineStr">
        <is>
          <t>To a slight extent</t>
        </is>
      </c>
      <c r="BL116" s="3" t="inlineStr">
        <is>
          <t>To a slight extent</t>
        </is>
      </c>
      <c r="BM116" s="3" t="inlineStr">
        <is>
          <t>To a slight extent</t>
        </is>
      </c>
      <c r="BN116" s="3" t="inlineStr">
        <is>
          <t>To a slight extent</t>
        </is>
      </c>
      <c r="BO116" s="3" t="inlineStr">
        <is>
          <t>To a great extent</t>
        </is>
      </c>
      <c r="BP116" s="3" t="inlineStr">
        <is>
          <t>To a moderate extent</t>
        </is>
      </c>
      <c r="BQ116" s="3" t="inlineStr">
        <is>
          <t>To a great extent</t>
        </is>
      </c>
      <c r="BR116" s="3" t="n"/>
      <c r="BS116" s="3" t="n"/>
      <c r="BT116" s="3" t="n"/>
      <c r="BU116" s="3" t="inlineStr">
        <is>
          <t>To a great extent</t>
        </is>
      </c>
      <c r="BV116" s="3" t="inlineStr">
        <is>
          <t>To a moderate extent</t>
        </is>
      </c>
      <c r="BW116" s="3" t="inlineStr">
        <is>
          <t>To a moderate extent</t>
        </is>
      </c>
      <c r="BX116" s="3" t="inlineStr">
        <is>
          <t>To a moderate extent</t>
        </is>
      </c>
      <c r="BY116" s="3" t="inlineStr">
        <is>
          <t>To a moderate extent</t>
        </is>
      </c>
      <c r="BZ116" s="3" t="inlineStr">
        <is>
          <t>To a moderate extent</t>
        </is>
      </c>
      <c r="CA116" s="3" t="inlineStr">
        <is>
          <t>To a moderate extent</t>
        </is>
      </c>
      <c r="CB116" s="3" t="inlineStr">
        <is>
          <t>To a moderate extent</t>
        </is>
      </c>
      <c r="CC116" s="3" t="inlineStr">
        <is>
          <t>To a moderate extent</t>
        </is>
      </c>
      <c r="CD116" s="3" t="inlineStr">
        <is>
          <t>To a moderate extent</t>
        </is>
      </c>
      <c r="CE116" s="3" t="inlineStr">
        <is>
          <t>To a moderate extent</t>
        </is>
      </c>
      <c r="CF116" s="3" t="inlineStr">
        <is>
          <t>To a moderate extent</t>
        </is>
      </c>
      <c r="CG116" s="3" t="n"/>
      <c r="CH116" s="3" t="inlineStr">
        <is>
          <t>No</t>
        </is>
      </c>
      <c r="CI116" s="3" t="inlineStr">
        <is>
          <t>Yes</t>
        </is>
      </c>
      <c r="CJ116" s="3" t="n"/>
      <c r="CK116" s="3" t="n"/>
      <c r="CL116" s="3" t="n"/>
      <c r="CM116" s="3" t="n"/>
      <c r="CN116" s="3" t="n"/>
      <c r="CO116" s="3" t="n"/>
      <c r="CP116" s="3" t="n"/>
      <c r="CQ116" s="3" t="n"/>
      <c r="CR116" s="3" t="n"/>
      <c r="CS116" s="3" t="n"/>
      <c r="CT116" s="3" t="n"/>
      <c r="CU116" s="3" t="n"/>
      <c r="CV116" s="3" t="n"/>
      <c r="CW116" s="3" t="n"/>
      <c r="CX116" s="3" t="n"/>
      <c r="CY116" s="3" t="n"/>
      <c r="CZ116" s="3" t="n"/>
      <c r="DA116" s="3" t="n"/>
      <c r="DB116" s="3" t="n"/>
      <c r="DC116" s="3" t="n"/>
      <c r="DD116" s="3" t="n"/>
      <c r="DE116" s="3" t="n"/>
      <c r="DF116" s="3" t="n"/>
      <c r="DG116" s="3" t="n"/>
      <c r="DH116" s="3" t="n"/>
      <c r="DI116" s="3" t="n"/>
      <c r="DJ116" s="3" t="n"/>
      <c r="DK116" s="3" t="n"/>
      <c r="DL116" s="3" t="n"/>
      <c r="DM116" s="3" t="n"/>
      <c r="DN116" s="3" t="n"/>
      <c r="DO116" s="3" t="n"/>
      <c r="DP116" s="3" t="n"/>
      <c r="DQ116" s="3" t="n"/>
      <c r="DR116" s="3" t="n"/>
      <c r="DS116" s="3" t="n"/>
      <c r="DT116" s="3" t="n"/>
      <c r="DU116" s="3" t="inlineStr">
        <is>
          <t>An RSF arrangement would have been useful, but my country had no balance of payments issues/did not need/was not willing to commit to the underlying UCT program</t>
        </is>
      </c>
      <c r="DV116" s="3" t="n"/>
      <c r="DW116" s="3" t="inlineStr">
        <is>
          <t>Yes</t>
        </is>
      </c>
      <c r="DX116" s="3" t="inlineStr">
        <is>
          <t>World Bank Group</t>
        </is>
      </c>
      <c r="DY116" s="3" t="n"/>
      <c r="DZ116" s="3" t="n"/>
      <c r="EA116" s="3" t="n"/>
      <c r="EB116" s="3" t="n"/>
      <c r="EC116" s="3" t="inlineStr">
        <is>
          <t>To a moderate extent</t>
        </is>
      </c>
      <c r="ED116" s="3" t="inlineStr">
        <is>
          <t>To a moderate extent</t>
        </is>
      </c>
      <c r="EE116" s="3" t="inlineStr">
        <is>
          <t>To a moderate extent</t>
        </is>
      </c>
      <c r="EF116" s="3" t="inlineStr">
        <is>
          <t>To a great extent</t>
        </is>
      </c>
      <c r="EG116" s="3" t="inlineStr">
        <is>
          <t>To a great extent</t>
        </is>
      </c>
      <c r="EH116" s="3" t="inlineStr">
        <is>
          <t>To a moderate extent</t>
        </is>
      </c>
      <c r="EI116" s="3" t="inlineStr">
        <is>
          <t>To a moderate extent</t>
        </is>
      </c>
      <c r="EJ116" s="3" t="inlineStr">
        <is>
          <t>To a great extent</t>
        </is>
      </c>
      <c r="EK116" s="3" t="inlineStr">
        <is>
          <t>To a great extent</t>
        </is>
      </c>
      <c r="EL116" s="3" t="inlineStr">
        <is>
          <t>To a moderate extent</t>
        </is>
      </c>
      <c r="EM116" s="3" t="inlineStr">
        <is>
          <t>To a moderate extent</t>
        </is>
      </c>
      <c r="EN116" s="3" t="inlineStr">
        <is>
          <t>To a moderate extent</t>
        </is>
      </c>
      <c r="EO116" s="3" t="inlineStr">
        <is>
          <t>To a moderate extent</t>
        </is>
      </c>
      <c r="EP116" s="3" t="n"/>
      <c r="EQ116" s="3" t="inlineStr">
        <is>
          <t>Not at all</t>
        </is>
      </c>
      <c r="ER116" s="3" t="inlineStr">
        <is>
          <t>To a slight extent</t>
        </is>
      </c>
      <c r="ES116" s="3" t="n"/>
      <c r="ET116" s="3" t="n"/>
      <c r="EU116" s="3" t="n"/>
      <c r="EV116" s="3" t="n"/>
      <c r="EW116" s="3" t="n"/>
      <c r="EX116" s="3" t="n"/>
      <c r="EY116" s="3" t="n"/>
      <c r="EZ116" s="3" t="n"/>
      <c r="FA116" s="3" t="n"/>
      <c r="FB116" s="3" t="n"/>
      <c r="FC116" s="3" t="n"/>
      <c r="FD116" s="3" t="n"/>
      <c r="FE116" s="3" t="n"/>
      <c r="FF116" s="3" t="n"/>
      <c r="FG116" s="3" t="n"/>
      <c r="FH116" s="3" t="inlineStr">
        <is>
          <t>To a slight extent</t>
        </is>
      </c>
      <c r="FI116" s="3" t="inlineStr">
        <is>
          <t>To a slight extent</t>
        </is>
      </c>
      <c r="FJ116" s="3" t="inlineStr">
        <is>
          <t>Not at all</t>
        </is>
      </c>
      <c r="FK116" s="3" t="inlineStr">
        <is>
          <t>Not at all</t>
        </is>
      </c>
      <c r="FL116" s="3" t="inlineStr">
        <is>
          <t>Not at all</t>
        </is>
      </c>
      <c r="FM116" s="3" t="inlineStr">
        <is>
          <t>Not at all</t>
        </is>
      </c>
      <c r="FN116" s="3" t="inlineStr">
        <is>
          <t>Not at all</t>
        </is>
      </c>
      <c r="FO116" s="3" t="inlineStr">
        <is>
          <t>Not at all</t>
        </is>
      </c>
      <c r="FP116" s="3" t="inlineStr">
        <is>
          <t>Not at all</t>
        </is>
      </c>
      <c r="FQ116" s="3" t="inlineStr">
        <is>
          <t>Not at all</t>
        </is>
      </c>
      <c r="FR116" s="3" t="inlineStr">
        <is>
          <t>To a slight extent</t>
        </is>
      </c>
      <c r="FS116" s="3" t="inlineStr">
        <is>
          <t>To a slight extent</t>
        </is>
      </c>
      <c r="FT116" s="3" t="inlineStr">
        <is>
          <t>To a moderate extent</t>
        </is>
      </c>
      <c r="FU116" s="3" t="n"/>
      <c r="FV116" s="3" t="n"/>
      <c r="FW116" s="3" t="n"/>
      <c r="FX116" s="3" t="n"/>
      <c r="FY116" s="3" t="inlineStr">
        <is>
          <t>To a great extent</t>
        </is>
      </c>
      <c r="FZ116" s="3" t="inlineStr">
        <is>
          <t>To a great extent</t>
        </is>
      </c>
      <c r="GA116" s="3" t="inlineStr">
        <is>
          <t>To a great extent</t>
        </is>
      </c>
      <c r="GB116" s="3" t="inlineStr">
        <is>
          <t>To a great extent</t>
        </is>
      </c>
      <c r="GC116" s="3" t="n"/>
      <c r="GD116" s="3" t="n"/>
      <c r="GE116" s="3" t="inlineStr">
        <is>
          <t>To a moderate extent</t>
        </is>
      </c>
      <c r="GF116" s="3" t="inlineStr">
        <is>
          <t>To a slight extent</t>
        </is>
      </c>
      <c r="GG116" s="3" t="inlineStr">
        <is>
          <t>To a moderate extent</t>
        </is>
      </c>
      <c r="GH116" s="3" t="inlineStr">
        <is>
          <t>To a slight extent</t>
        </is>
      </c>
      <c r="GI116" s="3" t="inlineStr">
        <is>
          <t>To a moderate extent</t>
        </is>
      </c>
      <c r="GJ116" s="3" t="inlineStr">
        <is>
          <t>To a moderate extent</t>
        </is>
      </c>
      <c r="GK116" s="3" t="n"/>
      <c r="GL116" s="5">
        <f>DATE(2025,6,13)+TIME(11,12,36)</f>
        <v/>
      </c>
    </row>
    <row r="117" ht="47.25" customHeight="1">
      <c r="A117" s="6" t="inlineStr">
        <is>
          <t>Jin</t>
        </is>
      </c>
      <c r="B117" s="6" t="inlineStr">
        <is>
          <t>Reddy</t>
        </is>
      </c>
      <c r="C117" s="6" t="inlineStr">
        <is>
          <t>jreddy@organization.org</t>
        </is>
      </c>
      <c r="D117" s="6" t="inlineStr">
        <is>
          <t>KYYE82DWX</t>
        </is>
      </c>
      <c r="E117" s="6" t="n"/>
      <c r="F117" s="6" t="inlineStr">
        <is>
          <t>OEDEC</t>
        </is>
      </c>
      <c r="G117" s="6" t="n"/>
      <c r="H117" s="6" t="n"/>
      <c r="I117" s="6" t="n"/>
      <c r="J117" s="6" t="n"/>
      <c r="K117" s="6" t="n"/>
      <c r="L117" s="6" t="n"/>
      <c r="M117" s="6" t="n"/>
      <c r="N117" s="6" t="n"/>
      <c r="O117" s="6" t="n"/>
      <c r="P117" s="6" t="inlineStr">
        <is>
          <t>Slovenia</t>
        </is>
      </c>
      <c r="Q117" s="6" t="n"/>
      <c r="R117" s="6" t="n"/>
      <c r="S117" s="6" t="n"/>
      <c r="T117" s="6" t="n"/>
      <c r="U117" s="6" t="n"/>
      <c r="V117" s="6" t="n"/>
      <c r="W117" s="6" t="n"/>
      <c r="X117" s="6" t="n"/>
      <c r="Y117" s="6" t="n"/>
      <c r="Z117" s="6" t="n"/>
      <c r="AA117" s="6" t="n"/>
      <c r="AB117" s="6" t="n"/>
      <c r="AC117" s="6" t="n"/>
      <c r="AD117" s="6" t="n"/>
      <c r="AE117" s="6" t="n"/>
      <c r="AF117" s="4" t="inlineStr">
        <is>
          <t>Slovenia</t>
        </is>
      </c>
      <c r="AG117" s="6" t="inlineStr">
        <is>
          <t>The IMF should engage a similar amount on climate change-related issues</t>
        </is>
      </c>
      <c r="AH117" s="6" t="inlineStr">
        <is>
          <t>To a moderate extent</t>
        </is>
      </c>
      <c r="AI117" s="6" t="inlineStr">
        <is>
          <t>To a slight extent</t>
        </is>
      </c>
      <c r="AJ117" s="6" t="inlineStr">
        <is>
          <t>Don’t know or not applicable</t>
        </is>
      </c>
      <c r="AK117" s="6" t="inlineStr">
        <is>
          <t>To a moderate extent</t>
        </is>
      </c>
      <c r="AL117" s="6" t="inlineStr">
        <is>
          <t>To a slight extent</t>
        </is>
      </c>
      <c r="AM117" s="6" t="inlineStr">
        <is>
          <t>Not at all</t>
        </is>
      </c>
      <c r="AN117" s="6" t="inlineStr">
        <is>
          <t>Don’t know or not applicable</t>
        </is>
      </c>
      <c r="AO117" s="6" t="inlineStr">
        <is>
          <t>Don’t know or not applicable</t>
        </is>
      </c>
      <c r="AP117" s="6" t="inlineStr">
        <is>
          <t>Don’t know or not applicable</t>
        </is>
      </c>
      <c r="AQ117" s="6" t="inlineStr">
        <is>
          <t>Don’t know or not applicable</t>
        </is>
      </c>
      <c r="AR117" s="6" t="inlineStr">
        <is>
          <t>Don’t know or not applicable</t>
        </is>
      </c>
      <c r="AS117" s="6" t="n"/>
      <c r="AT117" s="6" t="inlineStr">
        <is>
          <t>Not at all</t>
        </is>
      </c>
      <c r="AU117" s="6" t="inlineStr">
        <is>
          <t>To a slight extent</t>
        </is>
      </c>
      <c r="AV117" s="6" t="inlineStr">
        <is>
          <t>Not at all</t>
        </is>
      </c>
      <c r="AW117" s="6" t="inlineStr">
        <is>
          <t>To a moderate extent</t>
        </is>
      </c>
      <c r="AX117" s="6" t="inlineStr">
        <is>
          <t>To a slight extent</t>
        </is>
      </c>
      <c r="AY117" s="6" t="inlineStr">
        <is>
          <t>To a great extent</t>
        </is>
      </c>
      <c r="AZ117" s="6" t="inlineStr">
        <is>
          <t>To a slight extent</t>
        </is>
      </c>
      <c r="BA117" s="6" t="inlineStr">
        <is>
          <t>Not at all</t>
        </is>
      </c>
      <c r="BB117" s="6" t="inlineStr">
        <is>
          <t>To a slight extent</t>
        </is>
      </c>
      <c r="BC117" s="6" t="inlineStr">
        <is>
          <t>To a slight extent</t>
        </is>
      </c>
      <c r="BD117" s="6" t="inlineStr">
        <is>
          <t>To a great extent</t>
        </is>
      </c>
      <c r="BE117" s="6" t="inlineStr">
        <is>
          <t>Don’t know or not applicable</t>
        </is>
      </c>
      <c r="BF117" s="6" t="inlineStr">
        <is>
          <t>Don’t know or not applicable</t>
        </is>
      </c>
      <c r="BG117" s="6" t="inlineStr">
        <is>
          <t>Don’t know or not applicable</t>
        </is>
      </c>
      <c r="BH117" s="6" t="inlineStr">
        <is>
          <t>Don’t know or not applicable</t>
        </is>
      </c>
      <c r="BI117" s="6" t="inlineStr">
        <is>
          <t>Don’t know or not applicable</t>
        </is>
      </c>
      <c r="BJ117" s="6" t="inlineStr">
        <is>
          <t>To a slight extent</t>
        </is>
      </c>
      <c r="BK117" s="6" t="inlineStr">
        <is>
          <t>Not at all</t>
        </is>
      </c>
      <c r="BL117" s="6" t="inlineStr">
        <is>
          <t>To a slight extent</t>
        </is>
      </c>
      <c r="BM117" s="6" t="inlineStr">
        <is>
          <t>To a slight extent</t>
        </is>
      </c>
      <c r="BN117" s="6" t="inlineStr">
        <is>
          <t>To a great extent</t>
        </is>
      </c>
      <c r="BO117" s="6" t="inlineStr">
        <is>
          <t>Don’t know or not applicable</t>
        </is>
      </c>
      <c r="BP117" s="6" t="inlineStr">
        <is>
          <t>Don’t know or not applicable</t>
        </is>
      </c>
      <c r="BQ117" s="6" t="inlineStr">
        <is>
          <t>Don’t know or not applicable</t>
        </is>
      </c>
      <c r="BR117" s="6" t="inlineStr">
        <is>
          <t>Don’t know or not applicable</t>
        </is>
      </c>
      <c r="BS117" s="6" t="n"/>
      <c r="BT117" s="6" t="inlineStr">
        <is>
          <t>The IMF dedicated an appropriate amount of resources</t>
        </is>
      </c>
      <c r="BU117" s="6" t="inlineStr">
        <is>
          <t>To a moderate extent</t>
        </is>
      </c>
      <c r="BV117" s="6" t="inlineStr">
        <is>
          <t>To a moderate extent</t>
        </is>
      </c>
      <c r="BW117" s="6" t="inlineStr">
        <is>
          <t>To a moderate extent</t>
        </is>
      </c>
      <c r="BX117" s="6" t="inlineStr">
        <is>
          <t>To a moderate extent</t>
        </is>
      </c>
      <c r="BY117" s="6" t="inlineStr">
        <is>
          <t>To a moderate extent</t>
        </is>
      </c>
      <c r="BZ117" s="6" t="inlineStr">
        <is>
          <t>To a moderate extent</t>
        </is>
      </c>
      <c r="CA117" s="6" t="inlineStr">
        <is>
          <t>To a moderate extent</t>
        </is>
      </c>
      <c r="CB117" s="6" t="inlineStr">
        <is>
          <t>To a moderate extent</t>
        </is>
      </c>
      <c r="CC117" s="6" t="inlineStr">
        <is>
          <t>To a moderate extent</t>
        </is>
      </c>
      <c r="CD117" s="6" t="inlineStr">
        <is>
          <t>To a moderate extent</t>
        </is>
      </c>
      <c r="CE117" s="6" t="inlineStr">
        <is>
          <t>To a moderate extent</t>
        </is>
      </c>
      <c r="CF117" s="6" t="inlineStr">
        <is>
          <t>To a moderate extent</t>
        </is>
      </c>
      <c r="CG117" s="6" t="n"/>
      <c r="CH117" s="6" t="inlineStr">
        <is>
          <t>No</t>
        </is>
      </c>
      <c r="CI117" s="6" t="inlineStr">
        <is>
          <t>No</t>
        </is>
      </c>
      <c r="CJ117" s="6" t="n"/>
      <c r="CK117" s="6" t="n"/>
      <c r="CL117" s="6" t="n"/>
      <c r="CM117" s="6" t="n"/>
      <c r="CN117" s="6" t="n"/>
      <c r="CO117" s="6" t="n"/>
      <c r="CP117" s="6" t="n"/>
      <c r="CQ117" s="6" t="n"/>
      <c r="CR117" s="6" t="n"/>
      <c r="CS117" s="6" t="n"/>
      <c r="CT117" s="6" t="n"/>
      <c r="CU117" s="6" t="n"/>
      <c r="CV117" s="6" t="n"/>
      <c r="CW117" s="6" t="n"/>
      <c r="CX117" s="6" t="n"/>
      <c r="CY117" s="6" t="n"/>
      <c r="CZ117" s="6" t="n"/>
      <c r="DA117" s="6" t="n"/>
      <c r="DB117" s="6" t="n"/>
      <c r="DC117" s="6" t="n"/>
      <c r="DD117" s="6" t="n"/>
      <c r="DE117" s="6" t="n"/>
      <c r="DF117" s="6" t="n"/>
      <c r="DG117" s="6" t="n"/>
      <c r="DH117" s="6" t="n"/>
      <c r="DI117" s="6" t="n"/>
      <c r="DJ117" s="6" t="n"/>
      <c r="DK117" s="6" t="n"/>
      <c r="DL117" s="6" t="n"/>
      <c r="DM117" s="6" t="n"/>
      <c r="DN117" s="6" t="n"/>
      <c r="DO117" s="6" t="n"/>
      <c r="DP117" s="6" t="n"/>
      <c r="DQ117" s="6" t="inlineStr">
        <is>
          <t>Climate change does not pose a major balance of payments risk in my country</t>
        </is>
      </c>
      <c r="DR117" s="6" t="n"/>
      <c r="DS117" s="6" t="n"/>
      <c r="DT117" s="6" t="n"/>
      <c r="DU117" s="6" t="n"/>
      <c r="DV117" s="6" t="n"/>
      <c r="DW117" s="6" t="inlineStr">
        <is>
          <t>No</t>
        </is>
      </c>
      <c r="DX117" s="6" t="n"/>
      <c r="DY117" s="6" t="n"/>
      <c r="DZ117" s="6" t="n"/>
      <c r="EA117" s="6" t="n"/>
      <c r="EB117" s="6" t="n"/>
      <c r="EC117" s="6" t="n"/>
      <c r="ED117" s="6" t="n"/>
      <c r="EE117" s="6" t="n"/>
      <c r="EF117" s="6" t="inlineStr">
        <is>
          <t>Don’t know or not applicable</t>
        </is>
      </c>
      <c r="EG117" s="6" t="inlineStr">
        <is>
          <t>Don’t know or not applicable</t>
        </is>
      </c>
      <c r="EH117" s="6" t="inlineStr">
        <is>
          <t>Don’t know or not applicable</t>
        </is>
      </c>
      <c r="EI117" s="6" t="inlineStr">
        <is>
          <t>Don’t know or not applicable</t>
        </is>
      </c>
      <c r="EJ117" s="6" t="inlineStr">
        <is>
          <t>Don’t know or not applicable</t>
        </is>
      </c>
      <c r="EK117" s="6" t="inlineStr">
        <is>
          <t>Don’t know or not applicable</t>
        </is>
      </c>
      <c r="EL117" s="6" t="inlineStr">
        <is>
          <t>Don’t know or not applicable</t>
        </is>
      </c>
      <c r="EM117" s="6" t="n"/>
      <c r="EN117" s="6" t="n"/>
      <c r="EO117" s="6" t="n"/>
      <c r="EP117" s="6" t="n"/>
      <c r="EQ117" s="6" t="inlineStr">
        <is>
          <t>Not at all</t>
        </is>
      </c>
      <c r="ER117" s="6" t="inlineStr">
        <is>
          <t>To a slight extent</t>
        </is>
      </c>
      <c r="ES117" s="6" t="n"/>
      <c r="ET117" s="6" t="n"/>
      <c r="EU117" s="6" t="n"/>
      <c r="EV117" s="6" t="n"/>
      <c r="EW117" s="6" t="n"/>
      <c r="EX117" s="6" t="n"/>
      <c r="EY117" s="6" t="n"/>
      <c r="EZ117" s="6" t="n"/>
      <c r="FA117" s="6" t="n"/>
      <c r="FB117" s="6" t="n"/>
      <c r="FC117" s="6" t="n"/>
      <c r="FD117" s="6" t="n"/>
      <c r="FE117" s="6" t="n"/>
      <c r="FF117" s="6" t="n"/>
      <c r="FG117" s="6" t="n"/>
      <c r="FH117" s="6" t="inlineStr">
        <is>
          <t>Don’t know or not applicable</t>
        </is>
      </c>
      <c r="FI117" s="6" t="inlineStr">
        <is>
          <t>Don’t know or not applicable</t>
        </is>
      </c>
      <c r="FJ117" s="6" t="inlineStr">
        <is>
          <t>Don’t know or not applicable</t>
        </is>
      </c>
      <c r="FK117" s="6" t="inlineStr">
        <is>
          <t>Don’t know or not applicable</t>
        </is>
      </c>
      <c r="FL117" s="6" t="inlineStr">
        <is>
          <t>Don’t know or not applicable</t>
        </is>
      </c>
      <c r="FM117" s="6" t="inlineStr">
        <is>
          <t>Don’t know or not applicable</t>
        </is>
      </c>
      <c r="FN117" s="6" t="inlineStr">
        <is>
          <t>Don’t know or not applicable</t>
        </is>
      </c>
      <c r="FO117" s="6" t="inlineStr">
        <is>
          <t>Don’t know or not applicable</t>
        </is>
      </c>
      <c r="FP117" s="6" t="inlineStr">
        <is>
          <t>Don’t know or not applicable</t>
        </is>
      </c>
      <c r="FQ117" s="6" t="inlineStr">
        <is>
          <t>Don’t know or not applicable</t>
        </is>
      </c>
      <c r="FR117" s="6" t="inlineStr">
        <is>
          <t>Don’t know or not applicable</t>
        </is>
      </c>
      <c r="FS117" s="6" t="inlineStr">
        <is>
          <t>Don’t know or not applicable</t>
        </is>
      </c>
      <c r="FT117" s="6" t="inlineStr">
        <is>
          <t>Don’t know or not applicable</t>
        </is>
      </c>
      <c r="FU117" s="6" t="inlineStr">
        <is>
          <t>Don’t know or not applicable</t>
        </is>
      </c>
      <c r="FV117" s="6" t="n"/>
      <c r="FW117" s="6" t="inlineStr">
        <is>
          <t>The IMF dedicated the appropriate amount of resources</t>
        </is>
      </c>
      <c r="FX117" s="6" t="n"/>
      <c r="FY117" s="6" t="inlineStr">
        <is>
          <t>To a moderate extent</t>
        </is>
      </c>
      <c r="FZ117" s="6" t="inlineStr">
        <is>
          <t>To a moderate extent</t>
        </is>
      </c>
      <c r="GA117" s="6" t="inlineStr">
        <is>
          <t>To a slight extent</t>
        </is>
      </c>
      <c r="GB117" s="6" t="inlineStr">
        <is>
          <t>To a moderate extent</t>
        </is>
      </c>
      <c r="GC117" s="6" t="inlineStr">
        <is>
          <t>Don’t know or not applicable</t>
        </is>
      </c>
      <c r="GD117" s="6" t="n"/>
      <c r="GE117" s="6" t="inlineStr">
        <is>
          <t>To a moderate extent</t>
        </is>
      </c>
      <c r="GF117" s="6" t="inlineStr">
        <is>
          <t>To a moderate extent</t>
        </is>
      </c>
      <c r="GG117" s="6" t="inlineStr">
        <is>
          <t>To a moderate extent</t>
        </is>
      </c>
      <c r="GH117" s="6" t="inlineStr">
        <is>
          <t>To a moderate extent</t>
        </is>
      </c>
      <c r="GI117" s="6" t="inlineStr">
        <is>
          <t>To a moderate extent</t>
        </is>
      </c>
      <c r="GJ117" s="6" t="inlineStr">
        <is>
          <t>To a moderate extent</t>
        </is>
      </c>
      <c r="GK117" s="6" t="n"/>
      <c r="GL117" s="7">
        <f>DATE(2025,6,18)+TIME(12,11,23)</f>
        <v/>
      </c>
    </row>
    <row r="118" ht="47.25" customHeight="1">
      <c r="A118" s="3" t="inlineStr">
        <is>
          <t>Lucia</t>
        </is>
      </c>
      <c r="B118" s="3" t="inlineStr">
        <is>
          <t>Reyes</t>
        </is>
      </c>
      <c r="C118" s="3" t="inlineStr">
        <is>
          <t>lreyes@organization.org</t>
        </is>
      </c>
      <c r="D118" s="3" t="inlineStr">
        <is>
          <t>CE4WKFE65</t>
        </is>
      </c>
      <c r="E118" s="3" t="n"/>
      <c r="F118" s="3" t="inlineStr">
        <is>
          <t>OEDBR</t>
        </is>
      </c>
      <c r="G118" s="3" t="n"/>
      <c r="H118" s="3" t="n"/>
      <c r="I118" s="3" t="n"/>
      <c r="J118" s="3" t="n"/>
      <c r="K118" s="3" t="n"/>
      <c r="L118" s="3" t="inlineStr">
        <is>
          <t>Haiti</t>
        </is>
      </c>
      <c r="M118" s="3" t="n"/>
      <c r="N118" s="3" t="n"/>
      <c r="O118" s="3" t="n"/>
      <c r="P118" s="3" t="n"/>
      <c r="Q118" s="3" t="n"/>
      <c r="R118" s="3" t="n"/>
      <c r="S118" s="3" t="n"/>
      <c r="T118" s="3" t="n"/>
      <c r="U118" s="3" t="n"/>
      <c r="V118" s="3" t="n"/>
      <c r="W118" s="3" t="n"/>
      <c r="X118" s="3" t="n"/>
      <c r="Y118" s="3" t="n"/>
      <c r="Z118" s="3" t="n"/>
      <c r="AA118" s="3" t="n"/>
      <c r="AB118" s="3" t="n"/>
      <c r="AC118" s="3" t="n"/>
      <c r="AD118" s="3" t="n"/>
      <c r="AE118" s="3" t="n"/>
      <c r="AF118" s="4" t="inlineStr">
        <is>
          <t>Haiti</t>
        </is>
      </c>
      <c r="AG118" s="3" t="inlineStr">
        <is>
          <t>The IMF should engage more on climate change-related issues</t>
        </is>
      </c>
      <c r="AH118" s="3" t="inlineStr">
        <is>
          <t>To a moderate extent</t>
        </is>
      </c>
      <c r="AI118" s="3" t="inlineStr">
        <is>
          <t>To a moderate extent</t>
        </is>
      </c>
      <c r="AJ118" s="3" t="inlineStr">
        <is>
          <t>To a slight extent</t>
        </is>
      </c>
      <c r="AK118" s="3" t="inlineStr">
        <is>
          <t>To a moderate extent</t>
        </is>
      </c>
      <c r="AL118" s="3" t="inlineStr">
        <is>
          <t>To a moderate extent</t>
        </is>
      </c>
      <c r="AM118" s="3" t="inlineStr">
        <is>
          <t>To a great extent</t>
        </is>
      </c>
      <c r="AN118" s="3" t="inlineStr">
        <is>
          <t>To a moderate extent</t>
        </is>
      </c>
      <c r="AO118" s="3" t="inlineStr">
        <is>
          <t>To a moderate extent</t>
        </is>
      </c>
      <c r="AP118" s="3" t="inlineStr">
        <is>
          <t>To a slight extent</t>
        </is>
      </c>
      <c r="AQ118" s="3" t="inlineStr">
        <is>
          <t>To a moderate extent</t>
        </is>
      </c>
      <c r="AR118" s="3" t="inlineStr">
        <is>
          <t>To a slight extent</t>
        </is>
      </c>
      <c r="AS118" s="3" t="n"/>
      <c r="AT118" s="3" t="inlineStr">
        <is>
          <t>To a moderate extent</t>
        </is>
      </c>
      <c r="AU118" s="3" t="inlineStr">
        <is>
          <t>To a slight extent</t>
        </is>
      </c>
      <c r="AV118" s="3" t="inlineStr">
        <is>
          <t>Not at all</t>
        </is>
      </c>
      <c r="AW118" s="3" t="inlineStr">
        <is>
          <t>To a moderate extent</t>
        </is>
      </c>
      <c r="AX118" s="3" t="inlineStr">
        <is>
          <t>To a slight extent</t>
        </is>
      </c>
      <c r="AY118" s="3" t="inlineStr">
        <is>
          <t>To a moderate extent</t>
        </is>
      </c>
      <c r="AZ118" s="3" t="inlineStr">
        <is>
          <t>To a moderate extent</t>
        </is>
      </c>
      <c r="BA118" s="3" t="inlineStr">
        <is>
          <t>Not at all</t>
        </is>
      </c>
      <c r="BB118" s="3" t="inlineStr">
        <is>
          <t>To a moderate extent</t>
        </is>
      </c>
      <c r="BC118" s="3" t="inlineStr">
        <is>
          <t>To a slight extent</t>
        </is>
      </c>
      <c r="BD118" s="3" t="inlineStr">
        <is>
          <t>To a slight extent</t>
        </is>
      </c>
      <c r="BE118" s="3" t="inlineStr">
        <is>
          <t>Don’t know or not applicable</t>
        </is>
      </c>
      <c r="BF118" s="3" t="inlineStr">
        <is>
          <t>Don’t know or not applicable</t>
        </is>
      </c>
      <c r="BG118" s="3" t="inlineStr">
        <is>
          <t>Don’t know or not applicable</t>
        </is>
      </c>
      <c r="BH118" s="3" t="inlineStr">
        <is>
          <t>Don’t know or not applicable</t>
        </is>
      </c>
      <c r="BI118" s="3" t="inlineStr">
        <is>
          <t>Don’t know or not applicable</t>
        </is>
      </c>
      <c r="BJ118" s="3" t="inlineStr">
        <is>
          <t>To a slight extent</t>
        </is>
      </c>
      <c r="BK118" s="3" t="inlineStr">
        <is>
          <t>Not at all</t>
        </is>
      </c>
      <c r="BL118" s="3" t="inlineStr">
        <is>
          <t>To a slight extent</t>
        </is>
      </c>
      <c r="BM118" s="3" t="inlineStr">
        <is>
          <t>To a slight extent</t>
        </is>
      </c>
      <c r="BN118" s="3" t="inlineStr">
        <is>
          <t>To a slight extent</t>
        </is>
      </c>
      <c r="BO118" s="3" t="inlineStr">
        <is>
          <t>To a moderate extent</t>
        </is>
      </c>
      <c r="BP118" s="3" t="inlineStr">
        <is>
          <t>To a slight extent</t>
        </is>
      </c>
      <c r="BQ118" s="3" t="inlineStr">
        <is>
          <t>To a moderate extent</t>
        </is>
      </c>
      <c r="BR118" s="3" t="inlineStr">
        <is>
          <t>To a moderate extent</t>
        </is>
      </c>
      <c r="BS118" s="3" t="inlineStr">
        <is>
          <t>V20</t>
        </is>
      </c>
      <c r="BT118" s="3" t="inlineStr">
        <is>
          <t>The IMF should have dedicated more resources</t>
        </is>
      </c>
      <c r="BU118" s="3" t="inlineStr">
        <is>
          <t>To a great extent</t>
        </is>
      </c>
      <c r="BV118" s="3" t="inlineStr">
        <is>
          <t>To a great extent</t>
        </is>
      </c>
      <c r="BW118" s="3" t="inlineStr">
        <is>
          <t>To a great extent</t>
        </is>
      </c>
      <c r="BX118" s="3" t="inlineStr">
        <is>
          <t>To a moderate extent</t>
        </is>
      </c>
      <c r="BY118" s="3" t="inlineStr">
        <is>
          <t>To a moderate extent</t>
        </is>
      </c>
      <c r="BZ118" s="3" t="inlineStr">
        <is>
          <t>To a moderate extent</t>
        </is>
      </c>
      <c r="CA118" s="3" t="inlineStr">
        <is>
          <t>To a moderate extent</t>
        </is>
      </c>
      <c r="CB118" s="3" t="inlineStr">
        <is>
          <t>To a moderate extent</t>
        </is>
      </c>
      <c r="CC118" s="3" t="inlineStr">
        <is>
          <t>To a moderate extent</t>
        </is>
      </c>
      <c r="CD118" s="3" t="inlineStr">
        <is>
          <t>To a great extent</t>
        </is>
      </c>
      <c r="CE118" s="3" t="inlineStr">
        <is>
          <t>To a great extent</t>
        </is>
      </c>
      <c r="CF118" s="3" t="inlineStr">
        <is>
          <t>To a moderate extent</t>
        </is>
      </c>
      <c r="CG118" s="3" t="n"/>
      <c r="CH118" s="3" t="inlineStr">
        <is>
          <t>Yes</t>
        </is>
      </c>
      <c r="CI118" s="3" t="inlineStr">
        <is>
          <t>Yes</t>
        </is>
      </c>
      <c r="CJ118" s="3" t="inlineStr">
        <is>
          <t>To a great extent</t>
        </is>
      </c>
      <c r="CK118" s="3" t="inlineStr">
        <is>
          <t>To a moderate extent</t>
        </is>
      </c>
      <c r="CL118" s="3" t="inlineStr">
        <is>
          <t>To a moderate extent</t>
        </is>
      </c>
      <c r="CM118" s="3" t="inlineStr">
        <is>
          <t>To a moderate extent</t>
        </is>
      </c>
      <c r="CN118" s="3" t="inlineStr">
        <is>
          <t>To a moderate extent</t>
        </is>
      </c>
      <c r="CO118" s="3" t="inlineStr">
        <is>
          <t>To a moderate extent</t>
        </is>
      </c>
      <c r="CP118" s="3" t="inlineStr">
        <is>
          <t>To a slight extent</t>
        </is>
      </c>
      <c r="CQ118" s="3" t="inlineStr">
        <is>
          <t>To a slight extent</t>
        </is>
      </c>
      <c r="CR118" s="3" t="inlineStr">
        <is>
          <t>To a slight extent</t>
        </is>
      </c>
      <c r="CS118" s="3" t="inlineStr">
        <is>
          <t>To a great extent</t>
        </is>
      </c>
      <c r="CT118" s="3" t="inlineStr">
        <is>
          <t>To a moderate extent</t>
        </is>
      </c>
      <c r="CU118" s="3" t="inlineStr">
        <is>
          <t>To a slight extent</t>
        </is>
      </c>
      <c r="CV118" s="3" t="inlineStr">
        <is>
          <t>To a moderate extent</t>
        </is>
      </c>
      <c r="CW118" s="3" t="inlineStr">
        <is>
          <t>To a great extent</t>
        </is>
      </c>
      <c r="CX118" s="3" t="inlineStr">
        <is>
          <t>To a moderate extent</t>
        </is>
      </c>
      <c r="CY118" s="3" t="inlineStr">
        <is>
          <t>To a great extent</t>
        </is>
      </c>
      <c r="CZ118" s="3" t="inlineStr">
        <is>
          <t>To a great extent</t>
        </is>
      </c>
      <c r="DA118" s="3" t="inlineStr">
        <is>
          <t>To a great extent</t>
        </is>
      </c>
      <c r="DB118" s="3" t="n"/>
      <c r="DC118" s="3" t="n"/>
      <c r="DD118" s="3" t="n"/>
      <c r="DE118" s="3" t="inlineStr">
        <is>
          <t>Building reserves</t>
        </is>
      </c>
      <c r="DF118" s="3" t="inlineStr">
        <is>
          <t>Climate change-related policies</t>
        </is>
      </c>
      <c r="DG118" s="3" t="n"/>
      <c r="DH118" s="3" t="inlineStr">
        <is>
          <t>To a moderate extent</t>
        </is>
      </c>
      <c r="DI118" s="3" t="inlineStr">
        <is>
          <t>To a great extent</t>
        </is>
      </c>
      <c r="DJ118" s="3" t="inlineStr">
        <is>
          <t>To a great extent</t>
        </is>
      </c>
      <c r="DK118" s="3" t="inlineStr">
        <is>
          <t>Don’t know or not applicable</t>
        </is>
      </c>
      <c r="DL118" s="3" t="inlineStr">
        <is>
          <t>Don’t know or not applicable</t>
        </is>
      </c>
      <c r="DM118" s="3" t="inlineStr">
        <is>
          <t>To a moderate extent</t>
        </is>
      </c>
      <c r="DN118" s="3" t="inlineStr">
        <is>
          <t>Don’t know or not applicable</t>
        </is>
      </c>
      <c r="DO118" s="3" t="n"/>
      <c r="DP118" s="3" t="n"/>
      <c r="DQ118" s="3" t="n"/>
      <c r="DR118" s="3" t="n"/>
      <c r="DS118" s="3" t="n"/>
      <c r="DT118" s="3" t="n"/>
      <c r="DU118" s="3" t="n"/>
      <c r="DV118" s="3" t="n"/>
      <c r="DW118" s="3" t="inlineStr">
        <is>
          <t>Yes</t>
        </is>
      </c>
      <c r="DX118" s="3" t="inlineStr">
        <is>
          <t>World Bank Group</t>
        </is>
      </c>
      <c r="DY118" s="3" t="inlineStr">
        <is>
          <t>Regional development banks</t>
        </is>
      </c>
      <c r="DZ118" s="3" t="n"/>
      <c r="EA118" s="3" t="n"/>
      <c r="EB118" s="3" t="n"/>
      <c r="EC118" s="3" t="inlineStr">
        <is>
          <t>To a moderate extent</t>
        </is>
      </c>
      <c r="ED118" s="3" t="inlineStr">
        <is>
          <t>To a slight extent</t>
        </is>
      </c>
      <c r="EE118" s="3" t="inlineStr">
        <is>
          <t>To a slight extent</t>
        </is>
      </c>
      <c r="EF118" s="3" t="inlineStr">
        <is>
          <t>Not at all</t>
        </is>
      </c>
      <c r="EG118" s="3" t="inlineStr">
        <is>
          <t>To a slight extent</t>
        </is>
      </c>
      <c r="EH118" s="3" t="inlineStr">
        <is>
          <t>To a slight extent</t>
        </is>
      </c>
      <c r="EI118" s="3" t="inlineStr">
        <is>
          <t>To a slight extent</t>
        </is>
      </c>
      <c r="EJ118" s="3" t="inlineStr">
        <is>
          <t>To a great extent</t>
        </is>
      </c>
      <c r="EK118" s="3" t="inlineStr">
        <is>
          <t>To a great extent</t>
        </is>
      </c>
      <c r="EL118" s="3" t="inlineStr">
        <is>
          <t>To a moderate extent</t>
        </is>
      </c>
      <c r="EM118" s="3" t="inlineStr">
        <is>
          <t>To a slight extent</t>
        </is>
      </c>
      <c r="EN118" s="3" t="inlineStr">
        <is>
          <t>Not at all</t>
        </is>
      </c>
      <c r="EO118" s="3" t="inlineStr">
        <is>
          <t>To a slight extent</t>
        </is>
      </c>
      <c r="EP118" s="3" t="n"/>
      <c r="EQ118" s="3" t="inlineStr">
        <is>
          <t>To a slight extent</t>
        </is>
      </c>
      <c r="ER118" s="3" t="inlineStr">
        <is>
          <t>To a slight extent</t>
        </is>
      </c>
      <c r="ES118" s="3" t="n"/>
      <c r="ET118" s="3" t="inlineStr">
        <is>
          <t>To a slight extent</t>
        </is>
      </c>
      <c r="EU118" s="3" t="inlineStr">
        <is>
          <t>To a slight extent</t>
        </is>
      </c>
      <c r="EV118" s="3" t="inlineStr">
        <is>
          <t>To a slight extent</t>
        </is>
      </c>
      <c r="EW118" s="3" t="inlineStr">
        <is>
          <t>Don’t know or not applicable</t>
        </is>
      </c>
      <c r="EX118" s="3" t="n"/>
      <c r="EY118" s="3" t="inlineStr">
        <is>
          <t>To a slight extent</t>
        </is>
      </c>
      <c r="EZ118" s="3" t="inlineStr">
        <is>
          <t>Not at all</t>
        </is>
      </c>
      <c r="FA118" s="3" t="inlineStr">
        <is>
          <t>To a slight extent</t>
        </is>
      </c>
      <c r="FB118" s="3" t="inlineStr">
        <is>
          <t>To a moderate extent</t>
        </is>
      </c>
      <c r="FC118" s="3" t="inlineStr">
        <is>
          <t>To a moderate extent</t>
        </is>
      </c>
      <c r="FD118" s="3" t="inlineStr">
        <is>
          <t>To a moderate extent</t>
        </is>
      </c>
      <c r="FE118" s="3" t="inlineStr">
        <is>
          <t>To a moderate extent</t>
        </is>
      </c>
      <c r="FF118" s="3" t="inlineStr">
        <is>
          <t>To a slight extent</t>
        </is>
      </c>
      <c r="FG118" s="3" t="inlineStr">
        <is>
          <t>To a moderate extent</t>
        </is>
      </c>
      <c r="FH118" s="3" t="inlineStr">
        <is>
          <t>To a slight extent</t>
        </is>
      </c>
      <c r="FI118" s="3" t="inlineStr">
        <is>
          <t>To a slight extent</t>
        </is>
      </c>
      <c r="FJ118" s="3" t="inlineStr">
        <is>
          <t>To a slight extent</t>
        </is>
      </c>
      <c r="FK118" s="3" t="inlineStr">
        <is>
          <t>To a slight extent</t>
        </is>
      </c>
      <c r="FL118" s="3" t="inlineStr">
        <is>
          <t>To a slight extent</t>
        </is>
      </c>
      <c r="FM118" s="3" t="inlineStr">
        <is>
          <t>To a slight extent</t>
        </is>
      </c>
      <c r="FN118" s="3" t="inlineStr">
        <is>
          <t>To a moderate extent</t>
        </is>
      </c>
      <c r="FO118" s="3" t="inlineStr">
        <is>
          <t>To a slight extent</t>
        </is>
      </c>
      <c r="FP118" s="3" t="inlineStr">
        <is>
          <t>To a slight extent</t>
        </is>
      </c>
      <c r="FQ118" s="3" t="inlineStr">
        <is>
          <t>To a moderate extent</t>
        </is>
      </c>
      <c r="FR118" s="3" t="inlineStr">
        <is>
          <t>To a great extent</t>
        </is>
      </c>
      <c r="FS118" s="3" t="inlineStr">
        <is>
          <t>To a moderate extent</t>
        </is>
      </c>
      <c r="FT118" s="3" t="inlineStr">
        <is>
          <t>To a moderate extent</t>
        </is>
      </c>
      <c r="FU118" s="3" t="inlineStr">
        <is>
          <t>Don’t know or not applicable</t>
        </is>
      </c>
      <c r="FV118" s="3" t="n"/>
      <c r="FW118" s="3" t="inlineStr">
        <is>
          <t>The IMF should have dedicated more resources</t>
        </is>
      </c>
      <c r="FX118" s="3" t="n"/>
      <c r="FY118" s="3" t="inlineStr">
        <is>
          <t>To a great extent</t>
        </is>
      </c>
      <c r="FZ118" s="3" t="inlineStr">
        <is>
          <t>To a great extent</t>
        </is>
      </c>
      <c r="GA118" s="3" t="inlineStr">
        <is>
          <t>To a great extent</t>
        </is>
      </c>
      <c r="GB118" s="3" t="inlineStr">
        <is>
          <t>To a moderate extent</t>
        </is>
      </c>
      <c r="GC118" s="3" t="inlineStr">
        <is>
          <t>Don’t know or not applicable</t>
        </is>
      </c>
      <c r="GD118" s="3" t="n"/>
      <c r="GE118" s="3" t="inlineStr">
        <is>
          <t>To a slight extent</t>
        </is>
      </c>
      <c r="GF118" s="3" t="inlineStr">
        <is>
          <t>To a great extent</t>
        </is>
      </c>
      <c r="GG118" s="3" t="inlineStr">
        <is>
          <t>To a great extent</t>
        </is>
      </c>
      <c r="GH118" s="3" t="inlineStr">
        <is>
          <t>To a great extent</t>
        </is>
      </c>
      <c r="GI118" s="3" t="inlineStr">
        <is>
          <t>To a great extent</t>
        </is>
      </c>
      <c r="GJ118" s="3" t="inlineStr">
        <is>
          <t>To a moderate extent</t>
        </is>
      </c>
      <c r="GK118" s="3" t="n"/>
      <c r="GL118" s="5">
        <f>DATE(2025,6,13)+TIME(14,9,20)</f>
        <v/>
      </c>
    </row>
    <row r="119" ht="409.5" customHeight="1">
      <c r="A119" s="6" t="inlineStr">
        <is>
          <t>Dina</t>
        </is>
      </c>
      <c r="B119" s="6" t="inlineStr">
        <is>
          <t>Gupta</t>
        </is>
      </c>
      <c r="C119" s="6" t="inlineStr">
        <is>
          <t>dgupta1@organization.org</t>
        </is>
      </c>
      <c r="D119" s="6" t="inlineStr">
        <is>
          <t>WP10H8SGB</t>
        </is>
      </c>
      <c r="E119" s="6" t="n"/>
      <c r="F119" s="6" t="inlineStr">
        <is>
          <t>OEDFF</t>
        </is>
      </c>
      <c r="G119" s="6" t="n"/>
      <c r="H119" s="6" t="n"/>
      <c r="I119" s="6" t="n"/>
      <c r="J119" s="6" t="n"/>
      <c r="K119" s="6" t="n"/>
      <c r="L119" s="6" t="n"/>
      <c r="M119" s="6" t="n"/>
      <c r="N119" s="6" t="n"/>
      <c r="O119" s="6" t="n"/>
      <c r="P119" s="6" t="n"/>
      <c r="Q119" s="6" t="inlineStr">
        <is>
          <t>France</t>
        </is>
      </c>
      <c r="R119" s="6" t="n"/>
      <c r="S119" s="6" t="n"/>
      <c r="T119" s="6" t="n"/>
      <c r="U119" s="6" t="n"/>
      <c r="V119" s="6" t="n"/>
      <c r="W119" s="6" t="n"/>
      <c r="X119" s="6" t="n"/>
      <c r="Y119" s="6" t="n"/>
      <c r="Z119" s="6" t="n"/>
      <c r="AA119" s="6" t="n"/>
      <c r="AB119" s="6" t="n"/>
      <c r="AC119" s="6" t="n"/>
      <c r="AD119" s="6" t="n"/>
      <c r="AE119" s="6" t="n"/>
      <c r="AF119" s="4" t="inlineStr">
        <is>
          <t>France</t>
        </is>
      </c>
      <c r="AG119" s="6" t="inlineStr">
        <is>
          <t>The IMF should engage a similar amount on climate change-related issues</t>
        </is>
      </c>
      <c r="AH119" s="6" t="inlineStr">
        <is>
          <t>To a slight extent</t>
        </is>
      </c>
      <c r="AI119" s="6" t="inlineStr">
        <is>
          <t>To a great extent</t>
        </is>
      </c>
      <c r="AJ119" s="6" t="inlineStr">
        <is>
          <t>To a slight extent</t>
        </is>
      </c>
      <c r="AK119" s="6" t="inlineStr">
        <is>
          <t>To a great extent</t>
        </is>
      </c>
      <c r="AL119" s="6" t="inlineStr">
        <is>
          <t>To a slight extent</t>
        </is>
      </c>
      <c r="AM119" s="6" t="inlineStr">
        <is>
          <t>To a moderate extent</t>
        </is>
      </c>
      <c r="AN119" s="6" t="inlineStr">
        <is>
          <t>To a moderate extent</t>
        </is>
      </c>
      <c r="AO119" s="6" t="inlineStr">
        <is>
          <t>To a slight extent</t>
        </is>
      </c>
      <c r="AP119" s="6" t="inlineStr">
        <is>
          <t>Not at all</t>
        </is>
      </c>
      <c r="AQ119" s="6" t="inlineStr">
        <is>
          <t>Not at all</t>
        </is>
      </c>
      <c r="AR119" s="6" t="inlineStr">
        <is>
          <t>To a great extent</t>
        </is>
      </c>
      <c r="AS119" s="6" t="n"/>
      <c r="AT119" s="6" t="inlineStr">
        <is>
          <t>To a moderate extent</t>
        </is>
      </c>
      <c r="AU119" s="6" t="inlineStr">
        <is>
          <t>To a moderate extent</t>
        </is>
      </c>
      <c r="AV119" s="6" t="inlineStr">
        <is>
          <t>Not at all</t>
        </is>
      </c>
      <c r="AW119" s="6" t="inlineStr">
        <is>
          <t>To a moderate extent</t>
        </is>
      </c>
      <c r="AX119" s="6" t="inlineStr">
        <is>
          <t>To a slight extent</t>
        </is>
      </c>
      <c r="AY119" s="6" t="inlineStr">
        <is>
          <t>To a great extent</t>
        </is>
      </c>
      <c r="AZ119" s="6" t="inlineStr">
        <is>
          <t>To a great extent</t>
        </is>
      </c>
      <c r="BA119" s="6" t="inlineStr">
        <is>
          <t>Not at all</t>
        </is>
      </c>
      <c r="BB119" s="6" t="inlineStr">
        <is>
          <t>To a great extent</t>
        </is>
      </c>
      <c r="BC119" s="6" t="inlineStr">
        <is>
          <t>To a great extent</t>
        </is>
      </c>
      <c r="BD119" s="6" t="inlineStr">
        <is>
          <t>To a great extent</t>
        </is>
      </c>
      <c r="BE119" s="6" t="inlineStr">
        <is>
          <t>To a great extent</t>
        </is>
      </c>
      <c r="BF119" s="6" t="inlineStr">
        <is>
          <t>To a slight extent</t>
        </is>
      </c>
      <c r="BG119" s="6" t="inlineStr">
        <is>
          <t>To a moderate extent</t>
        </is>
      </c>
      <c r="BH119" s="6" t="inlineStr">
        <is>
          <t>To a moderate extent</t>
        </is>
      </c>
      <c r="BI119" s="6" t="inlineStr">
        <is>
          <t>To a great extent</t>
        </is>
      </c>
      <c r="BJ119" s="6" t="inlineStr">
        <is>
          <t>To a great extent</t>
        </is>
      </c>
      <c r="BK119" s="6" t="inlineStr">
        <is>
          <t>Not at all</t>
        </is>
      </c>
      <c r="BL119" s="6" t="inlineStr">
        <is>
          <t>To a great extent</t>
        </is>
      </c>
      <c r="BM119" s="6" t="inlineStr">
        <is>
          <t>To a moderate extent</t>
        </is>
      </c>
      <c r="BN119" s="6" t="inlineStr">
        <is>
          <t>To a great extent</t>
        </is>
      </c>
      <c r="BO119" s="6" t="inlineStr">
        <is>
          <t>To a moderate extent</t>
        </is>
      </c>
      <c r="BP119" s="6" t="inlineStr">
        <is>
          <t>To a slight extent</t>
        </is>
      </c>
      <c r="BQ119" s="6" t="inlineStr">
        <is>
          <t>To a slight extent</t>
        </is>
      </c>
      <c r="BR119" s="6" t="inlineStr">
        <is>
          <t>To a slight extent</t>
        </is>
      </c>
      <c r="BS119" s="6" t="inlineStr">
        <is>
          <t>European Commission and European Central Bank</t>
        </is>
      </c>
      <c r="BT119" s="6" t="inlineStr">
        <is>
          <t>The IMF dedicated an appropriate amount of resources</t>
        </is>
      </c>
      <c r="BU119" s="6" t="inlineStr">
        <is>
          <t>To a great extent</t>
        </is>
      </c>
      <c r="BV119" s="6" t="inlineStr">
        <is>
          <t>To a great extent</t>
        </is>
      </c>
      <c r="BW119" s="6" t="inlineStr">
        <is>
          <t>To a great extent</t>
        </is>
      </c>
      <c r="BX119" s="6" t="inlineStr">
        <is>
          <t>To a great extent</t>
        </is>
      </c>
      <c r="BY119" s="6" t="inlineStr">
        <is>
          <t>To a great extent</t>
        </is>
      </c>
      <c r="BZ119" s="6" t="inlineStr">
        <is>
          <t>To a great extent</t>
        </is>
      </c>
      <c r="CA119" s="6" t="inlineStr">
        <is>
          <t>To a great extent</t>
        </is>
      </c>
      <c r="CB119" s="6" t="inlineStr">
        <is>
          <t>To a great extent</t>
        </is>
      </c>
      <c r="CC119" s="6" t="inlineStr">
        <is>
          <t>To a great extent</t>
        </is>
      </c>
      <c r="CD119" s="6" t="inlineStr">
        <is>
          <t>To a great extent</t>
        </is>
      </c>
      <c r="CE119" s="6" t="inlineStr">
        <is>
          <t>To a great extent</t>
        </is>
      </c>
      <c r="CF119" s="6" t="inlineStr">
        <is>
          <t>To a great extent</t>
        </is>
      </c>
      <c r="CG119" s="6" t="n"/>
      <c r="CH119" s="6" t="inlineStr">
        <is>
          <t>No</t>
        </is>
      </c>
      <c r="CI119" s="6" t="inlineStr">
        <is>
          <t>No</t>
        </is>
      </c>
      <c r="CJ119" s="6" t="n"/>
      <c r="CK119" s="6" t="n"/>
      <c r="CL119" s="6" t="n"/>
      <c r="CM119" s="6" t="n"/>
      <c r="CN119" s="6" t="n"/>
      <c r="CO119" s="6" t="n"/>
      <c r="CP119" s="6" t="n"/>
      <c r="CQ119" s="6" t="n"/>
      <c r="CR119" s="6" t="n"/>
      <c r="CS119" s="6" t="n"/>
      <c r="CT119" s="6" t="n"/>
      <c r="CU119" s="6" t="n"/>
      <c r="CV119" s="6" t="n"/>
      <c r="CW119" s="6" t="n"/>
      <c r="CX119" s="6" t="n"/>
      <c r="CY119" s="6" t="n"/>
      <c r="CZ119" s="6" t="n"/>
      <c r="DA119" s="6" t="n"/>
      <c r="DB119" s="6" t="n"/>
      <c r="DC119" s="6" t="n"/>
      <c r="DD119" s="6" t="n"/>
      <c r="DE119" s="6" t="n"/>
      <c r="DF119" s="6" t="n"/>
      <c r="DG119" s="6" t="n"/>
      <c r="DH119" s="6" t="n"/>
      <c r="DI119" s="6" t="n"/>
      <c r="DJ119" s="6" t="n"/>
      <c r="DK119" s="6" t="n"/>
      <c r="DL119" s="6" t="n"/>
      <c r="DM119" s="6" t="n"/>
      <c r="DN119" s="6" t="n"/>
      <c r="DO119" s="6" t="n"/>
      <c r="DP119" s="6" t="inlineStr">
        <is>
          <t>My country is not eligible for an RSF arrangement</t>
        </is>
      </c>
      <c r="DQ119" s="6" t="inlineStr">
        <is>
          <t>Climate change does not pose a major balance of payments risk in my country</t>
        </is>
      </c>
      <c r="DR119" s="6" t="n"/>
      <c r="DS119" s="6" t="n"/>
      <c r="DT119" s="6" t="n"/>
      <c r="DU119" s="6" t="n"/>
      <c r="DV119" s="6" t="n"/>
      <c r="DW119" s="6" t="inlineStr">
        <is>
          <t>Yes</t>
        </is>
      </c>
      <c r="DX119" s="6" t="n"/>
      <c r="DY119" s="6" t="inlineStr">
        <is>
          <t>Regional development banks</t>
        </is>
      </c>
      <c r="DZ119" s="6" t="n"/>
      <c r="EA119" s="6" t="inlineStr">
        <is>
          <t>Private sources</t>
        </is>
      </c>
      <c r="EB119" s="6" t="inlineStr">
        <is>
          <t>Other (please specify) : European Union</t>
        </is>
      </c>
      <c r="EC119" s="6" t="inlineStr">
        <is>
          <t>Don’t know or not applicable</t>
        </is>
      </c>
      <c r="ED119" s="6" t="inlineStr">
        <is>
          <t>Don’t know or not applicable</t>
        </is>
      </c>
      <c r="EE119" s="6" t="inlineStr">
        <is>
          <t>Don’t know or not applicable</t>
        </is>
      </c>
      <c r="EF119" s="6" t="inlineStr">
        <is>
          <t>To a great extent</t>
        </is>
      </c>
      <c r="EG119" s="6" t="inlineStr">
        <is>
          <t>To a slight extent</t>
        </is>
      </c>
      <c r="EH119" s="6" t="inlineStr">
        <is>
          <t>To a moderate extent</t>
        </is>
      </c>
      <c r="EI119" s="6" t="inlineStr">
        <is>
          <t>To a moderate extent</t>
        </is>
      </c>
      <c r="EJ119" s="6" t="inlineStr">
        <is>
          <t>To a great extent</t>
        </is>
      </c>
      <c r="EK119" s="6" t="inlineStr">
        <is>
          <t>Not at all</t>
        </is>
      </c>
      <c r="EL119" s="6" t="inlineStr">
        <is>
          <t>To a great extent</t>
        </is>
      </c>
      <c r="EM119" s="6" t="n"/>
      <c r="EN119" s="6" t="n"/>
      <c r="EO119" s="6" t="n"/>
      <c r="EP119" s="6" t="n"/>
      <c r="EQ119" s="6" t="inlineStr">
        <is>
          <t>Not at all</t>
        </is>
      </c>
      <c r="ER119" s="6" t="inlineStr">
        <is>
          <t>Not at all</t>
        </is>
      </c>
      <c r="ES119" s="6" t="n"/>
      <c r="ET119" s="6" t="n"/>
      <c r="EU119" s="6" t="n"/>
      <c r="EV119" s="6" t="n"/>
      <c r="EW119" s="6" t="n"/>
      <c r="EX119" s="6" t="n"/>
      <c r="EY119" s="6" t="n"/>
      <c r="EZ119" s="6" t="n"/>
      <c r="FA119" s="6" t="n"/>
      <c r="FB119" s="6" t="n"/>
      <c r="FC119" s="6" t="n"/>
      <c r="FD119" s="6" t="n"/>
      <c r="FE119" s="6" t="n"/>
      <c r="FF119" s="6" t="n"/>
      <c r="FG119" s="6" t="n"/>
      <c r="FH119" s="6" t="n"/>
      <c r="FI119" s="6" t="n"/>
      <c r="FJ119" s="6" t="n"/>
      <c r="FK119" s="6" t="n"/>
      <c r="FL119" s="6" t="n"/>
      <c r="FM119" s="6" t="n"/>
      <c r="FN119" s="6" t="n"/>
      <c r="FO119" s="6" t="n"/>
      <c r="FP119" s="6" t="n"/>
      <c r="FQ119" s="6" t="n"/>
      <c r="FR119" s="6" t="n"/>
      <c r="FS119" s="6" t="n"/>
      <c r="FT119" s="6" t="n"/>
      <c r="FU119" s="6" t="n"/>
      <c r="FV119" s="6" t="n"/>
      <c r="FW119" s="6" t="n"/>
      <c r="FX119" s="6" t="n"/>
      <c r="FY119" s="6" t="inlineStr">
        <is>
          <t>To a great extent</t>
        </is>
      </c>
      <c r="FZ119" s="6" t="inlineStr">
        <is>
          <t>To a slight extent</t>
        </is>
      </c>
      <c r="GA119" s="6" t="inlineStr">
        <is>
          <t>To a great extent</t>
        </is>
      </c>
      <c r="GB119" s="6" t="inlineStr">
        <is>
          <t>To a moderate extent</t>
        </is>
      </c>
      <c r="GC119" s="6" t="n"/>
      <c r="GD119" s="6" t="n"/>
      <c r="GE119" s="6" t="inlineStr">
        <is>
          <t>To a slight extent</t>
        </is>
      </c>
      <c r="GF119" s="6" t="inlineStr">
        <is>
          <t>To a great extent</t>
        </is>
      </c>
      <c r="GG119" s="6" t="inlineStr">
        <is>
          <t>To a moderate extent</t>
        </is>
      </c>
      <c r="GH119" s="6" t="inlineStr">
        <is>
          <t>To a great extent</t>
        </is>
      </c>
      <c r="GI119" s="6" t="inlineStr">
        <is>
          <t>To a great extent</t>
        </is>
      </c>
      <c r="GJ119" s="6" t="inlineStr">
        <is>
          <t>To a great extent</t>
        </is>
      </c>
      <c r="GK119" s="6" t="inlineStr">
        <is>
          <t>The Fund should preserve its role on surveillance in the current geopolitical context and ensure that it remains candid and evenhanded in its advice on climate mitigation for the biggest emitters while not triggering strong backlash from them.
The Fund should scale up its ability to (financially) support climate related reforms. The second round of contributions to the RST should allow to respond to increasing demand. Besides, some targeted changes may be needed to avoid discontinuity in the Fund’s engagement on climate with countries (e.g., create room for a successor RSF program, which is not possible currently in countries which got maximum access; or reflect on precautionary RSF).
The Fund should ensure strong coordination with the WB, and possibly other partners. It needs to get it right in RSF countries to avoid duplication. We proposed a joint matrix of reforms and grounding RSF measures in shared diagnostics and country’s strategies (long-term strategies and national adaptation plans).</t>
        </is>
      </c>
      <c r="GL119" s="7">
        <f>DATE(2025,6,4)+TIME(9,33,59)</f>
        <v/>
      </c>
    </row>
    <row r="120" ht="283.5" customHeight="1">
      <c r="A120" s="3" t="inlineStr">
        <is>
          <t>Yuki</t>
        </is>
      </c>
      <c r="B120" s="3" t="inlineStr">
        <is>
          <t>Liu</t>
        </is>
      </c>
      <c r="C120" s="3" t="inlineStr">
        <is>
          <t>yliu@organization.org</t>
        </is>
      </c>
      <c r="D120" s="3" t="inlineStr">
        <is>
          <t>ANYFDDOZJ</t>
        </is>
      </c>
      <c r="E120" s="3" t="n"/>
      <c r="F120" s="3" t="inlineStr">
        <is>
          <t>OEDNO</t>
        </is>
      </c>
      <c r="G120" s="3" t="n"/>
      <c r="H120" s="3" t="n"/>
      <c r="I120" s="3" t="n"/>
      <c r="J120" s="3" t="n"/>
      <c r="K120" s="3" t="n"/>
      <c r="L120" s="3" t="n"/>
      <c r="M120" s="3" t="n"/>
      <c r="N120" s="3" t="n"/>
      <c r="O120" s="3" t="n"/>
      <c r="P120" s="3" t="n"/>
      <c r="Q120" s="3" t="n"/>
      <c r="R120" s="3" t="n"/>
      <c r="S120" s="3" t="n"/>
      <c r="T120" s="3" t="n"/>
      <c r="U120" s="3" t="n"/>
      <c r="V120" s="3" t="n"/>
      <c r="W120" s="3" t="n"/>
      <c r="X120" s="3" t="n"/>
      <c r="Y120" s="3" t="inlineStr">
        <is>
          <t>Norway</t>
        </is>
      </c>
      <c r="Z120" s="3" t="n"/>
      <c r="AA120" s="3" t="n"/>
      <c r="AB120" s="3" t="n"/>
      <c r="AC120" s="3" t="n"/>
      <c r="AD120" s="3" t="n"/>
      <c r="AE120" s="3" t="n"/>
      <c r="AF120" s="4" t="inlineStr">
        <is>
          <t>Norway</t>
        </is>
      </c>
      <c r="AG120" s="3" t="inlineStr">
        <is>
          <t>The IMF should engage a similar amount on climate change-related issues</t>
        </is>
      </c>
      <c r="AH120" s="3" t="inlineStr">
        <is>
          <t>To a slight extent</t>
        </is>
      </c>
      <c r="AI120" s="3" t="inlineStr">
        <is>
          <t>To a slight extent</t>
        </is>
      </c>
      <c r="AJ120" s="3" t="inlineStr">
        <is>
          <t>Don’t know or not applicable</t>
        </is>
      </c>
      <c r="AK120" s="3" t="inlineStr">
        <is>
          <t>To a moderate extent</t>
        </is>
      </c>
      <c r="AL120" s="3" t="inlineStr">
        <is>
          <t>To a moderate extent</t>
        </is>
      </c>
      <c r="AM120" s="3" t="inlineStr">
        <is>
          <t>Don’t know or not applicable</t>
        </is>
      </c>
      <c r="AN120" s="3" t="inlineStr">
        <is>
          <t>Don’t know or not applicable</t>
        </is>
      </c>
      <c r="AO120" s="3" t="inlineStr">
        <is>
          <t>Don’t know or not applicable</t>
        </is>
      </c>
      <c r="AP120" s="3" t="inlineStr">
        <is>
          <t>Don’t know or not applicable</t>
        </is>
      </c>
      <c r="AQ120" s="3" t="inlineStr">
        <is>
          <t>To a slight extent</t>
        </is>
      </c>
      <c r="AR120" s="3" t="inlineStr">
        <is>
          <t>To a moderate extent</t>
        </is>
      </c>
      <c r="AS120" s="3" t="n"/>
      <c r="AT120" s="3" t="inlineStr">
        <is>
          <t>Not at all</t>
        </is>
      </c>
      <c r="AU120" s="3" t="inlineStr">
        <is>
          <t>To a slight extent</t>
        </is>
      </c>
      <c r="AV120" s="3" t="inlineStr">
        <is>
          <t>Not at all</t>
        </is>
      </c>
      <c r="AW120" s="3" t="inlineStr">
        <is>
          <t>Not at all</t>
        </is>
      </c>
      <c r="AX120" s="3" t="inlineStr">
        <is>
          <t>Not at all</t>
        </is>
      </c>
      <c r="AY120" s="3" t="inlineStr">
        <is>
          <t>To a great extent</t>
        </is>
      </c>
      <c r="AZ120" s="3" t="inlineStr">
        <is>
          <t>To a slight extent</t>
        </is>
      </c>
      <c r="BA120" s="3" t="inlineStr">
        <is>
          <t>To a slight extent</t>
        </is>
      </c>
      <c r="BB120" s="3" t="inlineStr">
        <is>
          <t>To a moderate extent</t>
        </is>
      </c>
      <c r="BC120" s="3" t="inlineStr">
        <is>
          <t>Not at all</t>
        </is>
      </c>
      <c r="BD120" s="3" t="inlineStr">
        <is>
          <t>To a great extent</t>
        </is>
      </c>
      <c r="BE120" s="3" t="inlineStr">
        <is>
          <t>Don’t know or not applicable</t>
        </is>
      </c>
      <c r="BF120" s="3" t="inlineStr">
        <is>
          <t>Don’t know or not applicable</t>
        </is>
      </c>
      <c r="BG120" s="3" t="inlineStr">
        <is>
          <t>Don’t know or not applicable</t>
        </is>
      </c>
      <c r="BH120" s="3" t="inlineStr">
        <is>
          <t>Don’t know or not applicable</t>
        </is>
      </c>
      <c r="BI120" s="3" t="inlineStr">
        <is>
          <t>Don’t know or not applicable</t>
        </is>
      </c>
      <c r="BJ120" s="3" t="inlineStr">
        <is>
          <t>To a moderate extent</t>
        </is>
      </c>
      <c r="BK120" s="3" t="inlineStr">
        <is>
          <t>To a slight extent</t>
        </is>
      </c>
      <c r="BL120" s="3" t="inlineStr">
        <is>
          <t>To a moderate extent</t>
        </is>
      </c>
      <c r="BM120" s="3" t="inlineStr">
        <is>
          <t>Not at all</t>
        </is>
      </c>
      <c r="BN120" s="3" t="inlineStr">
        <is>
          <t>To a great extent</t>
        </is>
      </c>
      <c r="BO120" s="3" t="inlineStr">
        <is>
          <t>To a moderate extent</t>
        </is>
      </c>
      <c r="BP120" s="3" t="inlineStr">
        <is>
          <t>Don’t know or not applicable</t>
        </is>
      </c>
      <c r="BQ120" s="3" t="inlineStr">
        <is>
          <t>Don’t know or not applicable</t>
        </is>
      </c>
      <c r="BR120" s="3" t="inlineStr">
        <is>
          <t>Don’t know or not applicable</t>
        </is>
      </c>
      <c r="BS120" s="3" t="n"/>
      <c r="BT120" s="3" t="inlineStr">
        <is>
          <t>The IMF dedicated an appropriate amount of resources</t>
        </is>
      </c>
      <c r="BU120" s="3" t="inlineStr">
        <is>
          <t>To a great extent</t>
        </is>
      </c>
      <c r="BV120" s="3" t="inlineStr">
        <is>
          <t>To a great extent</t>
        </is>
      </c>
      <c r="BW120" s="3" t="inlineStr">
        <is>
          <t>To a great extent</t>
        </is>
      </c>
      <c r="BX120" s="3" t="inlineStr">
        <is>
          <t>To a slight extent</t>
        </is>
      </c>
      <c r="BY120" s="3" t="inlineStr">
        <is>
          <t>To a great extent</t>
        </is>
      </c>
      <c r="BZ120" s="3" t="inlineStr">
        <is>
          <t>To a moderate extent</t>
        </is>
      </c>
      <c r="CA120" s="3" t="inlineStr">
        <is>
          <t>To a moderate extent</t>
        </is>
      </c>
      <c r="CB120" s="3" t="inlineStr">
        <is>
          <t>To a slight extent</t>
        </is>
      </c>
      <c r="CC120" s="3" t="inlineStr">
        <is>
          <t>To a moderate extent</t>
        </is>
      </c>
      <c r="CD120" s="3" t="inlineStr">
        <is>
          <t>To a moderate extent</t>
        </is>
      </c>
      <c r="CE120" s="3" t="inlineStr">
        <is>
          <t>To a great extent</t>
        </is>
      </c>
      <c r="CF120" s="3" t="inlineStr">
        <is>
          <t>To a moderate extent</t>
        </is>
      </c>
      <c r="CG120" s="3" t="n"/>
      <c r="CH120" s="3" t="inlineStr">
        <is>
          <t>No</t>
        </is>
      </c>
      <c r="CI120" s="3" t="inlineStr">
        <is>
          <t>No</t>
        </is>
      </c>
      <c r="CJ120" s="3" t="n"/>
      <c r="CK120" s="3" t="n"/>
      <c r="CL120" s="3" t="n"/>
      <c r="CM120" s="3" t="n"/>
      <c r="CN120" s="3" t="n"/>
      <c r="CO120" s="3" t="n"/>
      <c r="CP120" s="3" t="n"/>
      <c r="CQ120" s="3" t="n"/>
      <c r="CR120" s="3" t="n"/>
      <c r="CS120" s="3" t="n"/>
      <c r="CT120" s="3" t="n"/>
      <c r="CU120" s="3" t="n"/>
      <c r="CV120" s="3" t="n"/>
      <c r="CW120" s="3" t="n"/>
      <c r="CX120" s="3" t="n"/>
      <c r="CY120" s="3" t="n"/>
      <c r="CZ120" s="3" t="n"/>
      <c r="DA120" s="3" t="n"/>
      <c r="DB120" s="3" t="n"/>
      <c r="DC120" s="3" t="n"/>
      <c r="DD120" s="3" t="n"/>
      <c r="DE120" s="3" t="n"/>
      <c r="DF120" s="3" t="n"/>
      <c r="DG120" s="3" t="n"/>
      <c r="DH120" s="3" t="n"/>
      <c r="DI120" s="3" t="n"/>
      <c r="DJ120" s="3" t="n"/>
      <c r="DK120" s="3" t="n"/>
      <c r="DL120" s="3" t="n"/>
      <c r="DM120" s="3" t="n"/>
      <c r="DN120" s="3" t="n"/>
      <c r="DO120" s="3" t="n"/>
      <c r="DP120" s="3" t="inlineStr">
        <is>
          <t>My country is not eligible for an RSF arrangement</t>
        </is>
      </c>
      <c r="DQ120" s="3" t="n"/>
      <c r="DR120" s="3" t="n"/>
      <c r="DS120" s="3" t="n"/>
      <c r="DT120" s="3" t="n"/>
      <c r="DU120" s="3" t="n"/>
      <c r="DV120" s="3" t="n"/>
      <c r="DW120" s="3" t="inlineStr">
        <is>
          <t>No</t>
        </is>
      </c>
      <c r="DX120" s="3" t="n"/>
      <c r="DY120" s="3" t="n"/>
      <c r="DZ120" s="3" t="n"/>
      <c r="EA120" s="3" t="n"/>
      <c r="EB120" s="3" t="n"/>
      <c r="EC120" s="3" t="n"/>
      <c r="ED120" s="3" t="n"/>
      <c r="EE120" s="3" t="n"/>
      <c r="EF120" s="3" t="inlineStr">
        <is>
          <t>To a great extent</t>
        </is>
      </c>
      <c r="EG120" s="3" t="inlineStr">
        <is>
          <t>Don’t know or not applicable</t>
        </is>
      </c>
      <c r="EH120" s="3" t="inlineStr">
        <is>
          <t>Don’t know or not applicable</t>
        </is>
      </c>
      <c r="EI120" s="3" t="inlineStr">
        <is>
          <t>To a great extent</t>
        </is>
      </c>
      <c r="EJ120" s="3" t="inlineStr">
        <is>
          <t>Don’t know or not applicable</t>
        </is>
      </c>
      <c r="EK120" s="3" t="inlineStr">
        <is>
          <t>Not at all</t>
        </is>
      </c>
      <c r="EL120" s="3" t="inlineStr">
        <is>
          <t>To a slight extent</t>
        </is>
      </c>
      <c r="EM120" s="3" t="n"/>
      <c r="EN120" s="3" t="n"/>
      <c r="EO120" s="3" t="n"/>
      <c r="EP120" s="3" t="n"/>
      <c r="EQ120" s="3" t="inlineStr">
        <is>
          <t>Not at all</t>
        </is>
      </c>
      <c r="ER120" s="3" t="inlineStr">
        <is>
          <t>Not at all</t>
        </is>
      </c>
      <c r="ES120" s="3" t="n"/>
      <c r="ET120" s="3" t="n"/>
      <c r="EU120" s="3" t="n"/>
      <c r="EV120" s="3" t="n"/>
      <c r="EW120" s="3" t="n"/>
      <c r="EX120" s="3" t="n"/>
      <c r="EY120" s="3" t="n"/>
      <c r="EZ120" s="3" t="n"/>
      <c r="FA120" s="3" t="n"/>
      <c r="FB120" s="3" t="n"/>
      <c r="FC120" s="3" t="n"/>
      <c r="FD120" s="3" t="n"/>
      <c r="FE120" s="3" t="n"/>
      <c r="FF120" s="3" t="n"/>
      <c r="FG120" s="3" t="n"/>
      <c r="FH120" s="3" t="n"/>
      <c r="FI120" s="3" t="n"/>
      <c r="FJ120" s="3" t="n"/>
      <c r="FK120" s="3" t="n"/>
      <c r="FL120" s="3" t="n"/>
      <c r="FM120" s="3" t="n"/>
      <c r="FN120" s="3" t="n"/>
      <c r="FO120" s="3" t="n"/>
      <c r="FP120" s="3" t="n"/>
      <c r="FQ120" s="3" t="n"/>
      <c r="FR120" s="3" t="n"/>
      <c r="FS120" s="3" t="n"/>
      <c r="FT120" s="3" t="n"/>
      <c r="FU120" s="3" t="n"/>
      <c r="FV120" s="3" t="n"/>
      <c r="FW120" s="3" t="n"/>
      <c r="FX120" s="3" t="n"/>
      <c r="FY120" s="3" t="inlineStr">
        <is>
          <t>To a moderate extent</t>
        </is>
      </c>
      <c r="FZ120" s="3" t="inlineStr">
        <is>
          <t>To a moderate extent</t>
        </is>
      </c>
      <c r="GA120" s="3" t="inlineStr">
        <is>
          <t>To a great extent</t>
        </is>
      </c>
      <c r="GB120" s="3" t="inlineStr">
        <is>
          <t>To a moderate extent</t>
        </is>
      </c>
      <c r="GC120" s="3" t="inlineStr">
        <is>
          <t>Don’t know or not applicable</t>
        </is>
      </c>
      <c r="GD120" s="3" t="n"/>
      <c r="GE120" s="3" t="inlineStr">
        <is>
          <t>To a moderate extent</t>
        </is>
      </c>
      <c r="GF120" s="3" t="inlineStr">
        <is>
          <t>To a great extent</t>
        </is>
      </c>
      <c r="GG120" s="3" t="inlineStr">
        <is>
          <t>To a moderate extent</t>
        </is>
      </c>
      <c r="GH120" s="3" t="inlineStr">
        <is>
          <t>To a moderate extent</t>
        </is>
      </c>
      <c r="GI120" s="3" t="inlineStr">
        <is>
          <t>To a great extent</t>
        </is>
      </c>
      <c r="GJ120" s="3" t="inlineStr">
        <is>
          <t>To a moderate extent</t>
        </is>
      </c>
      <c r="GK120" s="3" t="inlineStr">
        <is>
          <t>Coverage of climate change issues, along with other issues deemed macro-critical, should be country specific and guided by identification of macro-criticality. The assessment should take into account that emissions from individual countries can be macro-critical at a global level. Moreover, the Fund should look further at how climate related analysis and policy advice can be better integrated into macroeconomic frameworks.</t>
        </is>
      </c>
      <c r="GL120" s="5">
        <f>DATE(2025,6,2)+TIME(15,8,30)</f>
        <v/>
      </c>
    </row>
    <row r="121" ht="126" customHeight="1">
      <c r="A121" s="6" t="inlineStr">
        <is>
          <t>Gabriel</t>
        </is>
      </c>
      <c r="B121" s="6" t="inlineStr">
        <is>
          <t>Gupta</t>
        </is>
      </c>
      <c r="C121" s="6" t="inlineStr">
        <is>
          <t>ggupta@organization.org</t>
        </is>
      </c>
      <c r="D121" s="6" t="inlineStr">
        <is>
          <t>5EUX7UYOM</t>
        </is>
      </c>
      <c r="E121" s="6" t="n"/>
      <c r="F121" s="6" t="inlineStr">
        <is>
          <t>OEDIT</t>
        </is>
      </c>
      <c r="G121" s="6" t="n"/>
      <c r="H121" s="6" t="n"/>
      <c r="I121" s="6" t="n"/>
      <c r="J121" s="6" t="n"/>
      <c r="K121" s="6" t="n"/>
      <c r="L121" s="6" t="n"/>
      <c r="M121" s="6" t="n"/>
      <c r="N121" s="6" t="n"/>
      <c r="O121" s="6" t="n"/>
      <c r="P121" s="6" t="n"/>
      <c r="Q121" s="6" t="n"/>
      <c r="R121" s="6" t="n"/>
      <c r="S121" s="6" t="n"/>
      <c r="T121" s="6" t="inlineStr">
        <is>
          <t>Malta</t>
        </is>
      </c>
      <c r="U121" s="6" t="n"/>
      <c r="V121" s="6" t="n"/>
      <c r="W121" s="6" t="n"/>
      <c r="X121" s="6" t="n"/>
      <c r="Y121" s="6" t="n"/>
      <c r="Z121" s="6" t="n"/>
      <c r="AA121" s="6" t="n"/>
      <c r="AB121" s="6" t="n"/>
      <c r="AC121" s="6" t="n"/>
      <c r="AD121" s="6" t="n"/>
      <c r="AE121" s="6" t="n"/>
      <c r="AF121" s="4" t="inlineStr">
        <is>
          <t>Malta</t>
        </is>
      </c>
      <c r="AG121" s="6" t="inlineStr">
        <is>
          <t>The IMF should engage a similar amount on climate change-related issues</t>
        </is>
      </c>
      <c r="AH121" s="6" t="inlineStr">
        <is>
          <t>To a slight extent</t>
        </is>
      </c>
      <c r="AI121" s="6" t="inlineStr">
        <is>
          <t>To a moderate extent</t>
        </is>
      </c>
      <c r="AJ121" s="6" t="inlineStr">
        <is>
          <t>Don’t know or not applicable</t>
        </is>
      </c>
      <c r="AK121" s="6" t="inlineStr">
        <is>
          <t>To a moderate extent</t>
        </is>
      </c>
      <c r="AL121" s="6" t="inlineStr">
        <is>
          <t>To a moderate extent</t>
        </is>
      </c>
      <c r="AM121" s="6" t="inlineStr">
        <is>
          <t>Don’t know or not applicable</t>
        </is>
      </c>
      <c r="AN121" s="6" t="inlineStr">
        <is>
          <t>Don’t know or not applicable</t>
        </is>
      </c>
      <c r="AO121" s="6" t="inlineStr">
        <is>
          <t>To a slight extent</t>
        </is>
      </c>
      <c r="AP121" s="6" t="inlineStr">
        <is>
          <t>To a slight extent</t>
        </is>
      </c>
      <c r="AQ121" s="6" t="inlineStr">
        <is>
          <t>To a moderate extent</t>
        </is>
      </c>
      <c r="AR121" s="6" t="inlineStr">
        <is>
          <t>Don’t know or not applicable</t>
        </is>
      </c>
      <c r="AS121" s="6" t="n"/>
      <c r="AT121" s="6" t="inlineStr">
        <is>
          <t>Not at all</t>
        </is>
      </c>
      <c r="AU121" s="6" t="inlineStr">
        <is>
          <t>To a slight extent</t>
        </is>
      </c>
      <c r="AV121" s="6" t="inlineStr">
        <is>
          <t>Not at all</t>
        </is>
      </c>
      <c r="AW121" s="6" t="inlineStr">
        <is>
          <t>To a slight extent</t>
        </is>
      </c>
      <c r="AX121" s="6" t="inlineStr">
        <is>
          <t>Not at all</t>
        </is>
      </c>
      <c r="AY121" s="6" t="inlineStr">
        <is>
          <t>Don’t know or not applicable</t>
        </is>
      </c>
      <c r="AZ121" s="6" t="inlineStr">
        <is>
          <t>To a slight extent</t>
        </is>
      </c>
      <c r="BA121" s="6" t="inlineStr">
        <is>
          <t>Not at all</t>
        </is>
      </c>
      <c r="BB121" s="6" t="inlineStr">
        <is>
          <t>To a slight extent</t>
        </is>
      </c>
      <c r="BC121" s="6" t="inlineStr">
        <is>
          <t>Not at all</t>
        </is>
      </c>
      <c r="BD121" s="6" t="inlineStr">
        <is>
          <t>Don’t know or not applicable</t>
        </is>
      </c>
      <c r="BE121" s="6" t="inlineStr">
        <is>
          <t>Not at all</t>
        </is>
      </c>
      <c r="BF121" s="6" t="inlineStr">
        <is>
          <t>Not at all</t>
        </is>
      </c>
      <c r="BG121" s="6" t="inlineStr">
        <is>
          <t>Not at all</t>
        </is>
      </c>
      <c r="BH121" s="6" t="inlineStr">
        <is>
          <t>Not at all</t>
        </is>
      </c>
      <c r="BI121" s="6" t="inlineStr">
        <is>
          <t>Not at all</t>
        </is>
      </c>
      <c r="BJ121" s="6" t="inlineStr">
        <is>
          <t>To a slight extent</t>
        </is>
      </c>
      <c r="BK121" s="6" t="inlineStr">
        <is>
          <t>Not at all</t>
        </is>
      </c>
      <c r="BL121" s="6" t="inlineStr">
        <is>
          <t>To a moderate extent</t>
        </is>
      </c>
      <c r="BM121" s="6" t="inlineStr">
        <is>
          <t>Not at all</t>
        </is>
      </c>
      <c r="BN121" s="6" t="inlineStr">
        <is>
          <t>Don’t know or not applicable</t>
        </is>
      </c>
      <c r="BO121" s="6" t="inlineStr">
        <is>
          <t>Not at all</t>
        </is>
      </c>
      <c r="BP121" s="6" t="inlineStr">
        <is>
          <t>Not at all</t>
        </is>
      </c>
      <c r="BQ121" s="6" t="inlineStr">
        <is>
          <t>Not at all</t>
        </is>
      </c>
      <c r="BR121" s="6" t="inlineStr">
        <is>
          <t>To a slight extent</t>
        </is>
      </c>
      <c r="BS121" s="6" t="inlineStr">
        <is>
          <t>Early last year, we held a call with IMF Experts on climate studies and to see how this could be adapted to Malta. We organised calls with local experts but data for Malta was unavailable. NGFS</t>
        </is>
      </c>
      <c r="BT121" s="6" t="inlineStr">
        <is>
          <t>The IMF dedicated an appropriate amount of resources</t>
        </is>
      </c>
      <c r="BU121" s="6" t="inlineStr">
        <is>
          <t>To a slight extent</t>
        </is>
      </c>
      <c r="BV121" s="6" t="inlineStr">
        <is>
          <t>To a slight extent</t>
        </is>
      </c>
      <c r="BW121" s="6" t="inlineStr">
        <is>
          <t>To a slight extent</t>
        </is>
      </c>
      <c r="BX121" s="6" t="inlineStr">
        <is>
          <t>To a moderate extent</t>
        </is>
      </c>
      <c r="BY121" s="6" t="inlineStr">
        <is>
          <t>To a moderate extent</t>
        </is>
      </c>
      <c r="BZ121" s="6" t="inlineStr">
        <is>
          <t>To a moderate extent</t>
        </is>
      </c>
      <c r="CA121" s="6" t="inlineStr">
        <is>
          <t>Don’t know or not applicable</t>
        </is>
      </c>
      <c r="CB121" s="6" t="inlineStr">
        <is>
          <t>Don’t know or not applicable</t>
        </is>
      </c>
      <c r="CC121" s="6" t="inlineStr">
        <is>
          <t>Don’t know or not applicable</t>
        </is>
      </c>
      <c r="CD121" s="6" t="inlineStr">
        <is>
          <t>To a moderate extent</t>
        </is>
      </c>
      <c r="CE121" s="6" t="inlineStr">
        <is>
          <t>To a moderate extent</t>
        </is>
      </c>
      <c r="CF121" s="6" t="inlineStr">
        <is>
          <t>To a moderate extent</t>
        </is>
      </c>
      <c r="CG121" s="6" t="n"/>
      <c r="CH121" s="6" t="inlineStr">
        <is>
          <t>No</t>
        </is>
      </c>
      <c r="CI121" s="6" t="inlineStr">
        <is>
          <t>No</t>
        </is>
      </c>
      <c r="CJ121" s="6" t="n"/>
      <c r="CK121" s="6" t="n"/>
      <c r="CL121" s="6" t="n"/>
      <c r="CM121" s="6" t="n"/>
      <c r="CN121" s="6" t="n"/>
      <c r="CO121" s="6" t="n"/>
      <c r="CP121" s="6" t="n"/>
      <c r="CQ121" s="6" t="n"/>
      <c r="CR121" s="6" t="n"/>
      <c r="CS121" s="6" t="n"/>
      <c r="CT121" s="6" t="n"/>
      <c r="CU121" s="6" t="n"/>
      <c r="CV121" s="6" t="n"/>
      <c r="CW121" s="6" t="n"/>
      <c r="CX121" s="6" t="n"/>
      <c r="CY121" s="6" t="n"/>
      <c r="CZ121" s="6" t="n"/>
      <c r="DA121" s="6" t="n"/>
      <c r="DB121" s="6" t="n"/>
      <c r="DC121" s="6" t="n"/>
      <c r="DD121" s="6" t="n"/>
      <c r="DE121" s="6" t="n"/>
      <c r="DF121" s="6" t="n"/>
      <c r="DG121" s="6" t="n"/>
      <c r="DH121" s="6" t="n"/>
      <c r="DI121" s="6" t="n"/>
      <c r="DJ121" s="6" t="n"/>
      <c r="DK121" s="6" t="n"/>
      <c r="DL121" s="6" t="n"/>
      <c r="DM121" s="6" t="n"/>
      <c r="DN121" s="6" t="n"/>
      <c r="DO121" s="6" t="n"/>
      <c r="DP121" s="6" t="n"/>
      <c r="DQ121" s="6" t="n"/>
      <c r="DR121" s="6" t="n"/>
      <c r="DS121" s="6" t="n"/>
      <c r="DT121" s="6" t="n"/>
      <c r="DU121" s="6" t="n"/>
      <c r="DV121" s="6" t="inlineStr">
        <is>
          <t>Other (please specify) : No current need</t>
        </is>
      </c>
      <c r="DW121" s="6" t="inlineStr">
        <is>
          <t>Yes</t>
        </is>
      </c>
      <c r="DX121" s="6" t="n"/>
      <c r="DY121" s="6" t="n"/>
      <c r="DZ121" s="6" t="n"/>
      <c r="EA121" s="6" t="n"/>
      <c r="EB121" s="6" t="inlineStr">
        <is>
          <t>Other (please specify) : European Union</t>
        </is>
      </c>
      <c r="EC121" s="6" t="inlineStr">
        <is>
          <t>Don’t know or not applicable</t>
        </is>
      </c>
      <c r="ED121" s="6" t="inlineStr">
        <is>
          <t>Don’t know or not applicable</t>
        </is>
      </c>
      <c r="EE121" s="6" t="inlineStr">
        <is>
          <t>Don’t know or not applicable</t>
        </is>
      </c>
      <c r="EF121" s="6" t="inlineStr">
        <is>
          <t>To a great extent</t>
        </is>
      </c>
      <c r="EG121" s="6" t="inlineStr">
        <is>
          <t>To a great extent</t>
        </is>
      </c>
      <c r="EH121" s="6" t="inlineStr">
        <is>
          <t>To a great extent</t>
        </is>
      </c>
      <c r="EI121" s="6" t="inlineStr">
        <is>
          <t>To a great extent</t>
        </is>
      </c>
      <c r="EJ121" s="6" t="inlineStr">
        <is>
          <t>Don’t know or not applicable</t>
        </is>
      </c>
      <c r="EK121" s="6" t="inlineStr">
        <is>
          <t>Don’t know or not applicable</t>
        </is>
      </c>
      <c r="EL121" s="6" t="inlineStr">
        <is>
          <t>Don’t know or not applicable</t>
        </is>
      </c>
      <c r="EM121" s="6" t="n"/>
      <c r="EN121" s="6" t="n"/>
      <c r="EO121" s="6" t="n"/>
      <c r="EP121" s="6" t="n"/>
      <c r="EQ121" s="6" t="inlineStr">
        <is>
          <t>Not at all</t>
        </is>
      </c>
      <c r="ER121" s="6" t="inlineStr">
        <is>
          <t>Not at all</t>
        </is>
      </c>
      <c r="ES121" s="6" t="n"/>
      <c r="ET121" s="6" t="n"/>
      <c r="EU121" s="6" t="n"/>
      <c r="EV121" s="6" t="n"/>
      <c r="EW121" s="6" t="n"/>
      <c r="EX121" s="6" t="n"/>
      <c r="EY121" s="6" t="n"/>
      <c r="EZ121" s="6" t="n"/>
      <c r="FA121" s="6" t="n"/>
      <c r="FB121" s="6" t="n"/>
      <c r="FC121" s="6" t="n"/>
      <c r="FD121" s="6" t="n"/>
      <c r="FE121" s="6" t="n"/>
      <c r="FF121" s="6" t="n"/>
      <c r="FG121" s="6" t="n"/>
      <c r="FH121" s="6" t="n"/>
      <c r="FI121" s="6" t="n"/>
      <c r="FJ121" s="6" t="n"/>
      <c r="FK121" s="6" t="n"/>
      <c r="FL121" s="6" t="n"/>
      <c r="FM121" s="6" t="n"/>
      <c r="FN121" s="6" t="n"/>
      <c r="FO121" s="6" t="n"/>
      <c r="FP121" s="6" t="n"/>
      <c r="FQ121" s="6" t="n"/>
      <c r="FR121" s="6" t="n"/>
      <c r="FS121" s="6" t="n"/>
      <c r="FT121" s="6" t="n"/>
      <c r="FU121" s="6" t="n"/>
      <c r="FV121" s="6" t="n"/>
      <c r="FW121" s="6" t="n"/>
      <c r="FX121" s="6" t="n"/>
      <c r="FY121" s="6" t="inlineStr">
        <is>
          <t>Don’t know or not applicable</t>
        </is>
      </c>
      <c r="FZ121" s="6" t="inlineStr">
        <is>
          <t>Don’t know or not applicable</t>
        </is>
      </c>
      <c r="GA121" s="6" t="inlineStr">
        <is>
          <t>Don’t know or not applicable</t>
        </is>
      </c>
      <c r="GB121" s="6" t="inlineStr">
        <is>
          <t>Don’t know or not applicable</t>
        </is>
      </c>
      <c r="GC121" s="6" t="inlineStr">
        <is>
          <t>Don’t know or not applicable</t>
        </is>
      </c>
      <c r="GD121" s="6" t="n"/>
      <c r="GE121" s="6" t="inlineStr">
        <is>
          <t>To a moderate extent</t>
        </is>
      </c>
      <c r="GF121" s="6" t="inlineStr">
        <is>
          <t>To a moderate extent</t>
        </is>
      </c>
      <c r="GG121" s="6" t="inlineStr">
        <is>
          <t>To a moderate extent</t>
        </is>
      </c>
      <c r="GH121" s="6" t="inlineStr">
        <is>
          <t>To a slight extent</t>
        </is>
      </c>
      <c r="GI121" s="6" t="inlineStr">
        <is>
          <t>To a moderate extent</t>
        </is>
      </c>
      <c r="GJ121" s="6" t="inlineStr">
        <is>
          <t>To a moderate extent</t>
        </is>
      </c>
      <c r="GK121" s="6" t="n"/>
      <c r="GL121" s="7">
        <f>DATE(2025,6,9)+TIME(9,57,44)</f>
        <v/>
      </c>
    </row>
    <row r="122" ht="47.25" customHeight="1">
      <c r="A122" s="3" t="inlineStr">
        <is>
          <t>Samuel</t>
        </is>
      </c>
      <c r="B122" s="3" t="inlineStr">
        <is>
          <t>Santos</t>
        </is>
      </c>
      <c r="C122" s="3" t="inlineStr">
        <is>
          <t>ssantos@organization.org</t>
        </is>
      </c>
      <c r="D122" s="3" t="inlineStr">
        <is>
          <t>00470V7X7</t>
        </is>
      </c>
      <c r="E122" s="3" t="n"/>
      <c r="F122" s="3" t="inlineStr">
        <is>
          <t>OEDBR</t>
        </is>
      </c>
      <c r="G122" s="3" t="n"/>
      <c r="H122" s="3" t="n"/>
      <c r="I122" s="3" t="n"/>
      <c r="J122" s="3" t="n"/>
      <c r="K122" s="3" t="n"/>
      <c r="L122" s="3" t="inlineStr">
        <is>
          <t>Nicaragua</t>
        </is>
      </c>
      <c r="M122" s="3" t="n"/>
      <c r="N122" s="3" t="n"/>
      <c r="O122" s="3" t="n"/>
      <c r="P122" s="3" t="n"/>
      <c r="Q122" s="3" t="n"/>
      <c r="R122" s="3" t="n"/>
      <c r="S122" s="3" t="n"/>
      <c r="T122" s="3" t="n"/>
      <c r="U122" s="3" t="n"/>
      <c r="V122" s="3" t="n"/>
      <c r="W122" s="3" t="n"/>
      <c r="X122" s="3" t="n"/>
      <c r="Y122" s="3" t="n"/>
      <c r="Z122" s="3" t="n"/>
      <c r="AA122" s="3" t="n"/>
      <c r="AB122" s="3" t="n"/>
      <c r="AC122" s="3" t="n"/>
      <c r="AD122" s="3" t="n"/>
      <c r="AE122" s="3" t="n"/>
      <c r="AF122" s="4" t="inlineStr">
        <is>
          <t>Nicaragua</t>
        </is>
      </c>
      <c r="AG122" s="3" t="inlineStr">
        <is>
          <t>The IMF should engage less on climate change-related issues</t>
        </is>
      </c>
      <c r="AH122" s="3" t="inlineStr">
        <is>
          <t>To a slight extent</t>
        </is>
      </c>
      <c r="AI122" s="3" t="inlineStr">
        <is>
          <t>Not at all</t>
        </is>
      </c>
      <c r="AJ122" s="3" t="inlineStr">
        <is>
          <t>Not at all</t>
        </is>
      </c>
      <c r="AK122" s="3" t="inlineStr">
        <is>
          <t>To a slight extent</t>
        </is>
      </c>
      <c r="AL122" s="3" t="inlineStr">
        <is>
          <t>To a slight extent</t>
        </is>
      </c>
      <c r="AM122" s="3" t="inlineStr">
        <is>
          <t>Not at all</t>
        </is>
      </c>
      <c r="AN122" s="3" t="inlineStr">
        <is>
          <t>Not at all</t>
        </is>
      </c>
      <c r="AO122" s="3" t="inlineStr">
        <is>
          <t>Not at all</t>
        </is>
      </c>
      <c r="AP122" s="3" t="inlineStr">
        <is>
          <t>Not at all</t>
        </is>
      </c>
      <c r="AQ122" s="3" t="inlineStr">
        <is>
          <t>Not at all</t>
        </is>
      </c>
      <c r="AR122" s="3" t="inlineStr">
        <is>
          <t>Not at all</t>
        </is>
      </c>
      <c r="AS122" s="3" t="n"/>
      <c r="AT122" s="3" t="inlineStr">
        <is>
          <t>Not at all</t>
        </is>
      </c>
      <c r="AU122" s="3" t="inlineStr">
        <is>
          <t>To a slight extent</t>
        </is>
      </c>
      <c r="AV122" s="3" t="inlineStr">
        <is>
          <t>To a moderate extent</t>
        </is>
      </c>
      <c r="AW122" s="3" t="inlineStr">
        <is>
          <t>Not at all</t>
        </is>
      </c>
      <c r="AX122" s="3" t="inlineStr">
        <is>
          <t>Not at all</t>
        </is>
      </c>
      <c r="AY122" s="3" t="inlineStr">
        <is>
          <t>Not at all</t>
        </is>
      </c>
      <c r="AZ122" s="3" t="inlineStr">
        <is>
          <t>To a moderate extent</t>
        </is>
      </c>
      <c r="BA122" s="3" t="inlineStr">
        <is>
          <t>To a moderate extent</t>
        </is>
      </c>
      <c r="BB122" s="3" t="inlineStr">
        <is>
          <t>Not at all</t>
        </is>
      </c>
      <c r="BC122" s="3" t="inlineStr">
        <is>
          <t>Not at all</t>
        </is>
      </c>
      <c r="BD122" s="3" t="inlineStr">
        <is>
          <t>Not at all</t>
        </is>
      </c>
      <c r="BE122" s="3" t="inlineStr">
        <is>
          <t>Not at all</t>
        </is>
      </c>
      <c r="BF122" s="3" t="inlineStr">
        <is>
          <t>To a moderate extent</t>
        </is>
      </c>
      <c r="BG122" s="3" t="inlineStr">
        <is>
          <t>Not at all</t>
        </is>
      </c>
      <c r="BH122" s="3" t="inlineStr">
        <is>
          <t>Not at all</t>
        </is>
      </c>
      <c r="BI122" s="3" t="inlineStr">
        <is>
          <t>Not at all</t>
        </is>
      </c>
      <c r="BJ122" s="3" t="inlineStr">
        <is>
          <t>To a slight extent</t>
        </is>
      </c>
      <c r="BK122" s="3" t="inlineStr">
        <is>
          <t>To a moderate extent</t>
        </is>
      </c>
      <c r="BL122" s="3" t="inlineStr">
        <is>
          <t>To a slight extent</t>
        </is>
      </c>
      <c r="BM122" s="3" t="inlineStr">
        <is>
          <t>Not at all</t>
        </is>
      </c>
      <c r="BN122" s="3" t="inlineStr">
        <is>
          <t>Not at all</t>
        </is>
      </c>
      <c r="BO122" s="3" t="inlineStr">
        <is>
          <t>To a moderate extent</t>
        </is>
      </c>
      <c r="BP122" s="3" t="inlineStr">
        <is>
          <t>To a moderate extent</t>
        </is>
      </c>
      <c r="BQ122" s="3" t="inlineStr">
        <is>
          <t>To a slight extent</t>
        </is>
      </c>
      <c r="BR122" s="3" t="inlineStr">
        <is>
          <t>Not at all</t>
        </is>
      </c>
      <c r="BS122" s="3" t="n"/>
      <c r="BT122" s="3" t="inlineStr">
        <is>
          <t>The IMF should not have dedicated any resources</t>
        </is>
      </c>
      <c r="BU122" s="3" t="inlineStr">
        <is>
          <t>To a moderate extent</t>
        </is>
      </c>
      <c r="BV122" s="3" t="inlineStr">
        <is>
          <t>To a moderate extent</t>
        </is>
      </c>
      <c r="BW122" s="3" t="inlineStr">
        <is>
          <t>To a slight extent</t>
        </is>
      </c>
      <c r="BX122" s="3" t="inlineStr">
        <is>
          <t>To a moderate extent</t>
        </is>
      </c>
      <c r="BY122" s="3" t="inlineStr">
        <is>
          <t>To a moderate extent</t>
        </is>
      </c>
      <c r="BZ122" s="3" t="inlineStr">
        <is>
          <t>To a moderate extent</t>
        </is>
      </c>
      <c r="CA122" s="3" t="inlineStr">
        <is>
          <t>To a moderate extent</t>
        </is>
      </c>
      <c r="CB122" s="3" t="inlineStr">
        <is>
          <t>To a moderate extent</t>
        </is>
      </c>
      <c r="CC122" s="3" t="inlineStr">
        <is>
          <t>To a moderate extent</t>
        </is>
      </c>
      <c r="CD122" s="3" t="inlineStr">
        <is>
          <t>To a moderate extent</t>
        </is>
      </c>
      <c r="CE122" s="3" t="inlineStr">
        <is>
          <t>To a moderate extent</t>
        </is>
      </c>
      <c r="CF122" s="3" t="inlineStr">
        <is>
          <t>To a moderate extent</t>
        </is>
      </c>
      <c r="CG122" s="3" t="n"/>
      <c r="CH122" s="3" t="inlineStr">
        <is>
          <t>No</t>
        </is>
      </c>
      <c r="CI122" s="3" t="inlineStr">
        <is>
          <t>No</t>
        </is>
      </c>
      <c r="CJ122" s="3" t="n"/>
      <c r="CK122" s="3" t="n"/>
      <c r="CL122" s="3" t="n"/>
      <c r="CM122" s="3" t="n"/>
      <c r="CN122" s="3" t="n"/>
      <c r="CO122" s="3" t="n"/>
      <c r="CP122" s="3" t="n"/>
      <c r="CQ122" s="3" t="n"/>
      <c r="CR122" s="3" t="n"/>
      <c r="CS122" s="3" t="n"/>
      <c r="CT122" s="3" t="n"/>
      <c r="CU122" s="3" t="n"/>
      <c r="CV122" s="3" t="n"/>
      <c r="CW122" s="3" t="n"/>
      <c r="CX122" s="3" t="n"/>
      <c r="CY122" s="3" t="n"/>
      <c r="CZ122" s="3" t="n"/>
      <c r="DA122" s="3" t="n"/>
      <c r="DB122" s="3" t="n"/>
      <c r="DC122" s="3" t="n"/>
      <c r="DD122" s="3" t="n"/>
      <c r="DE122" s="3" t="n"/>
      <c r="DF122" s="3" t="n"/>
      <c r="DG122" s="3" t="n"/>
      <c r="DH122" s="3" t="n"/>
      <c r="DI122" s="3" t="n"/>
      <c r="DJ122" s="3" t="n"/>
      <c r="DK122" s="3" t="n"/>
      <c r="DL122" s="3" t="n"/>
      <c r="DM122" s="3" t="n"/>
      <c r="DN122" s="3" t="n"/>
      <c r="DO122" s="3" t="n"/>
      <c r="DP122" s="3" t="n"/>
      <c r="DQ122" s="3" t="n"/>
      <c r="DR122" s="3" t="n"/>
      <c r="DS122" s="3" t="n"/>
      <c r="DT122" s="3" t="n"/>
      <c r="DU122" s="3" t="n"/>
      <c r="DV122" s="3" t="inlineStr">
        <is>
          <t>Other (please specify) : unwillingness by management</t>
        </is>
      </c>
      <c r="DW122" s="3" t="inlineStr">
        <is>
          <t>Yes</t>
        </is>
      </c>
      <c r="DX122" s="3" t="inlineStr">
        <is>
          <t>World Bank Group</t>
        </is>
      </c>
      <c r="DY122" s="3" t="n"/>
      <c r="DZ122" s="3" t="inlineStr">
        <is>
          <t>Bilateral sources</t>
        </is>
      </c>
      <c r="EA122" s="3" t="n"/>
      <c r="EB122" s="3" t="n"/>
      <c r="EC122" s="3" t="inlineStr">
        <is>
          <t>Not at all</t>
        </is>
      </c>
      <c r="ED122" s="3" t="inlineStr">
        <is>
          <t>Not at all</t>
        </is>
      </c>
      <c r="EE122" s="3" t="inlineStr">
        <is>
          <t>Not at all</t>
        </is>
      </c>
      <c r="EF122" s="3" t="inlineStr">
        <is>
          <t>Not at all</t>
        </is>
      </c>
      <c r="EG122" s="3" t="inlineStr">
        <is>
          <t>Not at all</t>
        </is>
      </c>
      <c r="EH122" s="3" t="inlineStr">
        <is>
          <t>Not at all</t>
        </is>
      </c>
      <c r="EI122" s="3" t="inlineStr">
        <is>
          <t>Not at all</t>
        </is>
      </c>
      <c r="EJ122" s="3" t="inlineStr">
        <is>
          <t>To a great extent</t>
        </is>
      </c>
      <c r="EK122" s="3" t="inlineStr">
        <is>
          <t>To a great extent</t>
        </is>
      </c>
      <c r="EL122" s="3" t="inlineStr">
        <is>
          <t>To a great extent</t>
        </is>
      </c>
      <c r="EM122" s="3" t="n"/>
      <c r="EN122" s="3" t="n"/>
      <c r="EO122" s="3" t="n"/>
      <c r="EP122" s="3" t="n"/>
      <c r="EQ122" s="3" t="inlineStr">
        <is>
          <t>To a slight extent</t>
        </is>
      </c>
      <c r="ER122" s="3" t="inlineStr">
        <is>
          <t>Not at all</t>
        </is>
      </c>
      <c r="ES122" s="3" t="n"/>
      <c r="ET122" s="3" t="inlineStr">
        <is>
          <t>Not at all</t>
        </is>
      </c>
      <c r="EU122" s="3" t="inlineStr">
        <is>
          <t>Not at all</t>
        </is>
      </c>
      <c r="EV122" s="3" t="inlineStr">
        <is>
          <t>Not at all</t>
        </is>
      </c>
      <c r="EW122" s="3" t="inlineStr">
        <is>
          <t>Not at all</t>
        </is>
      </c>
      <c r="EX122" s="3" t="n"/>
      <c r="EY122" s="3" t="inlineStr">
        <is>
          <t>Not at all</t>
        </is>
      </c>
      <c r="EZ122" s="3" t="inlineStr">
        <is>
          <t>Not at all</t>
        </is>
      </c>
      <c r="FA122" s="3" t="inlineStr">
        <is>
          <t>Not at all</t>
        </is>
      </c>
      <c r="FB122" s="3" t="inlineStr">
        <is>
          <t>Not at all</t>
        </is>
      </c>
      <c r="FC122" s="3" t="inlineStr">
        <is>
          <t>Not at all</t>
        </is>
      </c>
      <c r="FD122" s="3" t="inlineStr">
        <is>
          <t>Not at all</t>
        </is>
      </c>
      <c r="FE122" s="3" t="inlineStr">
        <is>
          <t>Not at all</t>
        </is>
      </c>
      <c r="FF122" s="3" t="inlineStr">
        <is>
          <t>Not at all</t>
        </is>
      </c>
      <c r="FG122" s="3" t="inlineStr">
        <is>
          <t>Not at all</t>
        </is>
      </c>
      <c r="FH122" s="3" t="n"/>
      <c r="FI122" s="3" t="n"/>
      <c r="FJ122" s="3" t="n"/>
      <c r="FK122" s="3" t="n"/>
      <c r="FL122" s="3" t="n"/>
      <c r="FM122" s="3" t="n"/>
      <c r="FN122" s="3" t="n"/>
      <c r="FO122" s="3" t="n"/>
      <c r="FP122" s="3" t="n"/>
      <c r="FQ122" s="3" t="n"/>
      <c r="FR122" s="3" t="inlineStr">
        <is>
          <t>Don’t know or not applicable</t>
        </is>
      </c>
      <c r="FS122" s="3" t="inlineStr">
        <is>
          <t>Don’t know or not applicable</t>
        </is>
      </c>
      <c r="FT122" s="3" t="inlineStr">
        <is>
          <t>Don’t know or not applicable</t>
        </is>
      </c>
      <c r="FU122" s="3" t="inlineStr">
        <is>
          <t>Don’t know or not applicable</t>
        </is>
      </c>
      <c r="FV122" s="3" t="n"/>
      <c r="FW122" s="3" t="n"/>
      <c r="FX122" s="3" t="n"/>
      <c r="FY122" s="3" t="inlineStr">
        <is>
          <t>Not at all</t>
        </is>
      </c>
      <c r="FZ122" s="3" t="inlineStr">
        <is>
          <t>Not at all</t>
        </is>
      </c>
      <c r="GA122" s="3" t="inlineStr">
        <is>
          <t>Not at all</t>
        </is>
      </c>
      <c r="GB122" s="3" t="inlineStr">
        <is>
          <t>Not at all</t>
        </is>
      </c>
      <c r="GC122" s="3" t="inlineStr">
        <is>
          <t>Don’t know or not applicable</t>
        </is>
      </c>
      <c r="GD122" s="3" t="n"/>
      <c r="GE122" s="3" t="inlineStr">
        <is>
          <t>To a moderate extent</t>
        </is>
      </c>
      <c r="GF122" s="3" t="inlineStr">
        <is>
          <t>Not at all</t>
        </is>
      </c>
      <c r="GG122" s="3" t="inlineStr">
        <is>
          <t>To a great extent</t>
        </is>
      </c>
      <c r="GH122" s="3" t="inlineStr">
        <is>
          <t>To a moderate extent</t>
        </is>
      </c>
      <c r="GI122" s="3" t="inlineStr">
        <is>
          <t>To a moderate extent</t>
        </is>
      </c>
      <c r="GJ122" s="3" t="inlineStr">
        <is>
          <t>To a great extent</t>
        </is>
      </c>
      <c r="GK122" s="3" t="n"/>
      <c r="GL122" s="5">
        <f>DATE(2025,5,16)+TIME(11,41,46)</f>
        <v/>
      </c>
    </row>
    <row r="123" ht="126" customHeight="1">
      <c r="A123" s="6" t="inlineStr">
        <is>
          <t>Felix</t>
        </is>
      </c>
      <c r="B123" s="6" t="inlineStr">
        <is>
          <t>Asante</t>
        </is>
      </c>
      <c r="C123" s="6" t="inlineStr">
        <is>
          <t>fasante@organization.org</t>
        </is>
      </c>
      <c r="D123" s="6" t="inlineStr">
        <is>
          <t>FF3VQKBGL</t>
        </is>
      </c>
      <c r="E123" s="6" t="n"/>
      <c r="F123" s="6" t="inlineStr">
        <is>
          <t>OEDBR</t>
        </is>
      </c>
      <c r="G123" s="6" t="n"/>
      <c r="H123" s="6" t="n"/>
      <c r="I123" s="6" t="n"/>
      <c r="J123" s="6" t="n"/>
      <c r="K123" s="6" t="n"/>
      <c r="L123" s="6" t="inlineStr">
        <is>
          <t>Suriname</t>
        </is>
      </c>
      <c r="M123" s="6" t="n"/>
      <c r="N123" s="6" t="n"/>
      <c r="O123" s="6" t="n"/>
      <c r="P123" s="6" t="n"/>
      <c r="Q123" s="6" t="n"/>
      <c r="R123" s="6" t="n"/>
      <c r="S123" s="6" t="n"/>
      <c r="T123" s="6" t="n"/>
      <c r="U123" s="6" t="n"/>
      <c r="V123" s="6" t="n"/>
      <c r="W123" s="6" t="n"/>
      <c r="X123" s="6" t="n"/>
      <c r="Y123" s="6" t="n"/>
      <c r="Z123" s="6" t="n"/>
      <c r="AA123" s="6" t="n"/>
      <c r="AB123" s="6" t="n"/>
      <c r="AC123" s="6" t="n"/>
      <c r="AD123" s="6" t="n"/>
      <c r="AE123" s="6" t="n"/>
      <c r="AF123" s="4" t="inlineStr">
        <is>
          <t>Suriname</t>
        </is>
      </c>
      <c r="AG123" s="6" t="inlineStr">
        <is>
          <t>The IMF should engage more on climate change-related issues</t>
        </is>
      </c>
      <c r="AH123" s="6" t="inlineStr">
        <is>
          <t>To a great extent</t>
        </is>
      </c>
      <c r="AI123" s="6" t="inlineStr">
        <is>
          <t>To a moderate extent</t>
        </is>
      </c>
      <c r="AJ123" s="6" t="inlineStr">
        <is>
          <t>To a moderate extent</t>
        </is>
      </c>
      <c r="AK123" s="6" t="inlineStr">
        <is>
          <t>To a slight extent</t>
        </is>
      </c>
      <c r="AL123" s="6" t="inlineStr">
        <is>
          <t>Not at all</t>
        </is>
      </c>
      <c r="AM123" s="6" t="inlineStr">
        <is>
          <t>Not at all</t>
        </is>
      </c>
      <c r="AN123" s="6" t="inlineStr">
        <is>
          <t>Not at all</t>
        </is>
      </c>
      <c r="AO123" s="6" t="inlineStr">
        <is>
          <t>Not at all</t>
        </is>
      </c>
      <c r="AP123" s="6" t="inlineStr">
        <is>
          <t>Not at all</t>
        </is>
      </c>
      <c r="AQ123" s="6" t="inlineStr">
        <is>
          <t>Not at all</t>
        </is>
      </c>
      <c r="AR123" s="6" t="inlineStr">
        <is>
          <t>Not at all</t>
        </is>
      </c>
      <c r="AS123" s="6" t="n"/>
      <c r="AT123" s="6" t="inlineStr">
        <is>
          <t>To a slight extent</t>
        </is>
      </c>
      <c r="AU123" s="6" t="inlineStr">
        <is>
          <t>To a slight extent</t>
        </is>
      </c>
      <c r="AV123" s="6" t="inlineStr">
        <is>
          <t>Not at all</t>
        </is>
      </c>
      <c r="AW123" s="6" t="inlineStr">
        <is>
          <t>To a slight extent</t>
        </is>
      </c>
      <c r="AX123" s="6" t="inlineStr">
        <is>
          <t>Not at all</t>
        </is>
      </c>
      <c r="AY123" s="6" t="inlineStr">
        <is>
          <t>Not at all</t>
        </is>
      </c>
      <c r="AZ123" s="6" t="inlineStr">
        <is>
          <t>To a slight extent</t>
        </is>
      </c>
      <c r="BA123" s="6" t="inlineStr">
        <is>
          <t>Not at all</t>
        </is>
      </c>
      <c r="BB123" s="6" t="inlineStr">
        <is>
          <t>To a slight extent</t>
        </is>
      </c>
      <c r="BC123" s="6" t="inlineStr">
        <is>
          <t>Not at all</t>
        </is>
      </c>
      <c r="BD123" s="6" t="inlineStr">
        <is>
          <t>Not at all</t>
        </is>
      </c>
      <c r="BE123" s="6" t="inlineStr">
        <is>
          <t>Not at all</t>
        </is>
      </c>
      <c r="BF123" s="6" t="inlineStr">
        <is>
          <t>Not at all</t>
        </is>
      </c>
      <c r="BG123" s="6" t="inlineStr">
        <is>
          <t>Not at all</t>
        </is>
      </c>
      <c r="BH123" s="6" t="inlineStr">
        <is>
          <t>Not at all</t>
        </is>
      </c>
      <c r="BI123" s="6" t="inlineStr">
        <is>
          <t>Not at all</t>
        </is>
      </c>
      <c r="BJ123" s="6" t="inlineStr">
        <is>
          <t>To a slight extent</t>
        </is>
      </c>
      <c r="BK123" s="6" t="inlineStr">
        <is>
          <t>Not at all</t>
        </is>
      </c>
      <c r="BL123" s="6" t="inlineStr">
        <is>
          <t>To a slight extent</t>
        </is>
      </c>
      <c r="BM123" s="6" t="inlineStr">
        <is>
          <t>Not at all</t>
        </is>
      </c>
      <c r="BN123" s="6" t="inlineStr">
        <is>
          <t>Not at all</t>
        </is>
      </c>
      <c r="BO123" s="6" t="inlineStr">
        <is>
          <t>Not at all</t>
        </is>
      </c>
      <c r="BP123" s="6" t="inlineStr">
        <is>
          <t>Not at all</t>
        </is>
      </c>
      <c r="BQ123" s="6" t="inlineStr">
        <is>
          <t>Not at all</t>
        </is>
      </c>
      <c r="BR123" s="6" t="inlineStr">
        <is>
          <t>To a slight extent</t>
        </is>
      </c>
      <c r="BS123" s="6" t="inlineStr">
        <is>
          <t>During Article IV mission in 2024, IMF Staff visited the National Environmental Authority (NMA) in Suriname.</t>
        </is>
      </c>
      <c r="BT123" s="6" t="inlineStr">
        <is>
          <t>The IMF should have dedicated more resources</t>
        </is>
      </c>
      <c r="BU123" s="6" t="inlineStr">
        <is>
          <t>To a great extent</t>
        </is>
      </c>
      <c r="BV123" s="6" t="inlineStr">
        <is>
          <t>To a great extent</t>
        </is>
      </c>
      <c r="BW123" s="6" t="inlineStr">
        <is>
          <t>To a moderate extent</t>
        </is>
      </c>
      <c r="BX123" s="6" t="inlineStr">
        <is>
          <t>To a moderate extent</t>
        </is>
      </c>
      <c r="BY123" s="6" t="inlineStr">
        <is>
          <t>To a moderate extent</t>
        </is>
      </c>
      <c r="BZ123" s="6" t="inlineStr">
        <is>
          <t>To a moderate extent</t>
        </is>
      </c>
      <c r="CA123" s="6" t="inlineStr">
        <is>
          <t>To a moderate extent</t>
        </is>
      </c>
      <c r="CB123" s="6" t="inlineStr">
        <is>
          <t>To a moderate extent</t>
        </is>
      </c>
      <c r="CC123" s="6" t="inlineStr">
        <is>
          <t>To a moderate extent</t>
        </is>
      </c>
      <c r="CD123" s="6" t="inlineStr">
        <is>
          <t>To a moderate extent</t>
        </is>
      </c>
      <c r="CE123" s="6" t="inlineStr">
        <is>
          <t>To a moderate extent</t>
        </is>
      </c>
      <c r="CF123" s="6" t="inlineStr">
        <is>
          <t>To a moderate extent</t>
        </is>
      </c>
      <c r="CG123" s="6" t="n"/>
      <c r="CH123" s="6" t="inlineStr">
        <is>
          <t>No</t>
        </is>
      </c>
      <c r="CI123" s="6" t="inlineStr">
        <is>
          <t>Yes</t>
        </is>
      </c>
      <c r="CJ123" s="6" t="n"/>
      <c r="CK123" s="6" t="n"/>
      <c r="CL123" s="6" t="n"/>
      <c r="CM123" s="6" t="n"/>
      <c r="CN123" s="6" t="n"/>
      <c r="CO123" s="6" t="n"/>
      <c r="CP123" s="6" t="n"/>
      <c r="CQ123" s="6" t="n"/>
      <c r="CR123" s="6" t="n"/>
      <c r="CS123" s="6" t="n"/>
      <c r="CT123" s="6" t="n"/>
      <c r="CU123" s="6" t="n"/>
      <c r="CV123" s="6" t="n"/>
      <c r="CW123" s="6" t="n"/>
      <c r="CX123" s="6" t="n"/>
      <c r="CY123" s="6" t="n"/>
      <c r="CZ123" s="6" t="n"/>
      <c r="DA123" s="6" t="n"/>
      <c r="DB123" s="6" t="n"/>
      <c r="DC123" s="6" t="n"/>
      <c r="DD123" s="6" t="n"/>
      <c r="DE123" s="6" t="n"/>
      <c r="DF123" s="6" t="n"/>
      <c r="DG123" s="6" t="n"/>
      <c r="DH123" s="6" t="n"/>
      <c r="DI123" s="6" t="n"/>
      <c r="DJ123" s="6" t="n"/>
      <c r="DK123" s="6" t="n"/>
      <c r="DL123" s="6" t="n"/>
      <c r="DM123" s="6" t="n"/>
      <c r="DN123" s="6" t="n"/>
      <c r="DO123" s="6" t="n"/>
      <c r="DP123" s="6" t="n"/>
      <c r="DQ123" s="6" t="n"/>
      <c r="DR123" s="6" t="n"/>
      <c r="DS123" s="6" t="n"/>
      <c r="DT123" s="6" t="n"/>
      <c r="DU123" s="6" t="n"/>
      <c r="DV123" s="6" t="inlineStr">
        <is>
          <t>Other (please specify) : Engagement between Suriname and the IMF for a program started in 2021. The RSF was not yet established and Surinamehad no running UCT program at that time.</t>
        </is>
      </c>
      <c r="DW123" s="6" t="inlineStr">
        <is>
          <t>Yes</t>
        </is>
      </c>
      <c r="DX123" s="6" t="n"/>
      <c r="DY123" s="6" t="n"/>
      <c r="DZ123" s="6" t="inlineStr">
        <is>
          <t>Bilateral sources</t>
        </is>
      </c>
      <c r="EA123" s="6" t="inlineStr">
        <is>
          <t>Private sources</t>
        </is>
      </c>
      <c r="EB123" s="6" t="n"/>
      <c r="EC123" s="6" t="inlineStr">
        <is>
          <t>Don’t know or not applicable</t>
        </is>
      </c>
      <c r="ED123" s="6" t="inlineStr">
        <is>
          <t>Don’t know or not applicable</t>
        </is>
      </c>
      <c r="EE123" s="6" t="inlineStr">
        <is>
          <t>Don’t know or not applicable</t>
        </is>
      </c>
      <c r="EF123" s="6" t="inlineStr">
        <is>
          <t>To a moderate extent</t>
        </is>
      </c>
      <c r="EG123" s="6" t="inlineStr">
        <is>
          <t>To a moderate extent</t>
        </is>
      </c>
      <c r="EH123" s="6" t="inlineStr">
        <is>
          <t>Don’t know or not applicable</t>
        </is>
      </c>
      <c r="EI123" s="6" t="inlineStr">
        <is>
          <t>To a great extent</t>
        </is>
      </c>
      <c r="EJ123" s="6" t="inlineStr">
        <is>
          <t>To a great extent</t>
        </is>
      </c>
      <c r="EK123" s="6" t="inlineStr">
        <is>
          <t>To a great extent</t>
        </is>
      </c>
      <c r="EL123" s="6" t="inlineStr">
        <is>
          <t>To a great extent</t>
        </is>
      </c>
      <c r="EM123" s="6" t="inlineStr">
        <is>
          <t>To a slight extent</t>
        </is>
      </c>
      <c r="EN123" s="6" t="inlineStr">
        <is>
          <t>Not at all</t>
        </is>
      </c>
      <c r="EO123" s="6" t="inlineStr">
        <is>
          <t>To a moderate extent</t>
        </is>
      </c>
      <c r="EP123" s="6" t="n"/>
      <c r="EQ123" s="6" t="inlineStr">
        <is>
          <t>Not at all</t>
        </is>
      </c>
      <c r="ER123" s="6" t="inlineStr">
        <is>
          <t>Not at all</t>
        </is>
      </c>
      <c r="ES123" s="6" t="n"/>
      <c r="ET123" s="6" t="n"/>
      <c r="EU123" s="6" t="n"/>
      <c r="EV123" s="6" t="n"/>
      <c r="EW123" s="6" t="n"/>
      <c r="EX123" s="6" t="n"/>
      <c r="EY123" s="6" t="n"/>
      <c r="EZ123" s="6" t="n"/>
      <c r="FA123" s="6" t="n"/>
      <c r="FB123" s="6" t="n"/>
      <c r="FC123" s="6" t="n"/>
      <c r="FD123" s="6" t="n"/>
      <c r="FE123" s="6" t="n"/>
      <c r="FF123" s="6" t="n"/>
      <c r="FG123" s="6" t="n"/>
      <c r="FH123" s="6" t="n"/>
      <c r="FI123" s="6" t="n"/>
      <c r="FJ123" s="6" t="n"/>
      <c r="FK123" s="6" t="n"/>
      <c r="FL123" s="6" t="n"/>
      <c r="FM123" s="6" t="n"/>
      <c r="FN123" s="6" t="n"/>
      <c r="FO123" s="6" t="n"/>
      <c r="FP123" s="6" t="n"/>
      <c r="FQ123" s="6" t="n"/>
      <c r="FR123" s="6" t="n"/>
      <c r="FS123" s="6" t="n"/>
      <c r="FT123" s="6" t="n"/>
      <c r="FU123" s="6" t="n"/>
      <c r="FV123" s="6" t="n"/>
      <c r="FW123" s="6" t="n"/>
      <c r="FX123" s="6" t="n"/>
      <c r="FY123" s="6" t="inlineStr">
        <is>
          <t>To a great extent</t>
        </is>
      </c>
      <c r="FZ123" s="6" t="inlineStr">
        <is>
          <t>To a moderate extent</t>
        </is>
      </c>
      <c r="GA123" s="6" t="inlineStr">
        <is>
          <t>To a great extent</t>
        </is>
      </c>
      <c r="GB123" s="6" t="inlineStr">
        <is>
          <t>To a moderate extent</t>
        </is>
      </c>
      <c r="GC123" s="6" t="inlineStr">
        <is>
          <t>Don’t know or not applicable</t>
        </is>
      </c>
      <c r="GD123" s="6" t="n"/>
      <c r="GE123" s="6" t="inlineStr">
        <is>
          <t>To a great extent</t>
        </is>
      </c>
      <c r="GF123" s="6" t="inlineStr">
        <is>
          <t>To a great extent</t>
        </is>
      </c>
      <c r="GG123" s="6" t="inlineStr">
        <is>
          <t>To a great extent</t>
        </is>
      </c>
      <c r="GH123" s="6" t="inlineStr">
        <is>
          <t>To a great extent</t>
        </is>
      </c>
      <c r="GI123" s="6" t="inlineStr">
        <is>
          <t>To a great extent</t>
        </is>
      </c>
      <c r="GJ123" s="6" t="inlineStr">
        <is>
          <t>To a great extent</t>
        </is>
      </c>
      <c r="GK123" s="6" t="inlineStr">
        <is>
          <t>Assist countries in setting up robust climate change frameworks and capacity for policy purposes, but to also enable access to climate financing.</t>
        </is>
      </c>
      <c r="GL123" s="7">
        <f>DATE(2025,7,11)+TIME(15,21,29)</f>
        <v/>
      </c>
    </row>
    <row r="124" ht="47.25" customHeight="1">
      <c r="A124" s="3" t="inlineStr">
        <is>
          <t>Suki</t>
        </is>
      </c>
      <c r="B124" s="3" t="inlineStr">
        <is>
          <t>Watanabe</t>
        </is>
      </c>
      <c r="C124" s="3" t="inlineStr">
        <is>
          <t>swatanabe@organization.org</t>
        </is>
      </c>
      <c r="D124" s="3" t="inlineStr">
        <is>
          <t>H9910ZQHV</t>
        </is>
      </c>
      <c r="E124" s="3" t="n"/>
      <c r="F124" s="3" t="inlineStr">
        <is>
          <t>OEDJA</t>
        </is>
      </c>
      <c r="G124" s="3" t="n"/>
      <c r="H124" s="3" t="n"/>
      <c r="I124" s="3" t="n"/>
      <c r="J124" s="3" t="n"/>
      <c r="K124" s="3" t="n"/>
      <c r="L124" s="3" t="n"/>
      <c r="M124" s="3" t="n"/>
      <c r="N124" s="3" t="n"/>
      <c r="O124" s="3" t="n"/>
      <c r="P124" s="3" t="n"/>
      <c r="Q124" s="3" t="n"/>
      <c r="R124" s="3" t="n"/>
      <c r="S124" s="3" t="n"/>
      <c r="T124" s="3" t="n"/>
      <c r="U124" s="3" t="inlineStr">
        <is>
          <t>Japan</t>
        </is>
      </c>
      <c r="V124" s="3" t="n"/>
      <c r="W124" s="3" t="n"/>
      <c r="X124" s="3" t="n"/>
      <c r="Y124" s="3" t="n"/>
      <c r="Z124" s="3" t="n"/>
      <c r="AA124" s="3" t="n"/>
      <c r="AB124" s="3" t="n"/>
      <c r="AC124" s="3" t="n"/>
      <c r="AD124" s="3" t="n"/>
      <c r="AE124" s="3" t="n"/>
      <c r="AF124" s="4" t="inlineStr">
        <is>
          <t>Japan</t>
        </is>
      </c>
      <c r="AG124" s="3" t="inlineStr">
        <is>
          <t>The IMF should engage less on climate change-related issues</t>
        </is>
      </c>
      <c r="AH124" s="3" t="inlineStr">
        <is>
          <t>Not at all</t>
        </is>
      </c>
      <c r="AI124" s="3" t="inlineStr">
        <is>
          <t>To a slight extent</t>
        </is>
      </c>
      <c r="AJ124" s="3" t="inlineStr">
        <is>
          <t>Not at all</t>
        </is>
      </c>
      <c r="AK124" s="3" t="inlineStr">
        <is>
          <t>Not at all</t>
        </is>
      </c>
      <c r="AL124" s="3" t="inlineStr">
        <is>
          <t>To a slight extent</t>
        </is>
      </c>
      <c r="AM124" s="3" t="inlineStr">
        <is>
          <t>Don’t know or not applicable</t>
        </is>
      </c>
      <c r="AN124" s="3" t="inlineStr">
        <is>
          <t>Not at all</t>
        </is>
      </c>
      <c r="AO124" s="3" t="inlineStr">
        <is>
          <t>Don’t know or not applicable</t>
        </is>
      </c>
      <c r="AP124" s="3" t="inlineStr">
        <is>
          <t>Don’t know or not applicable</t>
        </is>
      </c>
      <c r="AQ124" s="3" t="inlineStr">
        <is>
          <t>Not at all</t>
        </is>
      </c>
      <c r="AR124" s="3" t="inlineStr">
        <is>
          <t>Not at all</t>
        </is>
      </c>
      <c r="AS124" s="3" t="n"/>
      <c r="AT124" s="3" t="inlineStr">
        <is>
          <t>Not at all</t>
        </is>
      </c>
      <c r="AU124" s="3" t="inlineStr">
        <is>
          <t>Not at all</t>
        </is>
      </c>
      <c r="AV124" s="3" t="inlineStr">
        <is>
          <t>Don’t know or not applicable</t>
        </is>
      </c>
      <c r="AW124" s="3" t="inlineStr">
        <is>
          <t>Not at all</t>
        </is>
      </c>
      <c r="AX124" s="3" t="inlineStr">
        <is>
          <t>Not at all</t>
        </is>
      </c>
      <c r="AY124" s="3" t="inlineStr">
        <is>
          <t>To a slight extent</t>
        </is>
      </c>
      <c r="AZ124" s="3" t="inlineStr">
        <is>
          <t>Not at all</t>
        </is>
      </c>
      <c r="BA124" s="3" t="inlineStr">
        <is>
          <t>To a great extent</t>
        </is>
      </c>
      <c r="BB124" s="3" t="inlineStr">
        <is>
          <t>Not at all</t>
        </is>
      </c>
      <c r="BC124" s="3" t="inlineStr">
        <is>
          <t>Not at all</t>
        </is>
      </c>
      <c r="BD124" s="3" t="inlineStr">
        <is>
          <t>To a slight extent</t>
        </is>
      </c>
      <c r="BE124" s="3" t="inlineStr">
        <is>
          <t>Not at all</t>
        </is>
      </c>
      <c r="BF124" s="3" t="inlineStr">
        <is>
          <t>Don’t know or not applicable</t>
        </is>
      </c>
      <c r="BG124" s="3" t="inlineStr">
        <is>
          <t>Not at all</t>
        </is>
      </c>
      <c r="BH124" s="3" t="inlineStr">
        <is>
          <t>Not at all</t>
        </is>
      </c>
      <c r="BI124" s="3" t="inlineStr">
        <is>
          <t>To a slight extent</t>
        </is>
      </c>
      <c r="BJ124" s="3" t="inlineStr">
        <is>
          <t>Not at all</t>
        </is>
      </c>
      <c r="BK124" s="3" t="inlineStr">
        <is>
          <t>To a great extent</t>
        </is>
      </c>
      <c r="BL124" s="3" t="inlineStr">
        <is>
          <t>Not at all</t>
        </is>
      </c>
      <c r="BM124" s="3" t="inlineStr">
        <is>
          <t>Not at all</t>
        </is>
      </c>
      <c r="BN124" s="3" t="inlineStr">
        <is>
          <t>Don’t know or not applicable</t>
        </is>
      </c>
      <c r="BO124" s="3" t="inlineStr">
        <is>
          <t>To a moderate extent</t>
        </is>
      </c>
      <c r="BP124" s="3" t="inlineStr">
        <is>
          <t>Don’t know or not applicable</t>
        </is>
      </c>
      <c r="BQ124" s="3" t="inlineStr">
        <is>
          <t>Don’t know or not applicable</t>
        </is>
      </c>
      <c r="BR124" s="3" t="inlineStr">
        <is>
          <t>Don’t know or not applicable</t>
        </is>
      </c>
      <c r="BS124" s="3" t="n"/>
      <c r="BT124" s="3" t="inlineStr">
        <is>
          <t>The IMF should have dedicated less resources</t>
        </is>
      </c>
      <c r="BU124" s="3" t="inlineStr">
        <is>
          <t>To a slight extent</t>
        </is>
      </c>
      <c r="BV124" s="3" t="inlineStr">
        <is>
          <t>To a slight extent</t>
        </is>
      </c>
      <c r="BW124" s="3" t="inlineStr">
        <is>
          <t>To a slight extent</t>
        </is>
      </c>
      <c r="BX124" s="3" t="inlineStr">
        <is>
          <t>To a slight extent</t>
        </is>
      </c>
      <c r="BY124" s="3" t="inlineStr">
        <is>
          <t>To a slight extent</t>
        </is>
      </c>
      <c r="BZ124" s="3" t="inlineStr">
        <is>
          <t>To a slight extent</t>
        </is>
      </c>
      <c r="CA124" s="3" t="inlineStr">
        <is>
          <t>To a slight extent</t>
        </is>
      </c>
      <c r="CB124" s="3" t="inlineStr">
        <is>
          <t>To a slight extent</t>
        </is>
      </c>
      <c r="CC124" s="3" t="inlineStr">
        <is>
          <t>To a slight extent</t>
        </is>
      </c>
      <c r="CD124" s="3" t="inlineStr">
        <is>
          <t>Not at all</t>
        </is>
      </c>
      <c r="CE124" s="3" t="inlineStr">
        <is>
          <t>Not at all</t>
        </is>
      </c>
      <c r="CF124" s="3" t="inlineStr">
        <is>
          <t>Not at all</t>
        </is>
      </c>
      <c r="CG124" s="3" t="n"/>
      <c r="CH124" s="3" t="inlineStr">
        <is>
          <t>No</t>
        </is>
      </c>
      <c r="CI124" s="3" t="inlineStr">
        <is>
          <t>No</t>
        </is>
      </c>
      <c r="CJ124" s="3" t="n"/>
      <c r="CK124" s="3" t="n"/>
      <c r="CL124" s="3" t="n"/>
      <c r="CM124" s="3" t="n"/>
      <c r="CN124" s="3" t="n"/>
      <c r="CO124" s="3" t="n"/>
      <c r="CP124" s="3" t="n"/>
      <c r="CQ124" s="3" t="n"/>
      <c r="CR124" s="3" t="n"/>
      <c r="CS124" s="3" t="n"/>
      <c r="CT124" s="3" t="n"/>
      <c r="CU124" s="3" t="n"/>
      <c r="CV124" s="3" t="n"/>
      <c r="CW124" s="3" t="n"/>
      <c r="CX124" s="3" t="n"/>
      <c r="CY124" s="3" t="n"/>
      <c r="CZ124" s="3" t="n"/>
      <c r="DA124" s="3" t="n"/>
      <c r="DB124" s="3" t="n"/>
      <c r="DC124" s="3" t="n"/>
      <c r="DD124" s="3" t="n"/>
      <c r="DE124" s="3" t="n"/>
      <c r="DF124" s="3" t="n"/>
      <c r="DG124" s="3" t="n"/>
      <c r="DH124" s="3" t="n"/>
      <c r="DI124" s="3" t="n"/>
      <c r="DJ124" s="3" t="n"/>
      <c r="DK124" s="3" t="n"/>
      <c r="DL124" s="3" t="n"/>
      <c r="DM124" s="3" t="n"/>
      <c r="DN124" s="3" t="n"/>
      <c r="DO124" s="3" t="n"/>
      <c r="DP124" s="3" t="inlineStr">
        <is>
          <t>My country is not eligible for an RSF arrangement</t>
        </is>
      </c>
      <c r="DQ124" s="3" t="n"/>
      <c r="DR124" s="3" t="n"/>
      <c r="DS124" s="3" t="n"/>
      <c r="DT124" s="3" t="n"/>
      <c r="DU124" s="3" t="n"/>
      <c r="DV124" s="3" t="n"/>
      <c r="DW124" s="3" t="inlineStr">
        <is>
          <t>Yes</t>
        </is>
      </c>
      <c r="DX124" s="3" t="n"/>
      <c r="DY124" s="3" t="n"/>
      <c r="DZ124" s="3" t="n"/>
      <c r="EA124" s="3" t="inlineStr">
        <is>
          <t>Private sources</t>
        </is>
      </c>
      <c r="EB124" s="3" t="n"/>
      <c r="EC124" s="3" t="inlineStr">
        <is>
          <t>Don’t know or not applicable</t>
        </is>
      </c>
      <c r="ED124" s="3" t="inlineStr">
        <is>
          <t>Don’t know or not applicable</t>
        </is>
      </c>
      <c r="EE124" s="3" t="inlineStr">
        <is>
          <t>Don’t know or not applicable</t>
        </is>
      </c>
      <c r="EF124" s="3" t="inlineStr">
        <is>
          <t>To a moderate extent</t>
        </is>
      </c>
      <c r="EG124" s="3" t="inlineStr">
        <is>
          <t>Not at all</t>
        </is>
      </c>
      <c r="EH124" s="3" t="inlineStr">
        <is>
          <t>Not at all</t>
        </is>
      </c>
      <c r="EI124" s="3" t="inlineStr">
        <is>
          <t>To a moderate extent</t>
        </is>
      </c>
      <c r="EJ124" s="3" t="inlineStr">
        <is>
          <t>Not at all</t>
        </is>
      </c>
      <c r="EK124" s="3" t="inlineStr">
        <is>
          <t>Not at all</t>
        </is>
      </c>
      <c r="EL124" s="3" t="inlineStr">
        <is>
          <t>To a moderate extent</t>
        </is>
      </c>
      <c r="EM124" s="3" t="n"/>
      <c r="EN124" s="3" t="n"/>
      <c r="EO124" s="3" t="n"/>
      <c r="EP124" s="3" t="n"/>
      <c r="EQ124" s="3" t="inlineStr">
        <is>
          <t>Not at all</t>
        </is>
      </c>
      <c r="ER124" s="3" t="inlineStr">
        <is>
          <t>Not at all</t>
        </is>
      </c>
      <c r="ES124" s="3" t="n"/>
      <c r="ET124" s="3" t="n"/>
      <c r="EU124" s="3" t="n"/>
      <c r="EV124" s="3" t="n"/>
      <c r="EW124" s="3" t="n"/>
      <c r="EX124" s="3" t="n"/>
      <c r="EY124" s="3" t="n"/>
      <c r="EZ124" s="3" t="n"/>
      <c r="FA124" s="3" t="n"/>
      <c r="FB124" s="3" t="n"/>
      <c r="FC124" s="3" t="n"/>
      <c r="FD124" s="3" t="n"/>
      <c r="FE124" s="3" t="n"/>
      <c r="FF124" s="3" t="n"/>
      <c r="FG124" s="3" t="n"/>
      <c r="FH124" s="3" t="n"/>
      <c r="FI124" s="3" t="n"/>
      <c r="FJ124" s="3" t="n"/>
      <c r="FK124" s="3" t="n"/>
      <c r="FL124" s="3" t="n"/>
      <c r="FM124" s="3" t="n"/>
      <c r="FN124" s="3" t="n"/>
      <c r="FO124" s="3" t="n"/>
      <c r="FP124" s="3" t="n"/>
      <c r="FQ124" s="3" t="n"/>
      <c r="FR124" s="3" t="n"/>
      <c r="FS124" s="3" t="n"/>
      <c r="FT124" s="3" t="n"/>
      <c r="FU124" s="3" t="n"/>
      <c r="FV124" s="3" t="n"/>
      <c r="FW124" s="3" t="n"/>
      <c r="FX124" s="3" t="n"/>
      <c r="FY124" s="3" t="inlineStr">
        <is>
          <t>To a slight extent</t>
        </is>
      </c>
      <c r="FZ124" s="3" t="inlineStr">
        <is>
          <t>Not at all</t>
        </is>
      </c>
      <c r="GA124" s="3" t="inlineStr">
        <is>
          <t>To a slight extent</t>
        </is>
      </c>
      <c r="GB124" s="3" t="inlineStr">
        <is>
          <t>Not at all</t>
        </is>
      </c>
      <c r="GC124" s="3" t="inlineStr">
        <is>
          <t>Don’t know or not applicable</t>
        </is>
      </c>
      <c r="GD124" s="3" t="n"/>
      <c r="GE124" s="3" t="inlineStr">
        <is>
          <t>To a slight extent</t>
        </is>
      </c>
      <c r="GF124" s="3" t="inlineStr">
        <is>
          <t>Not at all</t>
        </is>
      </c>
      <c r="GG124" s="3" t="inlineStr">
        <is>
          <t>To a moderate extent</t>
        </is>
      </c>
      <c r="GH124" s="3" t="inlineStr">
        <is>
          <t>Not at all</t>
        </is>
      </c>
      <c r="GI124" s="3" t="inlineStr">
        <is>
          <t>To a slight extent</t>
        </is>
      </c>
      <c r="GJ124" s="3" t="inlineStr">
        <is>
          <t>Not at all</t>
        </is>
      </c>
      <c r="GK124" s="3" t="n"/>
      <c r="GL124" s="5">
        <f>DATE(2025,5,16)+TIME(15,20,48)</f>
        <v/>
      </c>
    </row>
    <row r="125" ht="110.25" customHeight="1">
      <c r="A125" s="6" t="inlineStr">
        <is>
          <t>Nikolai</t>
        </is>
      </c>
      <c r="B125" s="6" t="inlineStr">
        <is>
          <t>Lopez</t>
        </is>
      </c>
      <c r="C125" s="6" t="inlineStr">
        <is>
          <t>nlopez@organization.org</t>
        </is>
      </c>
      <c r="D125" s="6" t="inlineStr">
        <is>
          <t>HRCAJ00S7</t>
        </is>
      </c>
      <c r="E125" s="6" t="n"/>
      <c r="F125" s="6" t="inlineStr">
        <is>
          <t>OEDSZ</t>
        </is>
      </c>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c r="AA125" s="6" t="n"/>
      <c r="AB125" s="6" t="n"/>
      <c r="AC125" s="6" t="inlineStr">
        <is>
          <t>Azerbaijan</t>
        </is>
      </c>
      <c r="AD125" s="6" t="n"/>
      <c r="AE125" s="6" t="n"/>
      <c r="AF125" s="4" t="inlineStr">
        <is>
          <t>Azerbaijan</t>
        </is>
      </c>
      <c r="AG125" s="6" t="inlineStr">
        <is>
          <t>The IMF should engage a similar amount on climate change-related issues</t>
        </is>
      </c>
      <c r="AH125" s="6" t="inlineStr">
        <is>
          <t>To a slight extent</t>
        </is>
      </c>
      <c r="AI125" s="6" t="inlineStr">
        <is>
          <t>Don’t know or not applicable</t>
        </is>
      </c>
      <c r="AJ125" s="6" t="inlineStr">
        <is>
          <t>Not at all</t>
        </is>
      </c>
      <c r="AK125" s="6" t="inlineStr">
        <is>
          <t>To a great extent</t>
        </is>
      </c>
      <c r="AL125" s="6" t="inlineStr">
        <is>
          <t>To a moderate extent</t>
        </is>
      </c>
      <c r="AM125" s="6" t="inlineStr">
        <is>
          <t>Not at all</t>
        </is>
      </c>
      <c r="AN125" s="6" t="inlineStr">
        <is>
          <t>To a slight extent</t>
        </is>
      </c>
      <c r="AO125" s="6" t="inlineStr">
        <is>
          <t>To a great extent</t>
        </is>
      </c>
      <c r="AP125" s="6" t="inlineStr">
        <is>
          <t>To a great extent</t>
        </is>
      </c>
      <c r="AQ125" s="6" t="inlineStr">
        <is>
          <t>Don’t know or not applicable</t>
        </is>
      </c>
      <c r="AR125" s="6" t="inlineStr">
        <is>
          <t>Don’t know or not applicable</t>
        </is>
      </c>
      <c r="AS125" s="6" t="n"/>
      <c r="AT125" s="6" t="inlineStr">
        <is>
          <t>Not at all</t>
        </is>
      </c>
      <c r="AU125" s="6" t="inlineStr">
        <is>
          <t>To a slight extent</t>
        </is>
      </c>
      <c r="AV125" s="6" t="inlineStr">
        <is>
          <t>Not at all</t>
        </is>
      </c>
      <c r="AW125" s="6" t="inlineStr">
        <is>
          <t>To a slight extent</t>
        </is>
      </c>
      <c r="AX125" s="6" t="inlineStr">
        <is>
          <t>Don’t know or not applicable</t>
        </is>
      </c>
      <c r="AY125" s="6" t="inlineStr">
        <is>
          <t>To a great extent</t>
        </is>
      </c>
      <c r="AZ125" s="6" t="inlineStr">
        <is>
          <t>To a moderate extent</t>
        </is>
      </c>
      <c r="BA125" s="6" t="inlineStr">
        <is>
          <t>Not at all</t>
        </is>
      </c>
      <c r="BB125" s="6" t="inlineStr">
        <is>
          <t>To a moderate extent</t>
        </is>
      </c>
      <c r="BC125" s="6" t="inlineStr">
        <is>
          <t>Don’t know or not applicable</t>
        </is>
      </c>
      <c r="BD125" s="6" t="inlineStr">
        <is>
          <t>To a great extent</t>
        </is>
      </c>
      <c r="BE125" s="6" t="inlineStr">
        <is>
          <t>To a great extent</t>
        </is>
      </c>
      <c r="BF125" s="6" t="inlineStr">
        <is>
          <t>Not at all</t>
        </is>
      </c>
      <c r="BG125" s="6" t="inlineStr">
        <is>
          <t>To a moderate extent</t>
        </is>
      </c>
      <c r="BH125" s="6" t="inlineStr">
        <is>
          <t>To a slight extent</t>
        </is>
      </c>
      <c r="BI125" s="6" t="inlineStr">
        <is>
          <t>To a great extent</t>
        </is>
      </c>
      <c r="BJ125" s="6" t="inlineStr">
        <is>
          <t>To a moderate extent</t>
        </is>
      </c>
      <c r="BK125" s="6" t="inlineStr">
        <is>
          <t>Not at all</t>
        </is>
      </c>
      <c r="BL125" s="6" t="inlineStr">
        <is>
          <t>To a moderate extent</t>
        </is>
      </c>
      <c r="BM125" s="6" t="inlineStr">
        <is>
          <t>Don’t know or not applicable</t>
        </is>
      </c>
      <c r="BN125" s="6" t="inlineStr">
        <is>
          <t>To a great extent</t>
        </is>
      </c>
      <c r="BO125" s="6" t="inlineStr">
        <is>
          <t>To a slight extent</t>
        </is>
      </c>
      <c r="BP125" s="6" t="inlineStr">
        <is>
          <t>Don’t know or not applicable</t>
        </is>
      </c>
      <c r="BQ125" s="6" t="inlineStr">
        <is>
          <t>Don’t know or not applicable</t>
        </is>
      </c>
      <c r="BR125" s="6" t="inlineStr">
        <is>
          <t>Don’t know or not applicable</t>
        </is>
      </c>
      <c r="BS125" s="6" t="n"/>
      <c r="BT125" s="6" t="inlineStr">
        <is>
          <t>The IMF dedicated an appropriate amount of resources</t>
        </is>
      </c>
      <c r="BU125" s="6" t="inlineStr">
        <is>
          <t>To a moderate extent</t>
        </is>
      </c>
      <c r="BV125" s="6" t="inlineStr">
        <is>
          <t>To a moderate extent</t>
        </is>
      </c>
      <c r="BW125" s="6" t="inlineStr">
        <is>
          <t>To a moderate extent</t>
        </is>
      </c>
      <c r="BX125" s="6" t="inlineStr">
        <is>
          <t>To a moderate extent</t>
        </is>
      </c>
      <c r="BY125" s="6" t="inlineStr">
        <is>
          <t>To a moderate extent</t>
        </is>
      </c>
      <c r="BZ125" s="6" t="inlineStr">
        <is>
          <t>To a moderate extent</t>
        </is>
      </c>
      <c r="CA125" s="6" t="inlineStr">
        <is>
          <t>To a moderate extent</t>
        </is>
      </c>
      <c r="CB125" s="6" t="inlineStr">
        <is>
          <t>To a moderate extent</t>
        </is>
      </c>
      <c r="CC125" s="6" t="inlineStr">
        <is>
          <t>To a moderate extent</t>
        </is>
      </c>
      <c r="CD125" s="6" t="inlineStr">
        <is>
          <t>To a moderate extent</t>
        </is>
      </c>
      <c r="CE125" s="6" t="inlineStr">
        <is>
          <t>To a moderate extent</t>
        </is>
      </c>
      <c r="CF125" s="6" t="inlineStr">
        <is>
          <t>To a moderate extent</t>
        </is>
      </c>
      <c r="CG125" s="6" t="n"/>
      <c r="CH125" s="6" t="inlineStr">
        <is>
          <t>No</t>
        </is>
      </c>
      <c r="CI125" s="6" t="inlineStr">
        <is>
          <t>No</t>
        </is>
      </c>
      <c r="CJ125" s="6" t="n"/>
      <c r="CK125" s="6" t="n"/>
      <c r="CL125" s="6" t="n"/>
      <c r="CM125" s="6" t="n"/>
      <c r="CN125" s="6" t="n"/>
      <c r="CO125" s="6" t="n"/>
      <c r="CP125" s="6" t="n"/>
      <c r="CQ125" s="6" t="n"/>
      <c r="CR125" s="6" t="n"/>
      <c r="CS125" s="6" t="n"/>
      <c r="CT125" s="6" t="n"/>
      <c r="CU125" s="6" t="n"/>
      <c r="CV125" s="6" t="n"/>
      <c r="CW125" s="6" t="n"/>
      <c r="CX125" s="6" t="n"/>
      <c r="CY125" s="6" t="n"/>
      <c r="CZ125" s="6" t="n"/>
      <c r="DA125" s="6" t="n"/>
      <c r="DB125" s="6" t="n"/>
      <c r="DC125" s="6" t="n"/>
      <c r="DD125" s="6" t="n"/>
      <c r="DE125" s="6" t="n"/>
      <c r="DF125" s="6" t="n"/>
      <c r="DG125" s="6" t="n"/>
      <c r="DH125" s="6" t="n"/>
      <c r="DI125" s="6" t="n"/>
      <c r="DJ125" s="6" t="n"/>
      <c r="DK125" s="6" t="n"/>
      <c r="DL125" s="6" t="n"/>
      <c r="DM125" s="6" t="n"/>
      <c r="DN125" s="6" t="n"/>
      <c r="DO125" s="6" t="n"/>
      <c r="DP125" s="6" t="inlineStr">
        <is>
          <t>My country is not eligible for an RSF arrangement</t>
        </is>
      </c>
      <c r="DQ125" s="6" t="inlineStr">
        <is>
          <t>Climate change does not pose a major balance of payments risk in my country</t>
        </is>
      </c>
      <c r="DR125" s="6" t="n"/>
      <c r="DS125" s="6" t="inlineStr">
        <is>
          <t>More convenient alternative financing options</t>
        </is>
      </c>
      <c r="DT125" s="6" t="n"/>
      <c r="DU125" s="6" t="inlineStr">
        <is>
          <t>An RSF arrangement would have been useful, but my country had no balance of payments issues/did not need/was not willing to commit to the underlying UCT program</t>
        </is>
      </c>
      <c r="DV125" s="6" t="n"/>
      <c r="DW125" s="6" t="inlineStr">
        <is>
          <t>Yes</t>
        </is>
      </c>
      <c r="DX125" s="6" t="n"/>
      <c r="DY125" s="6" t="inlineStr">
        <is>
          <t>Regional development banks</t>
        </is>
      </c>
      <c r="DZ125" s="6" t="n"/>
      <c r="EA125" s="6" t="n"/>
      <c r="EB125" s="6" t="n"/>
      <c r="EC125" s="6" t="inlineStr">
        <is>
          <t>Don’t know or not applicable</t>
        </is>
      </c>
      <c r="ED125" s="6" t="inlineStr">
        <is>
          <t>Not at all</t>
        </is>
      </c>
      <c r="EE125" s="6" t="inlineStr">
        <is>
          <t>Don’t know or not applicable</t>
        </is>
      </c>
      <c r="EF125" s="6" t="inlineStr">
        <is>
          <t>Don’t know or not applicable</t>
        </is>
      </c>
      <c r="EG125" s="6" t="inlineStr">
        <is>
          <t>Don’t know or not applicable</t>
        </is>
      </c>
      <c r="EH125" s="6" t="inlineStr">
        <is>
          <t>Don’t know or not applicable</t>
        </is>
      </c>
      <c r="EI125" s="6" t="inlineStr">
        <is>
          <t>Don’t know or not applicable</t>
        </is>
      </c>
      <c r="EJ125" s="6" t="inlineStr">
        <is>
          <t>Not at all</t>
        </is>
      </c>
      <c r="EK125" s="6" t="inlineStr">
        <is>
          <t>To a moderate extent</t>
        </is>
      </c>
      <c r="EL125" s="6" t="inlineStr">
        <is>
          <t>To a moderate extent</t>
        </is>
      </c>
      <c r="EM125" s="6" t="n"/>
      <c r="EN125" s="6" t="n"/>
      <c r="EO125" s="6" t="n"/>
      <c r="EP125" s="6" t="n"/>
      <c r="EQ125" s="6" t="inlineStr">
        <is>
          <t>To a great extent</t>
        </is>
      </c>
      <c r="ER125" s="6" t="inlineStr">
        <is>
          <t>To a moderate extent</t>
        </is>
      </c>
      <c r="ES125" s="6" t="n"/>
      <c r="ET125" s="6" t="inlineStr">
        <is>
          <t>To a great extent</t>
        </is>
      </c>
      <c r="EU125" s="6" t="inlineStr">
        <is>
          <t>To a moderate extent</t>
        </is>
      </c>
      <c r="EV125" s="6" t="inlineStr">
        <is>
          <t>To a great extent</t>
        </is>
      </c>
      <c r="EW125" s="6" t="n"/>
      <c r="EX125" s="6" t="n"/>
      <c r="EY125" s="6" t="inlineStr">
        <is>
          <t>To a moderate extent</t>
        </is>
      </c>
      <c r="EZ125" s="6" t="inlineStr">
        <is>
          <t>Not at all</t>
        </is>
      </c>
      <c r="FA125" s="6" t="inlineStr">
        <is>
          <t>To a moderate extent</t>
        </is>
      </c>
      <c r="FB125" s="6" t="inlineStr">
        <is>
          <t>To a moderate extent</t>
        </is>
      </c>
      <c r="FC125" s="6" t="inlineStr">
        <is>
          <t>To a moderate extent</t>
        </is>
      </c>
      <c r="FD125" s="6" t="inlineStr">
        <is>
          <t>Don’t know or not applicable</t>
        </is>
      </c>
      <c r="FE125" s="6" t="inlineStr">
        <is>
          <t>To a slight extent</t>
        </is>
      </c>
      <c r="FF125" s="6" t="inlineStr">
        <is>
          <t>Not at all</t>
        </is>
      </c>
      <c r="FG125" s="6" t="inlineStr">
        <is>
          <t>To a moderate extent</t>
        </is>
      </c>
      <c r="FH125" s="6" t="inlineStr">
        <is>
          <t>To a moderate extent</t>
        </is>
      </c>
      <c r="FI125" s="6" t="inlineStr">
        <is>
          <t>To a moderate extent</t>
        </is>
      </c>
      <c r="FJ125" s="6" t="inlineStr">
        <is>
          <t>Not at all</t>
        </is>
      </c>
      <c r="FK125" s="6" t="inlineStr">
        <is>
          <t>To a great extent</t>
        </is>
      </c>
      <c r="FL125" s="6" t="inlineStr">
        <is>
          <t>To a moderate extent</t>
        </is>
      </c>
      <c r="FM125" s="6" t="inlineStr">
        <is>
          <t>To a moderate extent</t>
        </is>
      </c>
      <c r="FN125" s="6" t="inlineStr">
        <is>
          <t>Don’t know or not applicable</t>
        </is>
      </c>
      <c r="FO125" s="6" t="inlineStr">
        <is>
          <t>To a slight extent</t>
        </is>
      </c>
      <c r="FP125" s="6" t="inlineStr">
        <is>
          <t>Not at all</t>
        </is>
      </c>
      <c r="FQ125" s="6" t="inlineStr">
        <is>
          <t>To a moderate extent</t>
        </is>
      </c>
      <c r="FR125" s="6" t="inlineStr">
        <is>
          <t>To a moderate extent</t>
        </is>
      </c>
      <c r="FS125" s="6" t="inlineStr">
        <is>
          <t>To a slight extent</t>
        </is>
      </c>
      <c r="FT125" s="6" t="inlineStr">
        <is>
          <t>Don’t know or not applicable</t>
        </is>
      </c>
      <c r="FU125" s="6" t="inlineStr">
        <is>
          <t>Don’t know or not applicable</t>
        </is>
      </c>
      <c r="FV125" s="6" t="n"/>
      <c r="FW125" s="6" t="inlineStr">
        <is>
          <t>The IMF dedicated the appropriate amount of resources</t>
        </is>
      </c>
      <c r="FX125" s="6" t="n"/>
      <c r="FY125" s="6" t="inlineStr">
        <is>
          <t>To a moderate extent</t>
        </is>
      </c>
      <c r="FZ125" s="6" t="inlineStr">
        <is>
          <t>To a moderate extent</t>
        </is>
      </c>
      <c r="GA125" s="6" t="inlineStr">
        <is>
          <t>To a great extent</t>
        </is>
      </c>
      <c r="GB125" s="6" t="inlineStr">
        <is>
          <t>To a slight extent</t>
        </is>
      </c>
      <c r="GC125" s="6" t="inlineStr">
        <is>
          <t>Don’t know or not applicable</t>
        </is>
      </c>
      <c r="GD125" s="6" t="n"/>
      <c r="GE125" s="6" t="inlineStr">
        <is>
          <t>To a slight extent</t>
        </is>
      </c>
      <c r="GF125" s="6" t="inlineStr">
        <is>
          <t>To a slight extent</t>
        </is>
      </c>
      <c r="GG125" s="6" t="inlineStr">
        <is>
          <t>To a slight extent</t>
        </is>
      </c>
      <c r="GH125" s="6" t="inlineStr">
        <is>
          <t>To a slight extent</t>
        </is>
      </c>
      <c r="GI125" s="6" t="inlineStr">
        <is>
          <t>To a slight extent</t>
        </is>
      </c>
      <c r="GJ125" s="6" t="inlineStr">
        <is>
          <t>To a slight extent</t>
        </is>
      </c>
      <c r="GK125" s="6" t="n"/>
      <c r="GL125" s="7">
        <f>DATE(2025,5,21)+TIME(12,38,42)</f>
        <v/>
      </c>
    </row>
    <row r="126" ht="236.25" customHeight="1">
      <c r="A126" s="3" t="inlineStr">
        <is>
          <t>Chloe</t>
        </is>
      </c>
      <c r="B126" s="3" t="inlineStr">
        <is>
          <t>Johansson</t>
        </is>
      </c>
      <c r="C126" s="3" t="inlineStr">
        <is>
          <t>cjohansson@organization.org</t>
        </is>
      </c>
      <c r="D126" s="3" t="inlineStr">
        <is>
          <t>XFT9BXG28</t>
        </is>
      </c>
      <c r="E126" s="3" t="n"/>
      <c r="F126" s="3" t="inlineStr">
        <is>
          <t>OEDCO</t>
        </is>
      </c>
      <c r="G126" s="3" t="n"/>
      <c r="H126" s="3" t="n"/>
      <c r="I126" s="3" t="n"/>
      <c r="J126" s="3" t="n"/>
      <c r="K126" s="3" t="n"/>
      <c r="L126" s="3" t="n"/>
      <c r="M126" s="3" t="n"/>
      <c r="N126" s="3" t="n"/>
      <c r="O126" s="3" t="inlineStr">
        <is>
          <t>Republic of Ireland</t>
        </is>
      </c>
      <c r="P126" s="3" t="n"/>
      <c r="Q126" s="3" t="n"/>
      <c r="R126" s="3" t="n"/>
      <c r="S126" s="3" t="n"/>
      <c r="T126" s="3" t="n"/>
      <c r="U126" s="3" t="n"/>
      <c r="V126" s="3" t="n"/>
      <c r="W126" s="3" t="n"/>
      <c r="X126" s="3" t="n"/>
      <c r="Y126" s="3" t="n"/>
      <c r="Z126" s="3" t="n"/>
      <c r="AA126" s="3" t="n"/>
      <c r="AB126" s="3" t="n"/>
      <c r="AC126" s="3" t="n"/>
      <c r="AD126" s="3" t="n"/>
      <c r="AE126" s="3" t="n"/>
      <c r="AF126" s="4" t="inlineStr">
        <is>
          <t>Republic of Ireland</t>
        </is>
      </c>
      <c r="AG126" s="3" t="inlineStr">
        <is>
          <t>The IMF should engage a similar amount on climate change-related issues</t>
        </is>
      </c>
      <c r="AH126" s="3" t="inlineStr">
        <is>
          <t>To a moderate extent</t>
        </is>
      </c>
      <c r="AI126" s="3" t="inlineStr">
        <is>
          <t>To a great extent</t>
        </is>
      </c>
      <c r="AJ126" s="3" t="inlineStr">
        <is>
          <t>To a great extent</t>
        </is>
      </c>
      <c r="AK126" s="3" t="inlineStr">
        <is>
          <t>To a great extent</t>
        </is>
      </c>
      <c r="AL126" s="3" t="inlineStr">
        <is>
          <t>To a great extent</t>
        </is>
      </c>
      <c r="AM126" s="3" t="inlineStr">
        <is>
          <t>Don’t know or not applicable</t>
        </is>
      </c>
      <c r="AN126" s="3" t="inlineStr">
        <is>
          <t>Don’t know or not applicable</t>
        </is>
      </c>
      <c r="AO126" s="3" t="inlineStr">
        <is>
          <t>Don’t know or not applicable</t>
        </is>
      </c>
      <c r="AP126" s="3" t="inlineStr">
        <is>
          <t>Don’t know or not applicable</t>
        </is>
      </c>
      <c r="AQ126" s="3" t="inlineStr">
        <is>
          <t>To a great extent</t>
        </is>
      </c>
      <c r="AR126" s="3" t="inlineStr">
        <is>
          <t>To a great extent</t>
        </is>
      </c>
      <c r="AS126" s="3" t="n"/>
      <c r="AT126" s="3" t="inlineStr">
        <is>
          <t>To a moderate extent</t>
        </is>
      </c>
      <c r="AU126" s="3" t="inlineStr">
        <is>
          <t>To a moderate extent</t>
        </is>
      </c>
      <c r="AV126" s="3" t="inlineStr">
        <is>
          <t>Not at all</t>
        </is>
      </c>
      <c r="AW126" s="3" t="inlineStr">
        <is>
          <t>To a great extent</t>
        </is>
      </c>
      <c r="AX126" s="3" t="inlineStr">
        <is>
          <t>To a great extent</t>
        </is>
      </c>
      <c r="AY126" s="3" t="inlineStr">
        <is>
          <t>To a moderate extent</t>
        </is>
      </c>
      <c r="AZ126" s="3" t="inlineStr">
        <is>
          <t>To a great extent</t>
        </is>
      </c>
      <c r="BA126" s="3" t="inlineStr">
        <is>
          <t>Not at all</t>
        </is>
      </c>
      <c r="BB126" s="3" t="inlineStr">
        <is>
          <t>To a great extent</t>
        </is>
      </c>
      <c r="BC126" s="3" t="inlineStr">
        <is>
          <t>To a great extent</t>
        </is>
      </c>
      <c r="BD126" s="3" t="inlineStr">
        <is>
          <t>To a moderate extent</t>
        </is>
      </c>
      <c r="BE126" s="3" t="inlineStr">
        <is>
          <t>To a moderate extent</t>
        </is>
      </c>
      <c r="BF126" s="3" t="inlineStr">
        <is>
          <t>Not at all</t>
        </is>
      </c>
      <c r="BG126" s="3" t="inlineStr">
        <is>
          <t>To a great extent</t>
        </is>
      </c>
      <c r="BH126" s="3" t="inlineStr">
        <is>
          <t>To a great extent</t>
        </is>
      </c>
      <c r="BI126" s="3" t="inlineStr">
        <is>
          <t>To a moderate extent</t>
        </is>
      </c>
      <c r="BJ126" s="3" t="inlineStr">
        <is>
          <t>To a moderate extent</t>
        </is>
      </c>
      <c r="BK126" s="3" t="inlineStr">
        <is>
          <t>Not at all</t>
        </is>
      </c>
      <c r="BL126" s="3" t="inlineStr">
        <is>
          <t>To a great extent</t>
        </is>
      </c>
      <c r="BM126" s="3" t="inlineStr">
        <is>
          <t>To a great extent</t>
        </is>
      </c>
      <c r="BN126" s="3" t="inlineStr">
        <is>
          <t>To a moderate extent</t>
        </is>
      </c>
      <c r="BO126" s="3" t="inlineStr">
        <is>
          <t>Don’t know or not applicable</t>
        </is>
      </c>
      <c r="BP126" s="3" t="inlineStr">
        <is>
          <t>Don’t know or not applicable</t>
        </is>
      </c>
      <c r="BQ126" s="3" t="inlineStr">
        <is>
          <t>Don’t know or not applicable</t>
        </is>
      </c>
      <c r="BR126" s="3" t="inlineStr">
        <is>
          <t>Don’t know or not applicable</t>
        </is>
      </c>
      <c r="BS126" s="3" t="n"/>
      <c r="BT126" s="3" t="inlineStr">
        <is>
          <t>The IMF dedicated an appropriate amount of resources</t>
        </is>
      </c>
      <c r="BU126" s="3" t="inlineStr">
        <is>
          <t>To a great extent</t>
        </is>
      </c>
      <c r="BV126" s="3" t="inlineStr">
        <is>
          <t>To a moderate extent</t>
        </is>
      </c>
      <c r="BW126" s="3" t="inlineStr">
        <is>
          <t>To a moderate extent</t>
        </is>
      </c>
      <c r="BX126" s="3" t="inlineStr">
        <is>
          <t>To a great extent</t>
        </is>
      </c>
      <c r="BY126" s="3" t="inlineStr">
        <is>
          <t>To a moderate extent</t>
        </is>
      </c>
      <c r="BZ126" s="3" t="inlineStr">
        <is>
          <t>To a moderate extent</t>
        </is>
      </c>
      <c r="CA126" s="3" t="inlineStr">
        <is>
          <t>To a great extent</t>
        </is>
      </c>
      <c r="CB126" s="3" t="inlineStr">
        <is>
          <t>To a moderate extent</t>
        </is>
      </c>
      <c r="CC126" s="3" t="inlineStr">
        <is>
          <t>To a great extent</t>
        </is>
      </c>
      <c r="CD126" s="3" t="inlineStr">
        <is>
          <t>To a great extent</t>
        </is>
      </c>
      <c r="CE126" s="3" t="inlineStr">
        <is>
          <t>To a moderate extent</t>
        </is>
      </c>
      <c r="CF126" s="3" t="inlineStr">
        <is>
          <t>To a great extent</t>
        </is>
      </c>
      <c r="CG126" s="3" t="n"/>
      <c r="CH126" s="3" t="inlineStr">
        <is>
          <t>No</t>
        </is>
      </c>
      <c r="CI126" s="3" t="inlineStr">
        <is>
          <t>No</t>
        </is>
      </c>
      <c r="CJ126" s="3" t="n"/>
      <c r="CK126" s="3" t="n"/>
      <c r="CL126" s="3" t="n"/>
      <c r="CM126" s="3" t="n"/>
      <c r="CN126" s="3" t="n"/>
      <c r="CO126" s="3" t="n"/>
      <c r="CP126" s="3" t="n"/>
      <c r="CQ126" s="3" t="n"/>
      <c r="CR126" s="3" t="n"/>
      <c r="CS126" s="3" t="n"/>
      <c r="CT126" s="3" t="n"/>
      <c r="CU126" s="3" t="n"/>
      <c r="CV126" s="3" t="n"/>
      <c r="CW126" s="3" t="n"/>
      <c r="CX126" s="3" t="n"/>
      <c r="CY126" s="3" t="n"/>
      <c r="CZ126" s="3" t="n"/>
      <c r="DA126" s="3" t="n"/>
      <c r="DB126" s="3" t="n"/>
      <c r="DC126" s="3" t="n"/>
      <c r="DD126" s="3" t="n"/>
      <c r="DE126" s="3" t="n"/>
      <c r="DF126" s="3" t="n"/>
      <c r="DG126" s="3" t="n"/>
      <c r="DH126" s="3" t="n"/>
      <c r="DI126" s="3" t="n"/>
      <c r="DJ126" s="3" t="n"/>
      <c r="DK126" s="3" t="n"/>
      <c r="DL126" s="3" t="n"/>
      <c r="DM126" s="3" t="n"/>
      <c r="DN126" s="3" t="n"/>
      <c r="DO126" s="3" t="n"/>
      <c r="DP126" s="3" t="inlineStr">
        <is>
          <t>My country is not eligible for an RSF arrangement</t>
        </is>
      </c>
      <c r="DQ126" s="3" t="inlineStr">
        <is>
          <t>Climate change does not pose a major balance of payments risk in my country</t>
        </is>
      </c>
      <c r="DR126" s="3" t="n"/>
      <c r="DS126" s="3" t="n"/>
      <c r="DT126" s="3" t="n"/>
      <c r="DU126" s="3" t="n"/>
      <c r="DV126" s="3" t="n"/>
      <c r="DW126" s="3" t="inlineStr">
        <is>
          <t>No</t>
        </is>
      </c>
      <c r="DX126" s="3" t="n"/>
      <c r="DY126" s="3" t="n"/>
      <c r="DZ126" s="3" t="n"/>
      <c r="EA126" s="3" t="n"/>
      <c r="EB126" s="3" t="n"/>
      <c r="EC126" s="3" t="n"/>
      <c r="ED126" s="3" t="n"/>
      <c r="EE126" s="3" t="n"/>
      <c r="EF126" s="3" t="inlineStr">
        <is>
          <t>To a moderate extent</t>
        </is>
      </c>
      <c r="EG126" s="3" t="inlineStr">
        <is>
          <t>To a moderate extent</t>
        </is>
      </c>
      <c r="EH126" s="3" t="inlineStr">
        <is>
          <t>To a moderate extent</t>
        </is>
      </c>
      <c r="EI126" s="3" t="inlineStr">
        <is>
          <t>To a great extent</t>
        </is>
      </c>
      <c r="EJ126" s="3" t="inlineStr">
        <is>
          <t>To a moderate extent</t>
        </is>
      </c>
      <c r="EK126" s="3" t="inlineStr">
        <is>
          <t>Not at all</t>
        </is>
      </c>
      <c r="EL126" s="3" t="inlineStr">
        <is>
          <t>To a moderate extent</t>
        </is>
      </c>
      <c r="EM126" s="3" t="n"/>
      <c r="EN126" s="3" t="n"/>
      <c r="EO126" s="3" t="n"/>
      <c r="EP126" s="3" t="n"/>
      <c r="EQ126" s="3" t="inlineStr">
        <is>
          <t>Not at all</t>
        </is>
      </c>
      <c r="ER126" s="3" t="inlineStr">
        <is>
          <t>To a slight extent</t>
        </is>
      </c>
      <c r="ES126" s="3" t="n"/>
      <c r="ET126" s="3" t="n"/>
      <c r="EU126" s="3" t="n"/>
      <c r="EV126" s="3" t="n"/>
      <c r="EW126" s="3" t="n"/>
      <c r="EX126" s="3" t="n"/>
      <c r="EY126" s="3" t="n"/>
      <c r="EZ126" s="3" t="n"/>
      <c r="FA126" s="3" t="n"/>
      <c r="FB126" s="3" t="n"/>
      <c r="FC126" s="3" t="n"/>
      <c r="FD126" s="3" t="n"/>
      <c r="FE126" s="3" t="n"/>
      <c r="FF126" s="3" t="n"/>
      <c r="FG126" s="3" t="n"/>
      <c r="FH126" s="3" t="inlineStr">
        <is>
          <t>To a slight extent</t>
        </is>
      </c>
      <c r="FI126" s="3" t="inlineStr">
        <is>
          <t>Don’t know or not applicable</t>
        </is>
      </c>
      <c r="FJ126" s="3" t="inlineStr">
        <is>
          <t>Don’t know or not applicable</t>
        </is>
      </c>
      <c r="FK126" s="3" t="inlineStr">
        <is>
          <t>Don’t know or not applicable</t>
        </is>
      </c>
      <c r="FL126" s="3" t="inlineStr">
        <is>
          <t>To a slight extent</t>
        </is>
      </c>
      <c r="FM126" s="3" t="inlineStr">
        <is>
          <t>Don’t know or not applicable</t>
        </is>
      </c>
      <c r="FN126" s="3" t="inlineStr">
        <is>
          <t>Don’t know or not applicable</t>
        </is>
      </c>
      <c r="FO126" s="3" t="inlineStr">
        <is>
          <t>Don’t know or not applicable</t>
        </is>
      </c>
      <c r="FP126" s="3" t="inlineStr">
        <is>
          <t>Don’t know or not applicable</t>
        </is>
      </c>
      <c r="FQ126" s="3" t="inlineStr">
        <is>
          <t>To a slight extent</t>
        </is>
      </c>
      <c r="FR126" s="3" t="inlineStr">
        <is>
          <t>To a slight extent</t>
        </is>
      </c>
      <c r="FS126" s="3" t="inlineStr">
        <is>
          <t>Don’t know or not applicable</t>
        </is>
      </c>
      <c r="FT126" s="3" t="inlineStr">
        <is>
          <t>Don’t know or not applicable</t>
        </is>
      </c>
      <c r="FU126" s="3" t="n"/>
      <c r="FV126" s="3" t="n"/>
      <c r="FW126" s="3" t="inlineStr">
        <is>
          <t>The IMF dedicated the appropriate amount of resources</t>
        </is>
      </c>
      <c r="FX126" s="3" t="n"/>
      <c r="FY126" s="3" t="inlineStr">
        <is>
          <t>To a moderate extent</t>
        </is>
      </c>
      <c r="FZ126" s="3" t="inlineStr">
        <is>
          <t>To a moderate extent</t>
        </is>
      </c>
      <c r="GA126" s="3" t="inlineStr">
        <is>
          <t>To a great extent</t>
        </is>
      </c>
      <c r="GB126" s="3" t="inlineStr">
        <is>
          <t>To a slight extent</t>
        </is>
      </c>
      <c r="GC126" s="3" t="n"/>
      <c r="GD126" s="3" t="n"/>
      <c r="GE126" s="3" t="inlineStr">
        <is>
          <t>To a moderate extent</t>
        </is>
      </c>
      <c r="GF126" s="3" t="inlineStr">
        <is>
          <t>To a great extent</t>
        </is>
      </c>
      <c r="GG126" s="3" t="inlineStr">
        <is>
          <t>To a moderate extent</t>
        </is>
      </c>
      <c r="GH126" s="3" t="inlineStr">
        <is>
          <t>To a great extent</t>
        </is>
      </c>
      <c r="GI126" s="3" t="inlineStr">
        <is>
          <t>To a great extent</t>
        </is>
      </c>
      <c r="GJ126" s="3" t="inlineStr">
        <is>
          <t>To a great extent</t>
        </is>
      </c>
      <c r="GK126" s="3" t="inlineStr">
        <is>
          <t>Recognize that the IMF has made significant strides in its understanding and expertise in the area of climate change in recent years, with significant value for SDS. Consider that macrocritical aspects of climate change should continue to feature prominently in the IMF's focus going forward, across the bi- and multilateral surveillance, the lending toolkit and CD.</t>
        </is>
      </c>
      <c r="GL126" s="5">
        <f>DATE(2025,6,9)+TIME(16,28,56)</f>
        <v/>
      </c>
    </row>
    <row r="127" ht="299.25" customHeight="1">
      <c r="A127" s="6" t="inlineStr">
        <is>
          <t>Yuki</t>
        </is>
      </c>
      <c r="B127" s="6" t="inlineStr">
        <is>
          <t>Bakker</t>
        </is>
      </c>
      <c r="C127" s="6" t="inlineStr">
        <is>
          <t>ybakker@organization.org</t>
        </is>
      </c>
      <c r="D127" s="6" t="inlineStr">
        <is>
          <t>4PBAR82PC</t>
        </is>
      </c>
      <c r="E127" s="6" t="n"/>
      <c r="F127" s="6" t="inlineStr">
        <is>
          <t>OEDEC</t>
        </is>
      </c>
      <c r="G127" s="6" t="n"/>
      <c r="H127" s="6" t="n"/>
      <c r="I127" s="6" t="n"/>
      <c r="J127" s="6" t="n"/>
      <c r="K127" s="6" t="n"/>
      <c r="L127" s="6" t="n"/>
      <c r="M127" s="6" t="n"/>
      <c r="N127" s="6" t="n"/>
      <c r="O127" s="6" t="n"/>
      <c r="P127" s="6" t="inlineStr">
        <is>
          <t>Czech Republic</t>
        </is>
      </c>
      <c r="Q127" s="6" t="n"/>
      <c r="R127" s="6" t="n"/>
      <c r="S127" s="6" t="n"/>
      <c r="T127" s="6" t="n"/>
      <c r="U127" s="6" t="n"/>
      <c r="V127" s="6" t="n"/>
      <c r="W127" s="6" t="n"/>
      <c r="X127" s="6" t="n"/>
      <c r="Y127" s="6" t="n"/>
      <c r="Z127" s="6" t="n"/>
      <c r="AA127" s="6" t="n"/>
      <c r="AB127" s="6" t="n"/>
      <c r="AC127" s="6" t="n"/>
      <c r="AD127" s="6" t="n"/>
      <c r="AE127" s="6" t="n"/>
      <c r="AF127" s="4" t="inlineStr">
        <is>
          <t>Czech Republic</t>
        </is>
      </c>
      <c r="AG127" s="6" t="inlineStr">
        <is>
          <t>The IMF should engage less on climate change-related issues</t>
        </is>
      </c>
      <c r="AH127" s="6" t="inlineStr">
        <is>
          <t>Not at all</t>
        </is>
      </c>
      <c r="AI127" s="6" t="inlineStr">
        <is>
          <t>Not at all</t>
        </is>
      </c>
      <c r="AJ127" s="6" t="inlineStr">
        <is>
          <t>Don’t know or not applicable</t>
        </is>
      </c>
      <c r="AK127" s="6" t="inlineStr">
        <is>
          <t>Not at all</t>
        </is>
      </c>
      <c r="AL127" s="6" t="inlineStr">
        <is>
          <t>Not at all</t>
        </is>
      </c>
      <c r="AM127" s="6" t="inlineStr">
        <is>
          <t>Not at all</t>
        </is>
      </c>
      <c r="AN127" s="6" t="inlineStr">
        <is>
          <t>Not at all</t>
        </is>
      </c>
      <c r="AO127" s="6" t="inlineStr">
        <is>
          <t>Not at all</t>
        </is>
      </c>
      <c r="AP127" s="6" t="inlineStr">
        <is>
          <t>Not at all</t>
        </is>
      </c>
      <c r="AQ127" s="6" t="inlineStr">
        <is>
          <t>To a slight extent</t>
        </is>
      </c>
      <c r="AR127" s="6" t="inlineStr">
        <is>
          <t>Not at all</t>
        </is>
      </c>
      <c r="AS127" s="6" t="n"/>
      <c r="AT127" s="6" t="inlineStr">
        <is>
          <t>Not at all</t>
        </is>
      </c>
      <c r="AU127" s="6" t="inlineStr">
        <is>
          <t>To a slight extent</t>
        </is>
      </c>
      <c r="AV127" s="6" t="inlineStr">
        <is>
          <t>To a slight extent</t>
        </is>
      </c>
      <c r="AW127" s="6" t="inlineStr">
        <is>
          <t>Not at all</t>
        </is>
      </c>
      <c r="AX127" s="6" t="inlineStr">
        <is>
          <t>Not at all</t>
        </is>
      </c>
      <c r="AY127" s="6" t="inlineStr">
        <is>
          <t>To a slight extent</t>
        </is>
      </c>
      <c r="AZ127" s="6" t="inlineStr">
        <is>
          <t>To a moderate extent</t>
        </is>
      </c>
      <c r="BA127" s="6" t="inlineStr">
        <is>
          <t>To a moderate extent</t>
        </is>
      </c>
      <c r="BB127" s="6" t="inlineStr">
        <is>
          <t>Not at all</t>
        </is>
      </c>
      <c r="BC127" s="6" t="inlineStr">
        <is>
          <t>Not at all</t>
        </is>
      </c>
      <c r="BD127" s="6" t="inlineStr">
        <is>
          <t>To a slight extent</t>
        </is>
      </c>
      <c r="BE127" s="6" t="inlineStr">
        <is>
          <t>Don’t know or not applicable</t>
        </is>
      </c>
      <c r="BF127" s="6" t="inlineStr">
        <is>
          <t>Don’t know or not applicable</t>
        </is>
      </c>
      <c r="BG127" s="6" t="inlineStr">
        <is>
          <t>Don’t know or not applicable</t>
        </is>
      </c>
      <c r="BH127" s="6" t="inlineStr">
        <is>
          <t>Don’t know or not applicable</t>
        </is>
      </c>
      <c r="BI127" s="6" t="inlineStr">
        <is>
          <t>Don’t know or not applicable</t>
        </is>
      </c>
      <c r="BJ127" s="6" t="inlineStr">
        <is>
          <t>To a moderate extent</t>
        </is>
      </c>
      <c r="BK127" s="6" t="inlineStr">
        <is>
          <t>To a great extent</t>
        </is>
      </c>
      <c r="BL127" s="6" t="inlineStr">
        <is>
          <t>Not at all</t>
        </is>
      </c>
      <c r="BM127" s="6" t="inlineStr">
        <is>
          <t>Not at all</t>
        </is>
      </c>
      <c r="BN127" s="6" t="inlineStr">
        <is>
          <t>To a slight extent</t>
        </is>
      </c>
      <c r="BO127" s="6" t="inlineStr">
        <is>
          <t>Not at all</t>
        </is>
      </c>
      <c r="BP127" s="6" t="inlineStr">
        <is>
          <t>Not at all</t>
        </is>
      </c>
      <c r="BQ127" s="6" t="inlineStr">
        <is>
          <t>Not at all</t>
        </is>
      </c>
      <c r="BR127" s="6" t="n"/>
      <c r="BS127" s="6" t="n"/>
      <c r="BT127" s="6" t="inlineStr">
        <is>
          <t>The IMF should have dedicated less resources</t>
        </is>
      </c>
      <c r="BU127" s="6" t="inlineStr">
        <is>
          <t>To a slight extent</t>
        </is>
      </c>
      <c r="BV127" s="6" t="inlineStr">
        <is>
          <t>To a slight extent</t>
        </is>
      </c>
      <c r="BW127" s="6" t="inlineStr">
        <is>
          <t>To a slight extent</t>
        </is>
      </c>
      <c r="BX127" s="6" t="inlineStr">
        <is>
          <t>To a slight extent</t>
        </is>
      </c>
      <c r="BY127" s="6" t="inlineStr">
        <is>
          <t>To a slight extent</t>
        </is>
      </c>
      <c r="BZ127" s="6" t="inlineStr">
        <is>
          <t>To a slight extent</t>
        </is>
      </c>
      <c r="CA127" s="6" t="inlineStr">
        <is>
          <t>To a slight extent</t>
        </is>
      </c>
      <c r="CB127" s="6" t="inlineStr">
        <is>
          <t>To a slight extent</t>
        </is>
      </c>
      <c r="CC127" s="6" t="inlineStr">
        <is>
          <t>To a slight extent</t>
        </is>
      </c>
      <c r="CD127" s="6" t="inlineStr">
        <is>
          <t>To a slight extent</t>
        </is>
      </c>
      <c r="CE127" s="6" t="inlineStr">
        <is>
          <t>To a slight extent</t>
        </is>
      </c>
      <c r="CF127" s="6" t="inlineStr">
        <is>
          <t>To a slight extent</t>
        </is>
      </c>
      <c r="CG127" s="6" t="n"/>
      <c r="CH127" s="6" t="inlineStr">
        <is>
          <t>No</t>
        </is>
      </c>
      <c r="CI127" s="6" t="inlineStr">
        <is>
          <t>No</t>
        </is>
      </c>
      <c r="CJ127" s="6" t="n"/>
      <c r="CK127" s="6" t="n"/>
      <c r="CL127" s="6" t="n"/>
      <c r="CM127" s="6" t="n"/>
      <c r="CN127" s="6" t="n"/>
      <c r="CO127" s="6" t="n"/>
      <c r="CP127" s="6" t="n"/>
      <c r="CQ127" s="6" t="n"/>
      <c r="CR127" s="6" t="n"/>
      <c r="CS127" s="6" t="n"/>
      <c r="CT127" s="6" t="n"/>
      <c r="CU127" s="6" t="n"/>
      <c r="CV127" s="6" t="n"/>
      <c r="CW127" s="6" t="n"/>
      <c r="CX127" s="6" t="n"/>
      <c r="CY127" s="6" t="n"/>
      <c r="CZ127" s="6" t="n"/>
      <c r="DA127" s="6" t="n"/>
      <c r="DB127" s="6" t="n"/>
      <c r="DC127" s="6" t="n"/>
      <c r="DD127" s="6" t="n"/>
      <c r="DE127" s="6" t="n"/>
      <c r="DF127" s="6" t="n"/>
      <c r="DG127" s="6" t="n"/>
      <c r="DH127" s="6" t="n"/>
      <c r="DI127" s="6" t="n"/>
      <c r="DJ127" s="6" t="n"/>
      <c r="DK127" s="6" t="n"/>
      <c r="DL127" s="6" t="n"/>
      <c r="DM127" s="6" t="n"/>
      <c r="DN127" s="6" t="n"/>
      <c r="DO127" s="6" t="n"/>
      <c r="DP127" s="6" t="inlineStr">
        <is>
          <t>My country is not eligible for an RSF arrangement</t>
        </is>
      </c>
      <c r="DQ127" s="6" t="inlineStr">
        <is>
          <t>Climate change does not pose a major balance of payments risk in my country</t>
        </is>
      </c>
      <c r="DR127" s="6" t="n"/>
      <c r="DS127" s="6" t="n"/>
      <c r="DT127" s="6" t="n"/>
      <c r="DU127" s="6" t="n"/>
      <c r="DV127" s="6" t="n"/>
      <c r="DW127" s="6" t="inlineStr">
        <is>
          <t>No</t>
        </is>
      </c>
      <c r="DX127" s="6" t="n"/>
      <c r="DY127" s="6" t="n"/>
      <c r="DZ127" s="6" t="n"/>
      <c r="EA127" s="6" t="n"/>
      <c r="EB127" s="6" t="n"/>
      <c r="EC127" s="6" t="n"/>
      <c r="ED127" s="6" t="n"/>
      <c r="EE127" s="6" t="n"/>
      <c r="EF127" s="6" t="inlineStr">
        <is>
          <t>To a great extent</t>
        </is>
      </c>
      <c r="EG127" s="6" t="inlineStr">
        <is>
          <t>To a moderate extent</t>
        </is>
      </c>
      <c r="EH127" s="6" t="inlineStr">
        <is>
          <t>To a moderate extent</t>
        </is>
      </c>
      <c r="EI127" s="6" t="inlineStr">
        <is>
          <t>Don’t know or not applicable</t>
        </is>
      </c>
      <c r="EJ127" s="6" t="inlineStr">
        <is>
          <t>Not at all</t>
        </is>
      </c>
      <c r="EK127" s="6" t="inlineStr">
        <is>
          <t>Not at all</t>
        </is>
      </c>
      <c r="EL127" s="6" t="inlineStr">
        <is>
          <t>Not at all</t>
        </is>
      </c>
      <c r="EM127" s="6" t="n"/>
      <c r="EN127" s="6" t="n"/>
      <c r="EO127" s="6" t="n"/>
      <c r="EP127" s="6" t="n"/>
      <c r="EQ127" s="6" t="inlineStr">
        <is>
          <t>Not at all</t>
        </is>
      </c>
      <c r="ER127" s="6" t="inlineStr">
        <is>
          <t>Not at all</t>
        </is>
      </c>
      <c r="ES127" s="6" t="n"/>
      <c r="ET127" s="6" t="n"/>
      <c r="EU127" s="6" t="n"/>
      <c r="EV127" s="6" t="n"/>
      <c r="EW127" s="6" t="n"/>
      <c r="EX127" s="6" t="n"/>
      <c r="EY127" s="6" t="n"/>
      <c r="EZ127" s="6" t="n"/>
      <c r="FA127" s="6" t="n"/>
      <c r="FB127" s="6" t="n"/>
      <c r="FC127" s="6" t="n"/>
      <c r="FD127" s="6" t="n"/>
      <c r="FE127" s="6" t="n"/>
      <c r="FF127" s="6" t="n"/>
      <c r="FG127" s="6" t="n"/>
      <c r="FH127" s="6" t="n"/>
      <c r="FI127" s="6" t="n"/>
      <c r="FJ127" s="6" t="n"/>
      <c r="FK127" s="6" t="n"/>
      <c r="FL127" s="6" t="n"/>
      <c r="FM127" s="6" t="n"/>
      <c r="FN127" s="6" t="n"/>
      <c r="FO127" s="6" t="n"/>
      <c r="FP127" s="6" t="n"/>
      <c r="FQ127" s="6" t="n"/>
      <c r="FR127" s="6" t="n"/>
      <c r="FS127" s="6" t="n"/>
      <c r="FT127" s="6" t="n"/>
      <c r="FU127" s="6" t="n"/>
      <c r="FV127" s="6" t="n"/>
      <c r="FW127" s="6" t="n"/>
      <c r="FX127" s="6" t="n"/>
      <c r="FY127" s="6" t="inlineStr">
        <is>
          <t>Not at all</t>
        </is>
      </c>
      <c r="FZ127" s="6" t="inlineStr">
        <is>
          <t>Not at all</t>
        </is>
      </c>
      <c r="GA127" s="6" t="inlineStr">
        <is>
          <t>Not at all</t>
        </is>
      </c>
      <c r="GB127" s="6" t="inlineStr">
        <is>
          <t>Not at all</t>
        </is>
      </c>
      <c r="GC127" s="6" t="n"/>
      <c r="GD127" s="6" t="n"/>
      <c r="GE127" s="6" t="inlineStr">
        <is>
          <t>Not at all</t>
        </is>
      </c>
      <c r="GF127" s="6" t="inlineStr">
        <is>
          <t>Not at all</t>
        </is>
      </c>
      <c r="GG127" s="6" t="inlineStr">
        <is>
          <t>Not at all</t>
        </is>
      </c>
      <c r="GH127" s="6" t="inlineStr">
        <is>
          <t>Not at all</t>
        </is>
      </c>
      <c r="GI127" s="6" t="inlineStr">
        <is>
          <t>Not at all</t>
        </is>
      </c>
      <c r="GJ127" s="6" t="inlineStr">
        <is>
          <t>Not at all</t>
        </is>
      </c>
      <c r="GK127" s="6" t="inlineStr">
        <is>
          <t>The IMF should only engage in climate issues when they are macro-critical in the individual country cases and result in balance of payments problems. Even in those cases, the IMF should outsource the climate-related analysis, policy advice etc. from other IFIs with comparable advantage in this field.
We caution against drawing conclusions from this survey as the answers may not be consistent across countries.</t>
        </is>
      </c>
      <c r="GL127" s="7">
        <f>DATE(2025,6,5)+TIME(15,26,39)</f>
        <v/>
      </c>
    </row>
    <row r="128" ht="78.75" customFormat="1" customHeight="1" s="9">
      <c r="A128" s="8" t="inlineStr">
        <is>
          <t>Petra</t>
        </is>
      </c>
      <c r="B128" s="8" t="inlineStr">
        <is>
          <t>Patel</t>
        </is>
      </c>
      <c r="C128" s="8" t="inlineStr">
        <is>
          <t>ppatel@organization.org</t>
        </is>
      </c>
      <c r="D128" s="8" t="inlineStr">
        <is>
          <t>XUOFSIIZF</t>
        </is>
      </c>
      <c r="E128" s="8" t="n"/>
      <c r="F128" s="8" t="inlineStr">
        <is>
          <t>OEDEC</t>
        </is>
      </c>
      <c r="G128" s="3" t="n"/>
      <c r="H128" s="3" t="n"/>
      <c r="I128" s="3" t="n"/>
      <c r="J128" s="3" t="n"/>
      <c r="K128" s="3" t="n"/>
      <c r="L128" s="3" t="n"/>
      <c r="M128" s="3" t="n"/>
      <c r="N128" s="3" t="n"/>
      <c r="O128" s="3" t="n"/>
      <c r="P128" s="3" t="inlineStr">
        <is>
          <t>Türkiye</t>
        </is>
      </c>
      <c r="Q128" s="3" t="n"/>
      <c r="R128" s="3" t="n"/>
      <c r="S128" s="3" t="n"/>
      <c r="T128" s="3" t="n"/>
      <c r="U128" s="3" t="n"/>
      <c r="V128" s="3" t="n"/>
      <c r="W128" s="3" t="n"/>
      <c r="X128" s="3" t="n"/>
      <c r="Y128" s="3" t="n"/>
      <c r="Z128" s="3" t="n"/>
      <c r="AA128" s="3" t="n"/>
      <c r="AB128" s="3" t="n"/>
      <c r="AC128" s="3" t="n"/>
      <c r="AD128" s="3" t="n"/>
      <c r="AE128" s="3" t="n"/>
      <c r="AF128" s="9" t="inlineStr">
        <is>
          <t>Türkiye</t>
        </is>
      </c>
      <c r="AG128" s="8" t="inlineStr">
        <is>
          <t>The IMF should engage a similar amount on climate change-related issues</t>
        </is>
      </c>
      <c r="AH128" s="8" t="inlineStr">
        <is>
          <t>To a moderate extent</t>
        </is>
      </c>
      <c r="AI128" s="8" t="inlineStr">
        <is>
          <t>To a great extent</t>
        </is>
      </c>
      <c r="AJ128" s="8" t="inlineStr">
        <is>
          <t>To a moderate extent</t>
        </is>
      </c>
      <c r="AK128" s="8" t="inlineStr">
        <is>
          <t>To a moderate extent</t>
        </is>
      </c>
      <c r="AL128" s="8" t="inlineStr">
        <is>
          <t>To a great extent</t>
        </is>
      </c>
      <c r="AM128" s="8" t="inlineStr">
        <is>
          <t>Don’t know or not applicable</t>
        </is>
      </c>
      <c r="AN128" s="8" t="inlineStr">
        <is>
          <t>Not at all</t>
        </is>
      </c>
      <c r="AO128" s="8" t="inlineStr">
        <is>
          <t>To a slight extent</t>
        </is>
      </c>
      <c r="AP128" s="8" t="inlineStr">
        <is>
          <t>To a slight extent</t>
        </is>
      </c>
      <c r="AQ128" s="8" t="inlineStr">
        <is>
          <t>To a moderate extent</t>
        </is>
      </c>
      <c r="AR128" s="8" t="inlineStr">
        <is>
          <t>Don’t know or not applicable</t>
        </is>
      </c>
      <c r="AS128" s="8" t="n"/>
      <c r="AT128" s="8" t="inlineStr">
        <is>
          <t>Not at all</t>
        </is>
      </c>
      <c r="AU128" s="8" t="inlineStr">
        <is>
          <t>To a slight extent</t>
        </is>
      </c>
      <c r="AV128" s="8" t="inlineStr">
        <is>
          <t>Not at all</t>
        </is>
      </c>
      <c r="AW128" s="8" t="inlineStr">
        <is>
          <t>To a slight extent</t>
        </is>
      </c>
      <c r="AX128" s="8" t="inlineStr">
        <is>
          <t>To a slight extent</t>
        </is>
      </c>
      <c r="AY128" s="8" t="inlineStr">
        <is>
          <t>To a great extent</t>
        </is>
      </c>
      <c r="AZ128" s="8" t="inlineStr">
        <is>
          <t>To a moderate extent</t>
        </is>
      </c>
      <c r="BA128" s="8" t="inlineStr">
        <is>
          <t>Not at all</t>
        </is>
      </c>
      <c r="BB128" s="8" t="inlineStr">
        <is>
          <t>To a moderate extent</t>
        </is>
      </c>
      <c r="BC128" s="8" t="inlineStr">
        <is>
          <t>Not at all</t>
        </is>
      </c>
      <c r="BD128" s="8" t="inlineStr">
        <is>
          <t>To a great extent</t>
        </is>
      </c>
      <c r="BE128" s="8" t="inlineStr">
        <is>
          <t>Not at all</t>
        </is>
      </c>
      <c r="BF128" s="8" t="inlineStr">
        <is>
          <t>Not at all</t>
        </is>
      </c>
      <c r="BG128" s="8" t="inlineStr">
        <is>
          <t>To a slight extent</t>
        </is>
      </c>
      <c r="BH128" s="8" t="inlineStr">
        <is>
          <t>To a slight extent</t>
        </is>
      </c>
      <c r="BI128" s="8" t="inlineStr">
        <is>
          <t>To a great extent</t>
        </is>
      </c>
      <c r="BJ128" s="8" t="inlineStr">
        <is>
          <t>To a moderate extent</t>
        </is>
      </c>
      <c r="BK128" s="8" t="inlineStr">
        <is>
          <t>Not at all</t>
        </is>
      </c>
      <c r="BL128" s="8" t="inlineStr">
        <is>
          <t>Not at all</t>
        </is>
      </c>
      <c r="BM128" s="8" t="inlineStr">
        <is>
          <t>Not at all</t>
        </is>
      </c>
      <c r="BN128" s="8" t="inlineStr">
        <is>
          <t>To a great extent</t>
        </is>
      </c>
      <c r="BO128" s="8" t="inlineStr">
        <is>
          <t>To a slight extent</t>
        </is>
      </c>
      <c r="BP128" s="8" t="inlineStr">
        <is>
          <t>Not at all</t>
        </is>
      </c>
      <c r="BQ128" s="8" t="inlineStr">
        <is>
          <t>Not at all</t>
        </is>
      </c>
      <c r="BR128" s="8" t="inlineStr">
        <is>
          <t>Not at all</t>
        </is>
      </c>
      <c r="BS128" s="8" t="n"/>
      <c r="BT128" s="8" t="inlineStr">
        <is>
          <t>The IMF dedicated an appropriate amount of resources</t>
        </is>
      </c>
      <c r="BU128" s="8" t="inlineStr">
        <is>
          <t>To a moderate extent</t>
        </is>
      </c>
      <c r="BV128" s="8" t="inlineStr">
        <is>
          <t>To a moderate extent</t>
        </is>
      </c>
      <c r="BW128" s="8" t="inlineStr">
        <is>
          <t>To a moderate extent</t>
        </is>
      </c>
      <c r="BX128" s="8" t="inlineStr">
        <is>
          <t>To a moderate extent</t>
        </is>
      </c>
      <c r="BY128" s="8" t="inlineStr">
        <is>
          <t>To a moderate extent</t>
        </is>
      </c>
      <c r="BZ128" s="8" t="inlineStr">
        <is>
          <t>To a moderate extent</t>
        </is>
      </c>
      <c r="CA128" s="8" t="inlineStr">
        <is>
          <t>To a moderate extent</t>
        </is>
      </c>
      <c r="CB128" s="8" t="inlineStr">
        <is>
          <t>To a moderate extent</t>
        </is>
      </c>
      <c r="CC128" s="8" t="inlineStr">
        <is>
          <t>To a moderate extent</t>
        </is>
      </c>
      <c r="CD128" s="8" t="inlineStr">
        <is>
          <t>To a moderate extent</t>
        </is>
      </c>
      <c r="CE128" s="8" t="inlineStr">
        <is>
          <t>To a moderate extent</t>
        </is>
      </c>
      <c r="CF128" s="8" t="inlineStr">
        <is>
          <t>To a moderate extent</t>
        </is>
      </c>
      <c r="CG128" s="8" t="n"/>
      <c r="CH128" s="8" t="inlineStr">
        <is>
          <t>No</t>
        </is>
      </c>
      <c r="CI128" s="8" t="inlineStr">
        <is>
          <t>No</t>
        </is>
      </c>
      <c r="CJ128" s="8" t="n"/>
      <c r="CK128" s="8" t="n"/>
      <c r="CL128" s="8" t="n"/>
      <c r="CM128" s="8" t="n"/>
      <c r="CN128" s="8" t="n"/>
      <c r="CO128" s="8" t="n"/>
      <c r="CP128" s="8" t="n"/>
      <c r="CQ128" s="8" t="n"/>
      <c r="CR128" s="8" t="n"/>
      <c r="CS128" s="8" t="n"/>
      <c r="CT128" s="8" t="n"/>
      <c r="CU128" s="8" t="n"/>
      <c r="CV128" s="8" t="n"/>
      <c r="CW128" s="8" t="n"/>
      <c r="CX128" s="8" t="n"/>
      <c r="CY128" s="8" t="n"/>
      <c r="CZ128" s="8" t="n"/>
      <c r="DA128" s="8" t="n"/>
      <c r="DB128" s="8" t="n"/>
      <c r="DC128" s="8" t="n"/>
      <c r="DD128" s="8" t="n"/>
      <c r="DE128" s="8" t="n"/>
      <c r="DF128" s="8" t="n"/>
      <c r="DG128" s="8" t="n"/>
      <c r="DH128" s="8" t="n"/>
      <c r="DI128" s="8" t="n"/>
      <c r="DJ128" s="8" t="n"/>
      <c r="DK128" s="8" t="n"/>
      <c r="DL128" s="8" t="n"/>
      <c r="DM128" s="8" t="n"/>
      <c r="DN128" s="8" t="n"/>
      <c r="DO128" s="8" t="n"/>
      <c r="DP128" s="8" t="n"/>
      <c r="DQ128" s="8" t="n"/>
      <c r="DR128" s="8" t="n"/>
      <c r="DS128" s="8" t="n"/>
      <c r="DT128" s="8" t="n"/>
      <c r="DU128" s="8" t="n"/>
      <c r="DV128" s="8" t="inlineStr">
        <is>
          <t>Other (please specify) : My country has access to international capital markets for climate financing</t>
        </is>
      </c>
      <c r="DW128" s="8" t="inlineStr">
        <is>
          <t>Yes</t>
        </is>
      </c>
      <c r="DX128" s="8" t="inlineStr">
        <is>
          <t>World Bank Group</t>
        </is>
      </c>
      <c r="DY128" s="8" t="inlineStr">
        <is>
          <t>Regional development banks</t>
        </is>
      </c>
      <c r="DZ128" s="8" t="n"/>
      <c r="EA128" s="8" t="inlineStr">
        <is>
          <t>Private sources</t>
        </is>
      </c>
      <c r="EB128" s="8" t="n"/>
      <c r="EC128" s="8" t="inlineStr">
        <is>
          <t>Don’t know or not applicable</t>
        </is>
      </c>
      <c r="ED128" s="8" t="inlineStr">
        <is>
          <t>Don’t know or not applicable</t>
        </is>
      </c>
      <c r="EE128" s="8" t="inlineStr">
        <is>
          <t>Don’t know or not applicable</t>
        </is>
      </c>
      <c r="EF128" s="8" t="inlineStr">
        <is>
          <t>Not at all</t>
        </is>
      </c>
      <c r="EG128" s="8" t="inlineStr">
        <is>
          <t>To a slight extent</t>
        </is>
      </c>
      <c r="EH128" s="8" t="inlineStr">
        <is>
          <t>Not at all</t>
        </is>
      </c>
      <c r="EI128" s="8" t="inlineStr">
        <is>
          <t>To a great extent</t>
        </is>
      </c>
      <c r="EJ128" s="8" t="inlineStr">
        <is>
          <t>Not at all</t>
        </is>
      </c>
      <c r="EK128" s="8" t="inlineStr">
        <is>
          <t>Not at all</t>
        </is>
      </c>
      <c r="EL128" s="8" t="inlineStr">
        <is>
          <t>To a slight extent</t>
        </is>
      </c>
      <c r="EM128" s="8" t="n"/>
      <c r="EN128" s="8" t="n"/>
      <c r="EO128" s="8" t="n"/>
      <c r="EP128" s="8" t="n"/>
      <c r="EQ128" s="8" t="inlineStr">
        <is>
          <t>Not at all</t>
        </is>
      </c>
      <c r="ER128" s="8" t="inlineStr">
        <is>
          <t>To a slight extent</t>
        </is>
      </c>
      <c r="ES128" s="8" t="n"/>
      <c r="ET128" s="8" t="n"/>
      <c r="EU128" s="8" t="n"/>
      <c r="EV128" s="8" t="n"/>
      <c r="EW128" s="8" t="n"/>
      <c r="EX128" s="8" t="n"/>
      <c r="EY128" s="8" t="n"/>
      <c r="EZ128" s="8" t="n"/>
      <c r="FA128" s="8" t="n"/>
      <c r="FB128" s="8" t="n"/>
      <c r="FC128" s="8" t="n"/>
      <c r="FD128" s="8" t="n"/>
      <c r="FE128" s="8" t="n"/>
      <c r="FF128" s="8" t="n"/>
      <c r="FG128" s="8" t="n"/>
      <c r="FH128" s="8" t="inlineStr">
        <is>
          <t>To a great extent</t>
        </is>
      </c>
      <c r="FI128" s="8" t="inlineStr">
        <is>
          <t>To a great extent</t>
        </is>
      </c>
      <c r="FJ128" s="8" t="inlineStr">
        <is>
          <t>Not at all</t>
        </is>
      </c>
      <c r="FK128" s="8" t="inlineStr">
        <is>
          <t>Not at all</t>
        </is>
      </c>
      <c r="FL128" s="8" t="inlineStr">
        <is>
          <t>To a slight extent</t>
        </is>
      </c>
      <c r="FM128" s="8" t="inlineStr">
        <is>
          <t>To a moderate extent</t>
        </is>
      </c>
      <c r="FN128" s="8" t="inlineStr">
        <is>
          <t>Not at all</t>
        </is>
      </c>
      <c r="FO128" s="8" t="inlineStr">
        <is>
          <t>Not at all</t>
        </is>
      </c>
      <c r="FP128" s="8" t="inlineStr">
        <is>
          <t>Not at all</t>
        </is>
      </c>
      <c r="FQ128" s="8" t="inlineStr">
        <is>
          <t>Not at all</t>
        </is>
      </c>
      <c r="FR128" s="8" t="inlineStr">
        <is>
          <t>Not at all</t>
        </is>
      </c>
      <c r="FS128" s="8" t="inlineStr">
        <is>
          <t>Not at all</t>
        </is>
      </c>
      <c r="FT128" s="8" t="inlineStr">
        <is>
          <t>Not at all</t>
        </is>
      </c>
      <c r="FU128" s="8" t="inlineStr">
        <is>
          <t>Not at all</t>
        </is>
      </c>
      <c r="FV128" s="8" t="n"/>
      <c r="FW128" s="8" t="inlineStr">
        <is>
          <t>The IMF dedicated the appropriate amount of resources</t>
        </is>
      </c>
      <c r="FX128" s="8" t="n"/>
      <c r="FY128" s="8" t="inlineStr">
        <is>
          <t>To a great extent</t>
        </is>
      </c>
      <c r="FZ128" s="8" t="inlineStr">
        <is>
          <t>To a great extent</t>
        </is>
      </c>
      <c r="GA128" s="8" t="inlineStr">
        <is>
          <t>To a great extent</t>
        </is>
      </c>
      <c r="GB128" s="8" t="inlineStr">
        <is>
          <t>To a great extent</t>
        </is>
      </c>
      <c r="GC128" s="8" t="n"/>
      <c r="GD128" s="8" t="n"/>
      <c r="GE128" s="8" t="inlineStr">
        <is>
          <t>To a slight extent</t>
        </is>
      </c>
      <c r="GF128" s="8" t="inlineStr">
        <is>
          <t>To a moderate extent</t>
        </is>
      </c>
      <c r="GG128" s="8" t="inlineStr">
        <is>
          <t>To a moderate extent</t>
        </is>
      </c>
      <c r="GH128" s="8" t="inlineStr">
        <is>
          <t>To a slight extent</t>
        </is>
      </c>
      <c r="GI128" s="8" t="inlineStr">
        <is>
          <t>To a great extent</t>
        </is>
      </c>
      <c r="GJ128" s="8" t="inlineStr">
        <is>
          <t>To a great extent</t>
        </is>
      </c>
      <c r="GK128" s="8" t="n"/>
      <c r="GL128" s="10">
        <f>DATE(2025,6,9)+TIME(13,20,51)</f>
        <v/>
      </c>
    </row>
    <row r="129" ht="409.5" customFormat="1" customHeight="1" s="9">
      <c r="A129" s="8" t="inlineStr">
        <is>
          <t>Leo</t>
        </is>
      </c>
      <c r="B129" s="8" t="inlineStr">
        <is>
          <t>Andersen</t>
        </is>
      </c>
      <c r="C129" s="8" t="inlineStr">
        <is>
          <t>landersen@organization.org</t>
        </is>
      </c>
      <c r="D129" s="8" t="inlineStr">
        <is>
          <t>7327Y47JT</t>
        </is>
      </c>
      <c r="E129" s="8" t="n"/>
      <c r="F129" s="8" t="inlineStr">
        <is>
          <t>OEDUS</t>
        </is>
      </c>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c r="AA129" s="6" t="n"/>
      <c r="AB129" s="6" t="n"/>
      <c r="AC129" s="6" t="n"/>
      <c r="AD129" s="6" t="n"/>
      <c r="AE129" s="6" t="inlineStr">
        <is>
          <t>United States</t>
        </is>
      </c>
      <c r="AF129" s="9" t="inlineStr">
        <is>
          <t>United States</t>
        </is>
      </c>
      <c r="AG129" s="8" t="inlineStr">
        <is>
          <t>The IMF should engage less on climate change-related issues</t>
        </is>
      </c>
      <c r="AH129" s="8" t="inlineStr">
        <is>
          <t>Not at all</t>
        </is>
      </c>
      <c r="AI129" s="8" t="inlineStr">
        <is>
          <t>Not at all</t>
        </is>
      </c>
      <c r="AJ129" s="8" t="inlineStr">
        <is>
          <t>Not at all</t>
        </is>
      </c>
      <c r="AK129" s="8" t="inlineStr">
        <is>
          <t>To a slight extent</t>
        </is>
      </c>
      <c r="AL129" s="8" t="inlineStr">
        <is>
          <t>Not at all</t>
        </is>
      </c>
      <c r="AM129" s="8" t="inlineStr">
        <is>
          <t>Not at all</t>
        </is>
      </c>
      <c r="AN129" s="8" t="inlineStr">
        <is>
          <t>Not at all</t>
        </is>
      </c>
      <c r="AO129" s="8" t="inlineStr">
        <is>
          <t>To a slight extent</t>
        </is>
      </c>
      <c r="AP129" s="8" t="inlineStr">
        <is>
          <t>To a slight extent</t>
        </is>
      </c>
      <c r="AQ129" s="8" t="inlineStr">
        <is>
          <t>Not at all</t>
        </is>
      </c>
      <c r="AR129" s="8" t="inlineStr">
        <is>
          <t>Not at all</t>
        </is>
      </c>
      <c r="AS129" s="8" t="n"/>
      <c r="AT129" s="8" t="inlineStr">
        <is>
          <t>Not at all</t>
        </is>
      </c>
      <c r="AU129" s="8" t="inlineStr">
        <is>
          <t>To a slight extent</t>
        </is>
      </c>
      <c r="AV129" s="8" t="inlineStr">
        <is>
          <t>To a great extent</t>
        </is>
      </c>
      <c r="AW129" s="8" t="inlineStr">
        <is>
          <t>Not at all</t>
        </is>
      </c>
      <c r="AX129" s="8" t="inlineStr">
        <is>
          <t>Not at all</t>
        </is>
      </c>
      <c r="AY129" s="8" t="inlineStr">
        <is>
          <t>To a slight extent</t>
        </is>
      </c>
      <c r="AZ129" s="8" t="inlineStr">
        <is>
          <t>To a slight extent</t>
        </is>
      </c>
      <c r="BA129" s="8" t="inlineStr">
        <is>
          <t>To a great extent</t>
        </is>
      </c>
      <c r="BB129" s="8" t="inlineStr">
        <is>
          <t>Not at all</t>
        </is>
      </c>
      <c r="BC129" s="8" t="inlineStr">
        <is>
          <t>Not at all</t>
        </is>
      </c>
      <c r="BD129" s="8" t="inlineStr">
        <is>
          <t>To a slight extent</t>
        </is>
      </c>
      <c r="BE129" s="8" t="inlineStr">
        <is>
          <t>Don’t know or not applicable</t>
        </is>
      </c>
      <c r="BF129" s="8" t="inlineStr">
        <is>
          <t>Don’t know or not applicable</t>
        </is>
      </c>
      <c r="BG129" s="8" t="inlineStr">
        <is>
          <t>Don’t know or not applicable</t>
        </is>
      </c>
      <c r="BH129" s="8" t="inlineStr">
        <is>
          <t>Don’t know or not applicable</t>
        </is>
      </c>
      <c r="BI129" s="8" t="inlineStr">
        <is>
          <t>Don’t know or not applicable</t>
        </is>
      </c>
      <c r="BJ129" s="8" t="inlineStr">
        <is>
          <t>To a slight extent</t>
        </is>
      </c>
      <c r="BK129" s="8" t="inlineStr">
        <is>
          <t>To a great extent</t>
        </is>
      </c>
      <c r="BL129" s="8" t="inlineStr">
        <is>
          <t>Not at all</t>
        </is>
      </c>
      <c r="BM129" s="8" t="inlineStr">
        <is>
          <t>Not at all</t>
        </is>
      </c>
      <c r="BN129" s="8" t="inlineStr">
        <is>
          <t>To a slight extent</t>
        </is>
      </c>
      <c r="BO129" s="8" t="inlineStr">
        <is>
          <t>To a great extent</t>
        </is>
      </c>
      <c r="BP129" s="8" t="inlineStr">
        <is>
          <t>To a slight extent</t>
        </is>
      </c>
      <c r="BQ129" s="8" t="inlineStr">
        <is>
          <t>To a moderate extent</t>
        </is>
      </c>
      <c r="BR129" s="8" t="inlineStr">
        <is>
          <t>Don’t know or not applicable</t>
        </is>
      </c>
      <c r="BS129" s="8" t="n"/>
      <c r="BT129" s="8" t="inlineStr">
        <is>
          <t>The IMF should have dedicated less resources</t>
        </is>
      </c>
      <c r="BU129" s="8" t="inlineStr">
        <is>
          <t>To a slight extent</t>
        </is>
      </c>
      <c r="BV129" s="8" t="inlineStr">
        <is>
          <t>Not at all</t>
        </is>
      </c>
      <c r="BW129" s="8" t="inlineStr">
        <is>
          <t>Not at all</t>
        </is>
      </c>
      <c r="BX129" s="8" t="inlineStr">
        <is>
          <t>To a slight extent</t>
        </is>
      </c>
      <c r="BY129" s="8" t="inlineStr">
        <is>
          <t>Not at all</t>
        </is>
      </c>
      <c r="BZ129" s="8" t="inlineStr">
        <is>
          <t>Not at all</t>
        </is>
      </c>
      <c r="CA129" s="8" t="inlineStr">
        <is>
          <t>To a slight extent</t>
        </is>
      </c>
      <c r="CB129" s="8" t="inlineStr">
        <is>
          <t>Not at all</t>
        </is>
      </c>
      <c r="CC129" s="8" t="inlineStr">
        <is>
          <t>Not at all</t>
        </is>
      </c>
      <c r="CD129" s="8" t="inlineStr">
        <is>
          <t>To a slight extent</t>
        </is>
      </c>
      <c r="CE129" s="8" t="inlineStr">
        <is>
          <t>Not at all</t>
        </is>
      </c>
      <c r="CF129" s="8" t="inlineStr">
        <is>
          <t>Not at all</t>
        </is>
      </c>
      <c r="CG129" s="8" t="n"/>
      <c r="CH129" s="8" t="inlineStr">
        <is>
          <t>No</t>
        </is>
      </c>
      <c r="CI129" s="8" t="inlineStr">
        <is>
          <t>No</t>
        </is>
      </c>
      <c r="CJ129" s="8" t="n"/>
      <c r="CK129" s="8" t="n"/>
      <c r="CL129" s="8" t="n"/>
      <c r="CM129" s="8" t="n"/>
      <c r="CN129" s="8" t="n"/>
      <c r="CO129" s="8" t="n"/>
      <c r="CP129" s="8" t="n"/>
      <c r="CQ129" s="8" t="n"/>
      <c r="CR129" s="8" t="n"/>
      <c r="CS129" s="8" t="n"/>
      <c r="CT129" s="8" t="n"/>
      <c r="CU129" s="8" t="n"/>
      <c r="CV129" s="8" t="n"/>
      <c r="CW129" s="8" t="n"/>
      <c r="CX129" s="8" t="n"/>
      <c r="CY129" s="8" t="n"/>
      <c r="CZ129" s="8" t="n"/>
      <c r="DA129" s="8" t="n"/>
      <c r="DB129" s="8" t="n"/>
      <c r="DC129" s="8" t="n"/>
      <c r="DD129" s="8" t="n"/>
      <c r="DE129" s="8" t="n"/>
      <c r="DF129" s="8" t="n"/>
      <c r="DG129" s="8" t="n"/>
      <c r="DH129" s="8" t="n"/>
      <c r="DI129" s="8" t="n"/>
      <c r="DJ129" s="8" t="n"/>
      <c r="DK129" s="8" t="n"/>
      <c r="DL129" s="8" t="n"/>
      <c r="DM129" s="8" t="n"/>
      <c r="DN129" s="8" t="n"/>
      <c r="DO129" s="8" t="n"/>
      <c r="DP129" s="8" t="inlineStr">
        <is>
          <t>My country is not eligible for an RSF arrangement</t>
        </is>
      </c>
      <c r="DQ129" s="8" t="inlineStr">
        <is>
          <t>Climate change does not pose a major balance of payments risk in my country</t>
        </is>
      </c>
      <c r="DR129" s="8" t="n"/>
      <c r="DS129" s="8" t="n"/>
      <c r="DT129" s="8" t="n"/>
      <c r="DU129" s="8" t="n"/>
      <c r="DV129" s="8" t="n"/>
      <c r="DW129" s="8" t="inlineStr">
        <is>
          <t>No</t>
        </is>
      </c>
      <c r="DX129" s="8" t="n"/>
      <c r="DY129" s="8" t="n"/>
      <c r="DZ129" s="8" t="n"/>
      <c r="EA129" s="8" t="n"/>
      <c r="EB129" s="8" t="n"/>
      <c r="EC129" s="8" t="n"/>
      <c r="ED129" s="8" t="n"/>
      <c r="EE129" s="8" t="n"/>
      <c r="EF129" s="8" t="inlineStr">
        <is>
          <t>To a great extent</t>
        </is>
      </c>
      <c r="EG129" s="8" t="inlineStr">
        <is>
          <t>Not at all</t>
        </is>
      </c>
      <c r="EH129" s="8" t="inlineStr">
        <is>
          <t>Not at all</t>
        </is>
      </c>
      <c r="EI129" s="8" t="inlineStr">
        <is>
          <t>To a great extent</t>
        </is>
      </c>
      <c r="EJ129" s="8" t="inlineStr">
        <is>
          <t>Not at all</t>
        </is>
      </c>
      <c r="EK129" s="8" t="inlineStr">
        <is>
          <t>Not at all</t>
        </is>
      </c>
      <c r="EL129" s="8" t="inlineStr">
        <is>
          <t>Not at all</t>
        </is>
      </c>
      <c r="EM129" s="8" t="n"/>
      <c r="EN129" s="8" t="n"/>
      <c r="EO129" s="8" t="n"/>
      <c r="EP129" s="8" t="n"/>
      <c r="EQ129" s="8" t="inlineStr">
        <is>
          <t>Not at all</t>
        </is>
      </c>
      <c r="ER129" s="8" t="inlineStr">
        <is>
          <t>Not at all</t>
        </is>
      </c>
      <c r="ES129" s="8" t="n"/>
      <c r="ET129" s="8" t="n"/>
      <c r="EU129" s="8" t="n"/>
      <c r="EV129" s="8" t="n"/>
      <c r="EW129" s="8" t="n"/>
      <c r="EX129" s="8" t="n"/>
      <c r="EY129" s="8" t="n"/>
      <c r="EZ129" s="8" t="n"/>
      <c r="FA129" s="8" t="n"/>
      <c r="FB129" s="8" t="n"/>
      <c r="FC129" s="8" t="n"/>
      <c r="FD129" s="8" t="n"/>
      <c r="FE129" s="8" t="n"/>
      <c r="FF129" s="8" t="n"/>
      <c r="FG129" s="8" t="n"/>
      <c r="FH129" s="8" t="n"/>
      <c r="FI129" s="8" t="n"/>
      <c r="FJ129" s="8" t="n"/>
      <c r="FK129" s="8" t="n"/>
      <c r="FL129" s="8" t="n"/>
      <c r="FM129" s="8" t="n"/>
      <c r="FN129" s="8" t="n"/>
      <c r="FO129" s="8" t="n"/>
      <c r="FP129" s="8" t="n"/>
      <c r="FQ129" s="8" t="n"/>
      <c r="FR129" s="8" t="n"/>
      <c r="FS129" s="8" t="n"/>
      <c r="FT129" s="8" t="n"/>
      <c r="FU129" s="8" t="n"/>
      <c r="FV129" s="8" t="n"/>
      <c r="FW129" s="8" t="n"/>
      <c r="FX129" s="8" t="n"/>
      <c r="FY129" s="8" t="inlineStr">
        <is>
          <t>Not at all</t>
        </is>
      </c>
      <c r="FZ129" s="8" t="inlineStr">
        <is>
          <t>Not at all</t>
        </is>
      </c>
      <c r="GA129" s="8" t="inlineStr">
        <is>
          <t>Not at all</t>
        </is>
      </c>
      <c r="GB129" s="8" t="inlineStr">
        <is>
          <t>Not at all</t>
        </is>
      </c>
      <c r="GC129" s="8" t="inlineStr">
        <is>
          <t>Don’t know or not applicable</t>
        </is>
      </c>
      <c r="GD129" s="8" t="n"/>
      <c r="GE129" s="8" t="inlineStr">
        <is>
          <t>Not at all</t>
        </is>
      </c>
      <c r="GF129" s="8" t="inlineStr">
        <is>
          <t>Not at all</t>
        </is>
      </c>
      <c r="GG129" s="8" t="inlineStr">
        <is>
          <t>Not at all</t>
        </is>
      </c>
      <c r="GH129" s="8" t="inlineStr">
        <is>
          <t>To a slight extent</t>
        </is>
      </c>
      <c r="GI129" s="8" t="inlineStr">
        <is>
          <t>To a moderate extent</t>
        </is>
      </c>
      <c r="GJ129" s="8" t="inlineStr">
        <is>
          <t>To a great extent</t>
        </is>
      </c>
      <c r="GK129" s="8" t="inlineStr">
        <is>
          <t>The IMF's work in the climate space has substantially squeezed on the time its staff has to engage with members on issues to which its core mandate applies and which its staff are experts in.  The Fund should radically reduce its workload in this space to only issues that affect balance of payments stability directly, are within the Fund's mandate, and for which its staff has expertise and therefore provide a value add to the member.  Relying on outside experts for IMF advice and conditionality is a further deterioration of the Fund's efforts and should not be seen as a mechanism to get around the last qualifier.  This mission creep has deteriorated the Fund's focus on truly pressing macroeconomic issues, particularly external imbalances.</t>
        </is>
      </c>
      <c r="GL129" s="10">
        <f>DATE(2025,5,20)+TIME(15,13,45)</f>
        <v/>
      </c>
    </row>
    <row r="130" ht="78.75" customHeight="1">
      <c r="A130" s="3" t="inlineStr">
        <is>
          <t>James</t>
        </is>
      </c>
      <c r="B130" s="3" t="inlineStr">
        <is>
          <t>Novak</t>
        </is>
      </c>
      <c r="C130" s="3" t="inlineStr">
        <is>
          <t>jnovak@organization.org</t>
        </is>
      </c>
      <c r="D130" s="3" t="inlineStr">
        <is>
          <t>QEV4IC563</t>
        </is>
      </c>
      <c r="E130" s="3" t="n"/>
      <c r="F130" s="3" t="inlineStr">
        <is>
          <t>OEDAW</t>
        </is>
      </c>
      <c r="G130" s="3" t="n"/>
      <c r="H130" s="3" t="n"/>
      <c r="I130" s="3" t="n"/>
      <c r="J130" s="3" t="n"/>
      <c r="K130" s="3" t="inlineStr">
        <is>
          <t>Togo</t>
        </is>
      </c>
      <c r="L130" s="3" t="n"/>
      <c r="M130" s="3" t="n"/>
      <c r="N130" s="3" t="n"/>
      <c r="O130" s="3" t="n"/>
      <c r="P130" s="3" t="n"/>
      <c r="Q130" s="3" t="n"/>
      <c r="R130" s="3" t="n"/>
      <c r="S130" s="3" t="n"/>
      <c r="T130" s="3" t="n"/>
      <c r="U130" s="3" t="n"/>
      <c r="V130" s="3" t="n"/>
      <c r="W130" s="3" t="n"/>
      <c r="X130" s="3" t="n"/>
      <c r="Y130" s="3" t="n"/>
      <c r="Z130" s="3" t="n"/>
      <c r="AA130" s="3" t="n"/>
      <c r="AB130" s="3" t="n"/>
      <c r="AC130" s="3" t="n"/>
      <c r="AD130" s="3" t="n"/>
      <c r="AE130" s="3" t="n"/>
      <c r="AF130" s="4" t="inlineStr">
        <is>
          <t>Togo</t>
        </is>
      </c>
      <c r="AG130" s="3" t="inlineStr">
        <is>
          <t>The IMF should engage more on climate change-related issues</t>
        </is>
      </c>
      <c r="AH130" s="3" t="inlineStr">
        <is>
          <t>To a great extent</t>
        </is>
      </c>
      <c r="AI130" s="3" t="inlineStr">
        <is>
          <t>To a great extent</t>
        </is>
      </c>
      <c r="AJ130" s="3" t="inlineStr">
        <is>
          <t>Don’t know or not applicable</t>
        </is>
      </c>
      <c r="AK130" s="3" t="inlineStr">
        <is>
          <t>To a great extent</t>
        </is>
      </c>
      <c r="AL130" s="3" t="inlineStr">
        <is>
          <t>To a great extent</t>
        </is>
      </c>
      <c r="AM130" s="3" t="inlineStr">
        <is>
          <t>Don’t know or not applicable</t>
        </is>
      </c>
      <c r="AN130" s="3" t="inlineStr">
        <is>
          <t>Don’t know or not applicable</t>
        </is>
      </c>
      <c r="AO130" s="3" t="inlineStr">
        <is>
          <t>To a great extent</t>
        </is>
      </c>
      <c r="AP130" s="3" t="inlineStr">
        <is>
          <t>Don’t know or not applicable</t>
        </is>
      </c>
      <c r="AQ130" s="3" t="inlineStr">
        <is>
          <t>To a great extent</t>
        </is>
      </c>
      <c r="AR130" s="3" t="inlineStr">
        <is>
          <t>To a great extent</t>
        </is>
      </c>
      <c r="AS130" s="3" t="n"/>
      <c r="AT130" s="3" t="inlineStr">
        <is>
          <t>To a great extent</t>
        </is>
      </c>
      <c r="AU130" s="3" t="inlineStr">
        <is>
          <t>Don’t know or not applicable</t>
        </is>
      </c>
      <c r="AV130" s="3" t="inlineStr">
        <is>
          <t>Don’t know or not applicable</t>
        </is>
      </c>
      <c r="AW130" s="3" t="inlineStr">
        <is>
          <t>Don’t know or not applicable</t>
        </is>
      </c>
      <c r="AX130" s="3" t="inlineStr">
        <is>
          <t>Don’t know or not applicable</t>
        </is>
      </c>
      <c r="AY130" s="3" t="inlineStr">
        <is>
          <t>Don’t know or not applicable</t>
        </is>
      </c>
      <c r="AZ130" s="3" t="inlineStr">
        <is>
          <t>Don’t know or not applicable</t>
        </is>
      </c>
      <c r="BA130" s="3" t="inlineStr">
        <is>
          <t>Don’t know or not applicable</t>
        </is>
      </c>
      <c r="BB130" s="3" t="inlineStr">
        <is>
          <t>Don’t know or not applicable</t>
        </is>
      </c>
      <c r="BC130" s="3" t="inlineStr">
        <is>
          <t>Don’t know or not applicable</t>
        </is>
      </c>
      <c r="BD130" s="3" t="inlineStr">
        <is>
          <t>Don’t know or not applicable</t>
        </is>
      </c>
      <c r="BE130" s="3" t="inlineStr">
        <is>
          <t>Don’t know or not applicable</t>
        </is>
      </c>
      <c r="BF130" s="3" t="inlineStr">
        <is>
          <t>Don’t know or not applicable</t>
        </is>
      </c>
      <c r="BG130" s="3" t="inlineStr">
        <is>
          <t>Don’t know or not applicable</t>
        </is>
      </c>
      <c r="BH130" s="3" t="inlineStr">
        <is>
          <t>Don’t know or not applicable</t>
        </is>
      </c>
      <c r="BI130" s="3" t="inlineStr">
        <is>
          <t>Don’t know or not applicable</t>
        </is>
      </c>
      <c r="BJ130" s="3" t="inlineStr">
        <is>
          <t>To a great extent</t>
        </is>
      </c>
      <c r="BK130" s="3" t="inlineStr">
        <is>
          <t>Don’t know or not applicable</t>
        </is>
      </c>
      <c r="BL130" s="3" t="inlineStr">
        <is>
          <t>To a great extent</t>
        </is>
      </c>
      <c r="BM130" s="3" t="inlineStr">
        <is>
          <t>Don’t know or not applicable</t>
        </is>
      </c>
      <c r="BN130" s="3" t="inlineStr">
        <is>
          <t>Don’t know or not applicable</t>
        </is>
      </c>
      <c r="BO130" s="3" t="inlineStr">
        <is>
          <t>To a great extent</t>
        </is>
      </c>
      <c r="BP130" s="3" t="inlineStr">
        <is>
          <t>Don’t know or not applicable</t>
        </is>
      </c>
      <c r="BQ130" s="3" t="inlineStr">
        <is>
          <t>Don’t know or not applicable</t>
        </is>
      </c>
      <c r="BR130" s="3" t="inlineStr">
        <is>
          <t>Don’t know or not applicable</t>
        </is>
      </c>
      <c r="BS130" s="3" t="n"/>
      <c r="BT130" s="3" t="inlineStr">
        <is>
          <t>The IMF should have dedicated more resources</t>
        </is>
      </c>
      <c r="BU130" s="3" t="inlineStr">
        <is>
          <t>To a great extent</t>
        </is>
      </c>
      <c r="BV130" s="3" t="inlineStr">
        <is>
          <t>To a great extent</t>
        </is>
      </c>
      <c r="BW130" s="3" t="inlineStr">
        <is>
          <t>To a great extent</t>
        </is>
      </c>
      <c r="BX130" s="3" t="inlineStr">
        <is>
          <t>To a great extent</t>
        </is>
      </c>
      <c r="BY130" s="3" t="inlineStr">
        <is>
          <t>To a great extent</t>
        </is>
      </c>
      <c r="BZ130" s="3" t="inlineStr">
        <is>
          <t>To a great extent</t>
        </is>
      </c>
      <c r="CA130" s="3" t="inlineStr">
        <is>
          <t>To a great extent</t>
        </is>
      </c>
      <c r="CB130" s="3" t="inlineStr">
        <is>
          <t>To a great extent</t>
        </is>
      </c>
      <c r="CC130" s="3" t="inlineStr">
        <is>
          <t>To a great extent</t>
        </is>
      </c>
      <c r="CD130" s="3" t="inlineStr">
        <is>
          <t>To a great extent</t>
        </is>
      </c>
      <c r="CE130" s="3" t="inlineStr">
        <is>
          <t>To a great extent</t>
        </is>
      </c>
      <c r="CF130" s="3" t="inlineStr">
        <is>
          <t>To a great extent</t>
        </is>
      </c>
      <c r="CG130" s="3" t="n"/>
      <c r="CH130" s="3" t="inlineStr">
        <is>
          <t>No</t>
        </is>
      </c>
      <c r="CI130" s="3" t="inlineStr">
        <is>
          <t>Yes</t>
        </is>
      </c>
      <c r="CJ130" s="3" t="n"/>
      <c r="CK130" s="3" t="n"/>
      <c r="CL130" s="3" t="n"/>
      <c r="CM130" s="3" t="n"/>
      <c r="CN130" s="3" t="n"/>
      <c r="CO130" s="3" t="n"/>
      <c r="CP130" s="3" t="n"/>
      <c r="CQ130" s="3" t="n"/>
      <c r="CR130" s="3" t="n"/>
      <c r="CS130" s="3" t="n"/>
      <c r="CT130" s="3" t="n"/>
      <c r="CU130" s="3" t="n"/>
      <c r="CV130" s="3" t="n"/>
      <c r="CW130" s="3" t="n"/>
      <c r="CX130" s="3" t="n"/>
      <c r="CY130" s="3" t="n"/>
      <c r="CZ130" s="3" t="n"/>
      <c r="DA130" s="3" t="n"/>
      <c r="DB130" s="3" t="n"/>
      <c r="DC130" s="3" t="n"/>
      <c r="DD130" s="3" t="n"/>
      <c r="DE130" s="3" t="n"/>
      <c r="DF130" s="3" t="n"/>
      <c r="DG130" s="3" t="n"/>
      <c r="DH130" s="3" t="n"/>
      <c r="DI130" s="3" t="n"/>
      <c r="DJ130" s="3" t="n"/>
      <c r="DK130" s="3" t="n"/>
      <c r="DL130" s="3" t="n"/>
      <c r="DM130" s="3" t="n"/>
      <c r="DN130" s="3" t="n"/>
      <c r="DO130" s="3" t="n"/>
      <c r="DP130" s="3" t="n"/>
      <c r="DQ130" s="3" t="n"/>
      <c r="DR130" s="3" t="n"/>
      <c r="DS130" s="3" t="n"/>
      <c r="DT130" s="3" t="inlineStr">
        <is>
          <t>My country requested an RSF arrangement but it has not been approved yet or the request did not progress</t>
        </is>
      </c>
      <c r="DU130" s="3" t="n"/>
      <c r="DV130" s="3" t="n"/>
      <c r="DW130" s="3" t="inlineStr">
        <is>
          <t>No</t>
        </is>
      </c>
      <c r="DX130" s="3" t="n"/>
      <c r="DY130" s="3" t="n"/>
      <c r="DZ130" s="3" t="n"/>
      <c r="EA130" s="3" t="n"/>
      <c r="EB130" s="3" t="n"/>
      <c r="EC130" s="3" t="n"/>
      <c r="ED130" s="3" t="n"/>
      <c r="EE130" s="3" t="n"/>
      <c r="EF130" s="3" t="inlineStr">
        <is>
          <t>To a moderate extent</t>
        </is>
      </c>
      <c r="EG130" s="3" t="inlineStr">
        <is>
          <t>To a moderate extent</t>
        </is>
      </c>
      <c r="EH130" s="3" t="inlineStr">
        <is>
          <t>Don’t know or not applicable</t>
        </is>
      </c>
      <c r="EI130" s="3" t="inlineStr">
        <is>
          <t>To a great extent</t>
        </is>
      </c>
      <c r="EJ130" s="3" t="inlineStr">
        <is>
          <t>To a great extent</t>
        </is>
      </c>
      <c r="EK130" s="3" t="inlineStr">
        <is>
          <t>To a great extent</t>
        </is>
      </c>
      <c r="EL130" s="3" t="inlineStr">
        <is>
          <t>To a great extent</t>
        </is>
      </c>
      <c r="EM130" s="3" t="inlineStr">
        <is>
          <t>To a great extent</t>
        </is>
      </c>
      <c r="EN130" s="3" t="inlineStr">
        <is>
          <t>To a moderate extent</t>
        </is>
      </c>
      <c r="EO130" s="3" t="inlineStr">
        <is>
          <t>Not at all</t>
        </is>
      </c>
      <c r="EP130" s="3" t="n"/>
      <c r="EQ130" s="3" t="inlineStr">
        <is>
          <t>To a moderate extent</t>
        </is>
      </c>
      <c r="ER130" s="3" t="inlineStr">
        <is>
          <t>To a moderate extent</t>
        </is>
      </c>
      <c r="ES130" s="3" t="n"/>
      <c r="ET130" s="3" t="inlineStr">
        <is>
          <t>To a great extent</t>
        </is>
      </c>
      <c r="EU130" s="3" t="inlineStr">
        <is>
          <t>To a great extent</t>
        </is>
      </c>
      <c r="EV130" s="3" t="inlineStr">
        <is>
          <t>To a great extent</t>
        </is>
      </c>
      <c r="EW130" s="3" t="inlineStr">
        <is>
          <t>Don’t know or not applicable</t>
        </is>
      </c>
      <c r="EX130" s="3" t="n"/>
      <c r="EY130" s="3" t="inlineStr">
        <is>
          <t>To a great extent</t>
        </is>
      </c>
      <c r="EZ130" s="3" t="inlineStr">
        <is>
          <t>To a moderate extent</t>
        </is>
      </c>
      <c r="FA130" s="3" t="inlineStr">
        <is>
          <t>Don’t know or not applicable</t>
        </is>
      </c>
      <c r="FB130" s="3" t="inlineStr">
        <is>
          <t>Don’t know or not applicable</t>
        </is>
      </c>
      <c r="FC130" s="3" t="inlineStr">
        <is>
          <t>To a great extent</t>
        </is>
      </c>
      <c r="FD130" s="3" t="inlineStr">
        <is>
          <t>Don’t know or not applicable</t>
        </is>
      </c>
      <c r="FE130" s="3" t="inlineStr">
        <is>
          <t>Don’t know or not applicable</t>
        </is>
      </c>
      <c r="FF130" s="3" t="inlineStr">
        <is>
          <t>Don’t know or not applicable</t>
        </is>
      </c>
      <c r="FG130" s="3" t="inlineStr">
        <is>
          <t>Don’t know or not applicable</t>
        </is>
      </c>
      <c r="FH130" s="3" t="inlineStr">
        <is>
          <t>To a great extent</t>
        </is>
      </c>
      <c r="FI130" s="3" t="inlineStr">
        <is>
          <t>To a great extent</t>
        </is>
      </c>
      <c r="FJ130" s="3" t="inlineStr">
        <is>
          <t>Don’t know or not applicable</t>
        </is>
      </c>
      <c r="FK130" s="3" t="inlineStr">
        <is>
          <t>To a great extent</t>
        </is>
      </c>
      <c r="FL130" s="3" t="inlineStr">
        <is>
          <t>Don’t know or not applicable</t>
        </is>
      </c>
      <c r="FM130" s="3" t="inlineStr">
        <is>
          <t>Don’t know or not applicable</t>
        </is>
      </c>
      <c r="FN130" s="3" t="inlineStr">
        <is>
          <t>Don’t know or not applicable</t>
        </is>
      </c>
      <c r="FO130" s="3" t="inlineStr">
        <is>
          <t>Don’t know or not applicable</t>
        </is>
      </c>
      <c r="FP130" s="3" t="inlineStr">
        <is>
          <t>Don’t know or not applicable</t>
        </is>
      </c>
      <c r="FQ130" s="3" t="inlineStr">
        <is>
          <t>Don’t know or not applicable</t>
        </is>
      </c>
      <c r="FR130" s="3" t="inlineStr">
        <is>
          <t>To a great extent</t>
        </is>
      </c>
      <c r="FS130" s="3" t="inlineStr">
        <is>
          <t>Don’t know or not applicable</t>
        </is>
      </c>
      <c r="FT130" s="3" t="inlineStr">
        <is>
          <t>Don’t know or not applicable</t>
        </is>
      </c>
      <c r="FU130" s="3" t="inlineStr">
        <is>
          <t>Don’t know or not applicable</t>
        </is>
      </c>
      <c r="FV130" s="3" t="n"/>
      <c r="FW130" s="3" t="inlineStr">
        <is>
          <t>The IMF should have dedicated more resources</t>
        </is>
      </c>
      <c r="FX130" s="3" t="n"/>
      <c r="FY130" s="3" t="inlineStr">
        <is>
          <t>To a great extent</t>
        </is>
      </c>
      <c r="FZ130" s="3" t="inlineStr">
        <is>
          <t>To a great extent</t>
        </is>
      </c>
      <c r="GA130" s="3" t="inlineStr">
        <is>
          <t>To a great extent</t>
        </is>
      </c>
      <c r="GB130" s="3" t="inlineStr">
        <is>
          <t>To a great extent</t>
        </is>
      </c>
      <c r="GC130" s="3" t="inlineStr">
        <is>
          <t>Don’t know or not applicable</t>
        </is>
      </c>
      <c r="GD130" s="3" t="n"/>
      <c r="GE130" s="3" t="inlineStr">
        <is>
          <t>To a great extent</t>
        </is>
      </c>
      <c r="GF130" s="3" t="inlineStr">
        <is>
          <t>To a great extent</t>
        </is>
      </c>
      <c r="GG130" s="3" t="inlineStr">
        <is>
          <t>To a great extent</t>
        </is>
      </c>
      <c r="GH130" s="3" t="inlineStr">
        <is>
          <t>To a moderate extent</t>
        </is>
      </c>
      <c r="GI130" s="3" t="inlineStr">
        <is>
          <t>To a moderate extent</t>
        </is>
      </c>
      <c r="GJ130" s="3" t="inlineStr">
        <is>
          <t>To a great extent</t>
        </is>
      </c>
      <c r="GK130" s="3" t="n"/>
      <c r="GL130" s="5">
        <f>DATE(2025,5,21)+TIME(10,8,48)</f>
        <v/>
      </c>
    </row>
    <row r="131" ht="63" customHeight="1">
      <c r="A131" s="6" t="inlineStr">
        <is>
          <t>Hana</t>
        </is>
      </c>
      <c r="B131" s="6" t="inlineStr">
        <is>
          <t>Yamamoto</t>
        </is>
      </c>
      <c r="C131" s="6" t="inlineStr">
        <is>
          <t>hyamamoto@organization.org</t>
        </is>
      </c>
      <c r="D131" s="6" t="inlineStr">
        <is>
          <t>F2AKNI3WT</t>
        </is>
      </c>
      <c r="E131" s="6" t="n"/>
      <c r="F131" s="6" t="inlineStr">
        <is>
          <t>OEDEC</t>
        </is>
      </c>
      <c r="G131" s="6" t="n"/>
      <c r="H131" s="6" t="n"/>
      <c r="I131" s="6" t="n"/>
      <c r="J131" s="6" t="n"/>
      <c r="K131" s="6" t="n"/>
      <c r="L131" s="6" t="n"/>
      <c r="M131" s="6" t="n"/>
      <c r="N131" s="6" t="n"/>
      <c r="O131" s="6" t="n"/>
      <c r="P131" s="6" t="inlineStr">
        <is>
          <t>Slovak Republic</t>
        </is>
      </c>
      <c r="Q131" s="6" t="n"/>
      <c r="R131" s="6" t="n"/>
      <c r="S131" s="6" t="n"/>
      <c r="T131" s="6" t="n"/>
      <c r="U131" s="6" t="n"/>
      <c r="V131" s="6" t="n"/>
      <c r="W131" s="6" t="n"/>
      <c r="X131" s="6" t="n"/>
      <c r="Y131" s="6" t="n"/>
      <c r="Z131" s="6" t="n"/>
      <c r="AA131" s="6" t="n"/>
      <c r="AB131" s="6" t="n"/>
      <c r="AC131" s="6" t="n"/>
      <c r="AD131" s="6" t="n"/>
      <c r="AE131" s="6" t="n"/>
      <c r="AF131" s="4" t="inlineStr">
        <is>
          <t>Slovak Republic</t>
        </is>
      </c>
      <c r="AG131" s="6" t="inlineStr">
        <is>
          <t>The IMF should engage less on climate change-related issues</t>
        </is>
      </c>
      <c r="AH131" s="6" t="inlineStr">
        <is>
          <t>To a slight extent</t>
        </is>
      </c>
      <c r="AI131" s="6" t="inlineStr">
        <is>
          <t>To a moderate extent</t>
        </is>
      </c>
      <c r="AJ131" s="6" t="inlineStr">
        <is>
          <t>To a slight extent</t>
        </is>
      </c>
      <c r="AK131" s="6" t="inlineStr">
        <is>
          <t>To a moderate extent</t>
        </is>
      </c>
      <c r="AL131" s="6" t="inlineStr">
        <is>
          <t>To a moderate extent</t>
        </is>
      </c>
      <c r="AM131" s="6" t="inlineStr">
        <is>
          <t>Don’t know or not applicable</t>
        </is>
      </c>
      <c r="AN131" s="6" t="inlineStr">
        <is>
          <t>Don’t know or not applicable</t>
        </is>
      </c>
      <c r="AO131" s="6" t="inlineStr">
        <is>
          <t>Don’t know or not applicable</t>
        </is>
      </c>
      <c r="AP131" s="6" t="inlineStr">
        <is>
          <t>To a moderate extent</t>
        </is>
      </c>
      <c r="AQ131" s="6" t="inlineStr">
        <is>
          <t>To a moderate extent</t>
        </is>
      </c>
      <c r="AR131" s="6" t="inlineStr">
        <is>
          <t>To a moderate extent</t>
        </is>
      </c>
      <c r="AS131" s="6" t="n"/>
      <c r="AT131" s="6" t="inlineStr">
        <is>
          <t>Not at all</t>
        </is>
      </c>
      <c r="AU131" s="6" t="inlineStr">
        <is>
          <t>To a slight extent</t>
        </is>
      </c>
      <c r="AV131" s="6" t="inlineStr">
        <is>
          <t>To a moderate extent</t>
        </is>
      </c>
      <c r="AW131" s="6" t="inlineStr">
        <is>
          <t>To a slight extent</t>
        </is>
      </c>
      <c r="AX131" s="6" t="inlineStr">
        <is>
          <t>To a slight extent</t>
        </is>
      </c>
      <c r="AY131" s="6" t="inlineStr">
        <is>
          <t>To a great extent</t>
        </is>
      </c>
      <c r="AZ131" s="6" t="inlineStr">
        <is>
          <t>To a moderate extent</t>
        </is>
      </c>
      <c r="BA131" s="6" t="inlineStr">
        <is>
          <t>To a moderate extent</t>
        </is>
      </c>
      <c r="BB131" s="6" t="inlineStr">
        <is>
          <t>To a moderate extent</t>
        </is>
      </c>
      <c r="BC131" s="6" t="inlineStr">
        <is>
          <t>To a slight extent</t>
        </is>
      </c>
      <c r="BD131" s="6" t="inlineStr">
        <is>
          <t>To a great extent</t>
        </is>
      </c>
      <c r="BE131" s="6" t="inlineStr">
        <is>
          <t>Not at all</t>
        </is>
      </c>
      <c r="BF131" s="6" t="inlineStr">
        <is>
          <t>Not at all</t>
        </is>
      </c>
      <c r="BG131" s="6" t="inlineStr">
        <is>
          <t>To a slight extent</t>
        </is>
      </c>
      <c r="BH131" s="6" t="inlineStr">
        <is>
          <t>Don’t know or not applicable</t>
        </is>
      </c>
      <c r="BI131" s="6" t="inlineStr">
        <is>
          <t>To a great extent</t>
        </is>
      </c>
      <c r="BJ131" s="6" t="inlineStr">
        <is>
          <t>To a moderate extent</t>
        </is>
      </c>
      <c r="BK131" s="6" t="inlineStr">
        <is>
          <t>To a moderate extent</t>
        </is>
      </c>
      <c r="BL131" s="6" t="inlineStr">
        <is>
          <t>To a slight extent</t>
        </is>
      </c>
      <c r="BM131" s="6" t="inlineStr">
        <is>
          <t>To a slight extent</t>
        </is>
      </c>
      <c r="BN131" s="6" t="inlineStr">
        <is>
          <t>To a moderate extent</t>
        </is>
      </c>
      <c r="BO131" s="6" t="inlineStr">
        <is>
          <t>Don’t know or not applicable</t>
        </is>
      </c>
      <c r="BP131" s="6" t="inlineStr">
        <is>
          <t>Don’t know or not applicable</t>
        </is>
      </c>
      <c r="BQ131" s="6" t="inlineStr">
        <is>
          <t>Don’t know or not applicable</t>
        </is>
      </c>
      <c r="BR131" s="6" t="inlineStr">
        <is>
          <t>Don’t know or not applicable</t>
        </is>
      </c>
      <c r="BS131" s="6" t="n"/>
      <c r="BT131" s="6" t="inlineStr">
        <is>
          <t>The IMF should have dedicated less resources</t>
        </is>
      </c>
      <c r="BU131" s="6" t="inlineStr">
        <is>
          <t>To a great extent</t>
        </is>
      </c>
      <c r="BV131" s="6" t="inlineStr">
        <is>
          <t>To a slight extent</t>
        </is>
      </c>
      <c r="BW131" s="6" t="inlineStr">
        <is>
          <t>To a moderate extent</t>
        </is>
      </c>
      <c r="BX131" s="6" t="inlineStr">
        <is>
          <t>To a great extent</t>
        </is>
      </c>
      <c r="BY131" s="6" t="inlineStr">
        <is>
          <t>To a slight extent</t>
        </is>
      </c>
      <c r="BZ131" s="6" t="inlineStr">
        <is>
          <t>To a moderate extent</t>
        </is>
      </c>
      <c r="CA131" s="6" t="inlineStr">
        <is>
          <t>To a great extent</t>
        </is>
      </c>
      <c r="CB131" s="6" t="inlineStr">
        <is>
          <t>To a slight extent</t>
        </is>
      </c>
      <c r="CC131" s="6" t="inlineStr">
        <is>
          <t>To a moderate extent</t>
        </is>
      </c>
      <c r="CD131" s="6" t="inlineStr">
        <is>
          <t>To a great extent</t>
        </is>
      </c>
      <c r="CE131" s="6" t="inlineStr">
        <is>
          <t>To a slight extent</t>
        </is>
      </c>
      <c r="CF131" s="6" t="inlineStr">
        <is>
          <t>To a moderate extent</t>
        </is>
      </c>
      <c r="CG131" s="6" t="n"/>
      <c r="CH131" s="6" t="inlineStr">
        <is>
          <t>No</t>
        </is>
      </c>
      <c r="CI131" s="6" t="inlineStr">
        <is>
          <t>No</t>
        </is>
      </c>
      <c r="CJ131" s="6" t="n"/>
      <c r="CK131" s="6" t="n"/>
      <c r="CL131" s="6" t="n"/>
      <c r="CM131" s="6" t="n"/>
      <c r="CN131" s="6" t="n"/>
      <c r="CO131" s="6" t="n"/>
      <c r="CP131" s="6" t="n"/>
      <c r="CQ131" s="6" t="n"/>
      <c r="CR131" s="6" t="n"/>
      <c r="CS131" s="6" t="n"/>
      <c r="CT131" s="6" t="n"/>
      <c r="CU131" s="6" t="n"/>
      <c r="CV131" s="6" t="n"/>
      <c r="CW131" s="6" t="n"/>
      <c r="CX131" s="6" t="n"/>
      <c r="CY131" s="6" t="n"/>
      <c r="CZ131" s="6" t="n"/>
      <c r="DA131" s="6" t="n"/>
      <c r="DB131" s="6" t="n"/>
      <c r="DC131" s="6" t="n"/>
      <c r="DD131" s="6" t="n"/>
      <c r="DE131" s="6" t="n"/>
      <c r="DF131" s="6" t="n"/>
      <c r="DG131" s="6" t="n"/>
      <c r="DH131" s="6" t="n"/>
      <c r="DI131" s="6" t="n"/>
      <c r="DJ131" s="6" t="n"/>
      <c r="DK131" s="6" t="n"/>
      <c r="DL131" s="6" t="n"/>
      <c r="DM131" s="6" t="n"/>
      <c r="DN131" s="6" t="n"/>
      <c r="DO131" s="6" t="n"/>
      <c r="DP131" s="6" t="inlineStr">
        <is>
          <t>My country is not eligible for an RSF arrangement</t>
        </is>
      </c>
      <c r="DQ131" s="6" t="inlineStr">
        <is>
          <t>Climate change does not pose a major balance of payments risk in my country</t>
        </is>
      </c>
      <c r="DR131" s="6" t="n"/>
      <c r="DS131" s="6" t="inlineStr">
        <is>
          <t>More convenient alternative financing options</t>
        </is>
      </c>
      <c r="DT131" s="6" t="n"/>
      <c r="DU131" s="6" t="n"/>
      <c r="DV131" s="6" t="n"/>
      <c r="DW131" s="6" t="inlineStr">
        <is>
          <t>Yes</t>
        </is>
      </c>
      <c r="DX131" s="6" t="n"/>
      <c r="DY131" s="6" t="n"/>
      <c r="DZ131" s="6" t="n"/>
      <c r="EA131" s="6" t="n"/>
      <c r="EB131" s="6" t="inlineStr">
        <is>
          <t>Other (please specify) : European Union (within Recovery and Resilience Facility)</t>
        </is>
      </c>
      <c r="EC131" s="6" t="inlineStr">
        <is>
          <t>Don’t know or not applicable</t>
        </is>
      </c>
      <c r="ED131" s="6" t="inlineStr">
        <is>
          <t>Don’t know or not applicable</t>
        </is>
      </c>
      <c r="EE131" s="6" t="inlineStr">
        <is>
          <t>Don’t know or not applicable</t>
        </is>
      </c>
      <c r="EF131" s="6" t="inlineStr">
        <is>
          <t>To a great extent</t>
        </is>
      </c>
      <c r="EG131" s="6" t="inlineStr">
        <is>
          <t>To a slight extent</t>
        </is>
      </c>
      <c r="EH131" s="6" t="inlineStr">
        <is>
          <t>Not at all</t>
        </is>
      </c>
      <c r="EI131" s="6" t="inlineStr">
        <is>
          <t>To a moderate extent</t>
        </is>
      </c>
      <c r="EJ131" s="6" t="inlineStr">
        <is>
          <t>Not at all</t>
        </is>
      </c>
      <c r="EK131" s="6" t="inlineStr">
        <is>
          <t>Not at all</t>
        </is>
      </c>
      <c r="EL131" s="6" t="inlineStr">
        <is>
          <t>Not at all</t>
        </is>
      </c>
      <c r="EM131" s="6" t="n"/>
      <c r="EN131" s="6" t="n"/>
      <c r="EO131" s="6" t="n"/>
      <c r="EP131" s="6" t="n"/>
      <c r="EQ131" s="6" t="inlineStr">
        <is>
          <t>Not at all</t>
        </is>
      </c>
      <c r="ER131" s="6" t="inlineStr">
        <is>
          <t>To a slight extent</t>
        </is>
      </c>
      <c r="ES131" s="6" t="n"/>
      <c r="ET131" s="6" t="n"/>
      <c r="EU131" s="6" t="n"/>
      <c r="EV131" s="6" t="n"/>
      <c r="EW131" s="6" t="n"/>
      <c r="EX131" s="6" t="n"/>
      <c r="EY131" s="6" t="n"/>
      <c r="EZ131" s="6" t="n"/>
      <c r="FA131" s="6" t="n"/>
      <c r="FB131" s="6" t="n"/>
      <c r="FC131" s="6" t="n"/>
      <c r="FD131" s="6" t="n"/>
      <c r="FE131" s="6" t="n"/>
      <c r="FF131" s="6" t="n"/>
      <c r="FG131" s="6" t="n"/>
      <c r="FH131" s="6" t="inlineStr">
        <is>
          <t>To a slight extent</t>
        </is>
      </c>
      <c r="FI131" s="6" t="inlineStr">
        <is>
          <t>To a moderate extent</t>
        </is>
      </c>
      <c r="FJ131" s="6" t="inlineStr">
        <is>
          <t>To a slight extent</t>
        </is>
      </c>
      <c r="FK131" s="6" t="inlineStr">
        <is>
          <t>To a slight extent</t>
        </is>
      </c>
      <c r="FL131" s="6" t="inlineStr">
        <is>
          <t>To a slight extent</t>
        </is>
      </c>
      <c r="FM131" s="6" t="inlineStr">
        <is>
          <t>To a slight extent</t>
        </is>
      </c>
      <c r="FN131" s="6" t="inlineStr">
        <is>
          <t>Don’t know or not applicable</t>
        </is>
      </c>
      <c r="FO131" s="6" t="inlineStr">
        <is>
          <t>Don’t know or not applicable</t>
        </is>
      </c>
      <c r="FP131" s="6" t="inlineStr">
        <is>
          <t>Don’t know or not applicable</t>
        </is>
      </c>
      <c r="FQ131" s="6" t="inlineStr">
        <is>
          <t>Don’t know or not applicable</t>
        </is>
      </c>
      <c r="FR131" s="6" t="inlineStr">
        <is>
          <t>Don’t know or not applicable</t>
        </is>
      </c>
      <c r="FS131" s="6" t="inlineStr">
        <is>
          <t>Don’t know or not applicable</t>
        </is>
      </c>
      <c r="FT131" s="6" t="inlineStr">
        <is>
          <t>Don’t know or not applicable</t>
        </is>
      </c>
      <c r="FU131" s="6" t="inlineStr">
        <is>
          <t>Don’t know or not applicable</t>
        </is>
      </c>
      <c r="FV131" s="6" t="n"/>
      <c r="FW131" s="6" t="inlineStr">
        <is>
          <t>The IMF should have dedicated less resources</t>
        </is>
      </c>
      <c r="FX131" s="6" t="n"/>
      <c r="FY131" s="6" t="inlineStr">
        <is>
          <t>To a moderate extent</t>
        </is>
      </c>
      <c r="FZ131" s="6" t="inlineStr">
        <is>
          <t>To a slight extent</t>
        </is>
      </c>
      <c r="GA131" s="6" t="inlineStr">
        <is>
          <t>To a great extent</t>
        </is>
      </c>
      <c r="GB131" s="6" t="inlineStr">
        <is>
          <t>To a moderate extent</t>
        </is>
      </c>
      <c r="GC131" s="6" t="inlineStr">
        <is>
          <t>Don’t know or not applicable</t>
        </is>
      </c>
      <c r="GD131" s="6" t="n"/>
      <c r="GE131" s="6" t="inlineStr">
        <is>
          <t>To a moderate extent</t>
        </is>
      </c>
      <c r="GF131" s="6" t="inlineStr">
        <is>
          <t>To a moderate extent</t>
        </is>
      </c>
      <c r="GG131" s="6" t="inlineStr">
        <is>
          <t>To a moderate extent</t>
        </is>
      </c>
      <c r="GH131" s="6" t="inlineStr">
        <is>
          <t>To a slight extent</t>
        </is>
      </c>
      <c r="GI131" s="6" t="inlineStr">
        <is>
          <t>To a slight extent</t>
        </is>
      </c>
      <c r="GJ131" s="6" t="inlineStr">
        <is>
          <t>To a slight extent</t>
        </is>
      </c>
      <c r="GK131" s="6" t="n"/>
      <c r="GL131" s="7">
        <f>DATE(2025,6,13)+TIME(10,6,40)</f>
        <v/>
      </c>
    </row>
    <row r="132" ht="47.25" customHeight="1">
      <c r="A132" s="3" t="inlineStr">
        <is>
          <t>Ingrid</t>
        </is>
      </c>
      <c r="B132" s="3" t="inlineStr">
        <is>
          <t>Mensah</t>
        </is>
      </c>
      <c r="C132" s="3" t="inlineStr">
        <is>
          <t>imensah@organization.org</t>
        </is>
      </c>
      <c r="D132" s="3" t="inlineStr">
        <is>
          <t>3BYLF4N4U</t>
        </is>
      </c>
      <c r="E132" s="3" t="n"/>
      <c r="F132" s="3" t="inlineStr">
        <is>
          <t>OEDCE</t>
        </is>
      </c>
      <c r="G132" s="3" t="n"/>
      <c r="H132" s="3" t="n"/>
      <c r="I132" s="3" t="n"/>
      <c r="J132" s="3" t="n"/>
      <c r="K132" s="3" t="n"/>
      <c r="L132" s="3" t="n"/>
      <c r="M132" s="3" t="n"/>
      <c r="N132" s="3" t="inlineStr">
        <is>
          <t>Spain</t>
        </is>
      </c>
      <c r="O132" s="3" t="n"/>
      <c r="P132" s="3" t="n"/>
      <c r="Q132" s="3" t="n"/>
      <c r="R132" s="3" t="n"/>
      <c r="S132" s="3" t="n"/>
      <c r="T132" s="3" t="n"/>
      <c r="U132" s="3" t="n"/>
      <c r="V132" s="3" t="n"/>
      <c r="W132" s="3" t="n"/>
      <c r="X132" s="3" t="n"/>
      <c r="Y132" s="3" t="n"/>
      <c r="Z132" s="3" t="n"/>
      <c r="AA132" s="3" t="n"/>
      <c r="AB132" s="3" t="n"/>
      <c r="AC132" s="3" t="n"/>
      <c r="AD132" s="3" t="n"/>
      <c r="AE132" s="3" t="n"/>
      <c r="AF132" s="4" t="inlineStr">
        <is>
          <t>Spain</t>
        </is>
      </c>
      <c r="AG132" s="3" t="inlineStr">
        <is>
          <t>The IMF should engage a similar amount on climate change-related issues</t>
        </is>
      </c>
      <c r="AH132" s="3" t="inlineStr">
        <is>
          <t>To a moderate extent</t>
        </is>
      </c>
      <c r="AI132" s="3" t="inlineStr">
        <is>
          <t>Not at all</t>
        </is>
      </c>
      <c r="AJ132" s="3" t="inlineStr">
        <is>
          <t>To a slight extent</t>
        </is>
      </c>
      <c r="AK132" s="3" t="inlineStr">
        <is>
          <t>To a slight extent</t>
        </is>
      </c>
      <c r="AL132" s="3" t="inlineStr">
        <is>
          <t>To a moderate extent</t>
        </is>
      </c>
      <c r="AM132" s="3" t="inlineStr">
        <is>
          <t>To a great extent</t>
        </is>
      </c>
      <c r="AN132" s="3" t="inlineStr">
        <is>
          <t>To a slight extent</t>
        </is>
      </c>
      <c r="AO132" s="3" t="inlineStr">
        <is>
          <t>To a moderate extent</t>
        </is>
      </c>
      <c r="AP132" s="3" t="inlineStr">
        <is>
          <t>To a slight extent</t>
        </is>
      </c>
      <c r="AQ132" s="3" t="inlineStr">
        <is>
          <t>To a slight extent</t>
        </is>
      </c>
      <c r="AR132" s="3" t="inlineStr">
        <is>
          <t>To a moderate extent</t>
        </is>
      </c>
      <c r="AS132" s="3" t="n"/>
      <c r="AT132" s="3" t="inlineStr">
        <is>
          <t>Not at all</t>
        </is>
      </c>
      <c r="AU132" s="3" t="inlineStr">
        <is>
          <t>To a slight extent</t>
        </is>
      </c>
      <c r="AV132" s="3" t="inlineStr">
        <is>
          <t>To a slight extent</t>
        </is>
      </c>
      <c r="AW132" s="3" t="inlineStr">
        <is>
          <t>To a slight extent</t>
        </is>
      </c>
      <c r="AX132" s="3" t="inlineStr">
        <is>
          <t>To a slight extent</t>
        </is>
      </c>
      <c r="AY132" s="3" t="inlineStr">
        <is>
          <t>To a slight extent</t>
        </is>
      </c>
      <c r="AZ132" s="3" t="inlineStr">
        <is>
          <t>To a slight extent</t>
        </is>
      </c>
      <c r="BA132" s="3" t="inlineStr">
        <is>
          <t>To a slight extent</t>
        </is>
      </c>
      <c r="BB132" s="3" t="inlineStr">
        <is>
          <t>To a slight extent</t>
        </is>
      </c>
      <c r="BC132" s="3" t="inlineStr">
        <is>
          <t>To a slight extent</t>
        </is>
      </c>
      <c r="BD132" s="3" t="inlineStr">
        <is>
          <t>To a slight extent</t>
        </is>
      </c>
      <c r="BE132" s="3" t="inlineStr">
        <is>
          <t>To a slight extent</t>
        </is>
      </c>
      <c r="BF132" s="3" t="inlineStr">
        <is>
          <t>To a slight extent</t>
        </is>
      </c>
      <c r="BG132" s="3" t="inlineStr">
        <is>
          <t>To a slight extent</t>
        </is>
      </c>
      <c r="BH132" s="3" t="inlineStr">
        <is>
          <t>To a slight extent</t>
        </is>
      </c>
      <c r="BI132" s="3" t="inlineStr">
        <is>
          <t>To a slight extent</t>
        </is>
      </c>
      <c r="BJ132" s="3" t="inlineStr">
        <is>
          <t>To a slight extent</t>
        </is>
      </c>
      <c r="BK132" s="3" t="inlineStr">
        <is>
          <t>To a slight extent</t>
        </is>
      </c>
      <c r="BL132" s="3" t="inlineStr">
        <is>
          <t>To a slight extent</t>
        </is>
      </c>
      <c r="BM132" s="3" t="inlineStr">
        <is>
          <t>To a slight extent</t>
        </is>
      </c>
      <c r="BN132" s="3" t="inlineStr">
        <is>
          <t>To a slight extent</t>
        </is>
      </c>
      <c r="BO132" s="3" t="inlineStr">
        <is>
          <t>To a slight extent</t>
        </is>
      </c>
      <c r="BP132" s="3" t="inlineStr">
        <is>
          <t>To a slight extent</t>
        </is>
      </c>
      <c r="BQ132" s="3" t="inlineStr">
        <is>
          <t>Don’t know or not applicable</t>
        </is>
      </c>
      <c r="BR132" s="3" t="inlineStr">
        <is>
          <t>Don’t know or not applicable</t>
        </is>
      </c>
      <c r="BS132" s="3" t="n"/>
      <c r="BT132" s="3" t="inlineStr">
        <is>
          <t>The IMF dedicated an appropriate amount of resources</t>
        </is>
      </c>
      <c r="BU132" s="3" t="inlineStr">
        <is>
          <t>To a moderate extent</t>
        </is>
      </c>
      <c r="BV132" s="3" t="inlineStr">
        <is>
          <t>To a slight extent</t>
        </is>
      </c>
      <c r="BW132" s="3" t="inlineStr">
        <is>
          <t>To a moderate extent</t>
        </is>
      </c>
      <c r="BX132" s="3" t="inlineStr">
        <is>
          <t>To a moderate extent</t>
        </is>
      </c>
      <c r="BY132" s="3" t="inlineStr">
        <is>
          <t>To a slight extent</t>
        </is>
      </c>
      <c r="BZ132" s="3" t="inlineStr">
        <is>
          <t>To a moderate extent</t>
        </is>
      </c>
      <c r="CA132" s="3" t="inlineStr">
        <is>
          <t>To a slight extent</t>
        </is>
      </c>
      <c r="CB132" s="3" t="inlineStr">
        <is>
          <t>To a slight extent</t>
        </is>
      </c>
      <c r="CC132" s="3" t="inlineStr">
        <is>
          <t>To a slight extent</t>
        </is>
      </c>
      <c r="CD132" s="3" t="inlineStr">
        <is>
          <t>To a moderate extent</t>
        </is>
      </c>
      <c r="CE132" s="3" t="inlineStr">
        <is>
          <t>To a moderate extent</t>
        </is>
      </c>
      <c r="CF132" s="3" t="inlineStr">
        <is>
          <t>To a moderate extent</t>
        </is>
      </c>
      <c r="CG132" s="3" t="n"/>
      <c r="CH132" s="3" t="inlineStr">
        <is>
          <t>No</t>
        </is>
      </c>
      <c r="CI132" s="3" t="inlineStr">
        <is>
          <t>No</t>
        </is>
      </c>
      <c r="CJ132" s="3" t="n"/>
      <c r="CK132" s="3" t="n"/>
      <c r="CL132" s="3" t="n"/>
      <c r="CM132" s="3" t="n"/>
      <c r="CN132" s="3" t="n"/>
      <c r="CO132" s="3" t="n"/>
      <c r="CP132" s="3" t="n"/>
      <c r="CQ132" s="3" t="n"/>
      <c r="CR132" s="3" t="n"/>
      <c r="CS132" s="3" t="n"/>
      <c r="CT132" s="3" t="n"/>
      <c r="CU132" s="3" t="n"/>
      <c r="CV132" s="3" t="n"/>
      <c r="CW132" s="3" t="n"/>
      <c r="CX132" s="3" t="n"/>
      <c r="CY132" s="3" t="n"/>
      <c r="CZ132" s="3" t="n"/>
      <c r="DA132" s="3" t="n"/>
      <c r="DB132" s="3" t="n"/>
      <c r="DC132" s="3" t="n"/>
      <c r="DD132" s="3" t="n"/>
      <c r="DE132" s="3" t="n"/>
      <c r="DF132" s="3" t="n"/>
      <c r="DG132" s="3" t="n"/>
      <c r="DH132" s="3" t="n"/>
      <c r="DI132" s="3" t="n"/>
      <c r="DJ132" s="3" t="n"/>
      <c r="DK132" s="3" t="n"/>
      <c r="DL132" s="3" t="n"/>
      <c r="DM132" s="3" t="n"/>
      <c r="DN132" s="3" t="n"/>
      <c r="DO132" s="3" t="n"/>
      <c r="DP132" s="3" t="inlineStr">
        <is>
          <t>My country is not eligible for an RSF arrangement</t>
        </is>
      </c>
      <c r="DQ132" s="3" t="n"/>
      <c r="DR132" s="3" t="n"/>
      <c r="DS132" s="3" t="n"/>
      <c r="DT132" s="3" t="n"/>
      <c r="DU132" s="3" t="n"/>
      <c r="DV132" s="3" t="n"/>
      <c r="DW132" s="3" t="inlineStr">
        <is>
          <t>No</t>
        </is>
      </c>
      <c r="DX132" s="3" t="n"/>
      <c r="DY132" s="3" t="n"/>
      <c r="DZ132" s="3" t="n"/>
      <c r="EA132" s="3" t="n"/>
      <c r="EB132" s="3" t="n"/>
      <c r="EC132" s="3" t="n"/>
      <c r="ED132" s="3" t="n"/>
      <c r="EE132" s="3" t="n"/>
      <c r="EF132" s="3" t="inlineStr">
        <is>
          <t>Not at all</t>
        </is>
      </c>
      <c r="EG132" s="3" t="inlineStr">
        <is>
          <t>To a moderate extent</t>
        </is>
      </c>
      <c r="EH132" s="3" t="inlineStr">
        <is>
          <t>To a great extent</t>
        </is>
      </c>
      <c r="EI132" s="3" t="inlineStr">
        <is>
          <t>To a great extent</t>
        </is>
      </c>
      <c r="EJ132" s="3" t="inlineStr">
        <is>
          <t>To a moderate extent</t>
        </is>
      </c>
      <c r="EK132" s="3" t="inlineStr">
        <is>
          <t>To a great extent</t>
        </is>
      </c>
      <c r="EL132" s="3" t="inlineStr">
        <is>
          <t>To a slight extent</t>
        </is>
      </c>
      <c r="EM132" s="3" t="n"/>
      <c r="EN132" s="3" t="n"/>
      <c r="EO132" s="3" t="n"/>
      <c r="EP132" s="3" t="n"/>
      <c r="EQ132" s="3" t="inlineStr">
        <is>
          <t>Not at all</t>
        </is>
      </c>
      <c r="ER132" s="3" t="inlineStr">
        <is>
          <t>Not at all</t>
        </is>
      </c>
      <c r="ES132" s="3" t="n"/>
      <c r="ET132" s="3" t="n"/>
      <c r="EU132" s="3" t="n"/>
      <c r="EV132" s="3" t="n"/>
      <c r="EW132" s="3" t="n"/>
      <c r="EX132" s="3" t="n"/>
      <c r="EY132" s="3" t="n"/>
      <c r="EZ132" s="3" t="n"/>
      <c r="FA132" s="3" t="n"/>
      <c r="FB132" s="3" t="n"/>
      <c r="FC132" s="3" t="n"/>
      <c r="FD132" s="3" t="n"/>
      <c r="FE132" s="3" t="n"/>
      <c r="FF132" s="3" t="n"/>
      <c r="FG132" s="3" t="n"/>
      <c r="FH132" s="3" t="n"/>
      <c r="FI132" s="3" t="n"/>
      <c r="FJ132" s="3" t="n"/>
      <c r="FK132" s="3" t="n"/>
      <c r="FL132" s="3" t="n"/>
      <c r="FM132" s="3" t="n"/>
      <c r="FN132" s="3" t="n"/>
      <c r="FO132" s="3" t="n"/>
      <c r="FP132" s="3" t="n"/>
      <c r="FQ132" s="3" t="n"/>
      <c r="FR132" s="3" t="n"/>
      <c r="FS132" s="3" t="n"/>
      <c r="FT132" s="3" t="n"/>
      <c r="FU132" s="3" t="n"/>
      <c r="FV132" s="3" t="n"/>
      <c r="FW132" s="3" t="n"/>
      <c r="FX132" s="3" t="n"/>
      <c r="FY132" s="3" t="inlineStr">
        <is>
          <t>To a moderate extent</t>
        </is>
      </c>
      <c r="FZ132" s="3" t="inlineStr">
        <is>
          <t>To a moderate extent</t>
        </is>
      </c>
      <c r="GA132" s="3" t="inlineStr">
        <is>
          <t>To a great extent</t>
        </is>
      </c>
      <c r="GB132" s="3" t="inlineStr">
        <is>
          <t>To a slight extent</t>
        </is>
      </c>
      <c r="GC132" s="3" t="inlineStr">
        <is>
          <t>Don’t know or not applicable</t>
        </is>
      </c>
      <c r="GD132" s="3" t="n"/>
      <c r="GE132" s="3" t="inlineStr">
        <is>
          <t>To a moderate extent</t>
        </is>
      </c>
      <c r="GF132" s="3" t="inlineStr">
        <is>
          <t>To a moderate extent</t>
        </is>
      </c>
      <c r="GG132" s="3" t="inlineStr">
        <is>
          <t>To a moderate extent</t>
        </is>
      </c>
      <c r="GH132" s="3" t="inlineStr">
        <is>
          <t>To a great extent</t>
        </is>
      </c>
      <c r="GI132" s="3" t="inlineStr">
        <is>
          <t>To a great extent</t>
        </is>
      </c>
      <c r="GJ132" s="3" t="inlineStr">
        <is>
          <t>To a great extent</t>
        </is>
      </c>
      <c r="GK132" s="3" t="n"/>
      <c r="GL132" s="5">
        <f>DATE(2025,6,5)+TIME(8,24,37)</f>
        <v/>
      </c>
    </row>
    <row r="133" ht="47.25" customHeight="1">
      <c r="A133" s="6" t="inlineStr">
        <is>
          <t>Olga</t>
        </is>
      </c>
      <c r="B133" s="6" t="inlineStr">
        <is>
          <t>Horvath</t>
        </is>
      </c>
      <c r="C133" s="6" t="inlineStr">
        <is>
          <t>ohorvath@organization.org</t>
        </is>
      </c>
      <c r="D133" s="6" t="inlineStr">
        <is>
          <t>6RO18F1K4</t>
        </is>
      </c>
      <c r="E133" s="6" t="n"/>
      <c r="F133" s="6" t="inlineStr">
        <is>
          <t>OEDNE</t>
        </is>
      </c>
      <c r="G133" s="6" t="n"/>
      <c r="H133" s="6" t="n"/>
      <c r="I133" s="6" t="n"/>
      <c r="J133" s="6" t="n"/>
      <c r="K133" s="6" t="n"/>
      <c r="L133" s="6" t="n"/>
      <c r="M133" s="6" t="n"/>
      <c r="N133" s="6" t="n"/>
      <c r="O133" s="6" t="n"/>
      <c r="P133" s="6" t="n"/>
      <c r="Q133" s="6" t="n"/>
      <c r="R133" s="6" t="n"/>
      <c r="S133" s="6" t="n"/>
      <c r="T133" s="6" t="n"/>
      <c r="U133" s="6" t="n"/>
      <c r="V133" s="6" t="n"/>
      <c r="W133" s="6" t="n"/>
      <c r="X133" s="6" t="inlineStr">
        <is>
          <t>Romania</t>
        </is>
      </c>
      <c r="Y133" s="6" t="n"/>
      <c r="Z133" s="6" t="n"/>
      <c r="AA133" s="6" t="n"/>
      <c r="AB133" s="6" t="n"/>
      <c r="AC133" s="6" t="n"/>
      <c r="AD133" s="6" t="n"/>
      <c r="AE133" s="6" t="n"/>
      <c r="AF133" s="4" t="inlineStr">
        <is>
          <t>Romania</t>
        </is>
      </c>
      <c r="AG133" s="6" t="inlineStr">
        <is>
          <t>The IMF should engage a similar amount on climate change-related issues</t>
        </is>
      </c>
      <c r="AH133" s="6" t="inlineStr">
        <is>
          <t>To a moderate extent</t>
        </is>
      </c>
      <c r="AI133" s="6" t="inlineStr">
        <is>
          <t>To a great extent</t>
        </is>
      </c>
      <c r="AJ133" s="6" t="inlineStr">
        <is>
          <t>To a slight extent</t>
        </is>
      </c>
      <c r="AK133" s="6" t="inlineStr">
        <is>
          <t>To a great extent</t>
        </is>
      </c>
      <c r="AL133" s="6" t="inlineStr">
        <is>
          <t>Not at all</t>
        </is>
      </c>
      <c r="AM133" s="6" t="inlineStr">
        <is>
          <t>Don’t know or not applicable</t>
        </is>
      </c>
      <c r="AN133" s="6" t="inlineStr">
        <is>
          <t>Don’t know or not applicable</t>
        </is>
      </c>
      <c r="AO133" s="6" t="inlineStr">
        <is>
          <t>Don’t know or not applicable</t>
        </is>
      </c>
      <c r="AP133" s="6" t="inlineStr">
        <is>
          <t>Not at all</t>
        </is>
      </c>
      <c r="AQ133" s="6" t="inlineStr">
        <is>
          <t>Not at all</t>
        </is>
      </c>
      <c r="AR133" s="6" t="inlineStr">
        <is>
          <t>To a great extent</t>
        </is>
      </c>
      <c r="AS133" s="6" t="n"/>
      <c r="AT133" s="6" t="inlineStr">
        <is>
          <t>Not at all</t>
        </is>
      </c>
      <c r="AU133" s="6" t="inlineStr">
        <is>
          <t>To a slight extent</t>
        </is>
      </c>
      <c r="AV133" s="6" t="inlineStr">
        <is>
          <t>Not at all</t>
        </is>
      </c>
      <c r="AW133" s="6" t="inlineStr">
        <is>
          <t>To a slight extent</t>
        </is>
      </c>
      <c r="AX133" s="6" t="inlineStr">
        <is>
          <t>Not at all</t>
        </is>
      </c>
      <c r="AY133" s="6" t="inlineStr">
        <is>
          <t>To a great extent</t>
        </is>
      </c>
      <c r="AZ133" s="6" t="inlineStr">
        <is>
          <t>To a moderate extent</t>
        </is>
      </c>
      <c r="BA133" s="6" t="inlineStr">
        <is>
          <t>To a slight extent</t>
        </is>
      </c>
      <c r="BB133" s="6" t="inlineStr">
        <is>
          <t>To a slight extent</t>
        </is>
      </c>
      <c r="BC133" s="6" t="inlineStr">
        <is>
          <t>To a slight extent</t>
        </is>
      </c>
      <c r="BD133" s="6" t="inlineStr">
        <is>
          <t>To a great extent</t>
        </is>
      </c>
      <c r="BE133" s="6" t="inlineStr">
        <is>
          <t>Not at all</t>
        </is>
      </c>
      <c r="BF133" s="6" t="inlineStr">
        <is>
          <t>Not at all</t>
        </is>
      </c>
      <c r="BG133" s="6" t="inlineStr">
        <is>
          <t>Not at all</t>
        </is>
      </c>
      <c r="BH133" s="6" t="inlineStr">
        <is>
          <t>Not at all</t>
        </is>
      </c>
      <c r="BI133" s="6" t="inlineStr">
        <is>
          <t>To a great extent</t>
        </is>
      </c>
      <c r="BJ133" s="6" t="inlineStr">
        <is>
          <t>To a moderate extent</t>
        </is>
      </c>
      <c r="BK133" s="6" t="inlineStr">
        <is>
          <t>To a slight extent</t>
        </is>
      </c>
      <c r="BL133" s="6" t="inlineStr">
        <is>
          <t>To a slight extent</t>
        </is>
      </c>
      <c r="BM133" s="6" t="inlineStr">
        <is>
          <t>To a slight extent</t>
        </is>
      </c>
      <c r="BN133" s="6" t="inlineStr">
        <is>
          <t>To a great extent</t>
        </is>
      </c>
      <c r="BO133" s="6" t="inlineStr">
        <is>
          <t>To a moderate extent</t>
        </is>
      </c>
      <c r="BP133" s="6" t="inlineStr">
        <is>
          <t>Not at all</t>
        </is>
      </c>
      <c r="BQ133" s="6" t="inlineStr">
        <is>
          <t>Not at all</t>
        </is>
      </c>
      <c r="BR133" s="6" t="inlineStr">
        <is>
          <t>Don’t know or not applicable</t>
        </is>
      </c>
      <c r="BS133" s="6" t="n"/>
      <c r="BT133" s="6" t="inlineStr">
        <is>
          <t>The IMF dedicated an appropriate amount of resources</t>
        </is>
      </c>
      <c r="BU133" s="6" t="inlineStr">
        <is>
          <t>To a slight extent</t>
        </is>
      </c>
      <c r="BV133" s="6" t="inlineStr">
        <is>
          <t>To a moderate extent</t>
        </is>
      </c>
      <c r="BW133" s="6" t="inlineStr">
        <is>
          <t>To a moderate extent</t>
        </is>
      </c>
      <c r="BX133" s="6" t="inlineStr">
        <is>
          <t>To a moderate extent</t>
        </is>
      </c>
      <c r="BY133" s="6" t="inlineStr">
        <is>
          <t>To a great extent</t>
        </is>
      </c>
      <c r="BZ133" s="6" t="inlineStr">
        <is>
          <t>To a moderate extent</t>
        </is>
      </c>
      <c r="CA133" s="6" t="inlineStr">
        <is>
          <t>To a slight extent</t>
        </is>
      </c>
      <c r="CB133" s="6" t="inlineStr">
        <is>
          <t>To a moderate extent</t>
        </is>
      </c>
      <c r="CC133" s="6" t="inlineStr">
        <is>
          <t>To a moderate extent</t>
        </is>
      </c>
      <c r="CD133" s="6" t="inlineStr">
        <is>
          <t>To a moderate extent</t>
        </is>
      </c>
      <c r="CE133" s="6" t="inlineStr">
        <is>
          <t>To a great extent</t>
        </is>
      </c>
      <c r="CF133" s="6" t="inlineStr">
        <is>
          <t>To a moderate extent</t>
        </is>
      </c>
      <c r="CG133" s="6" t="n"/>
      <c r="CH133" s="6" t="inlineStr">
        <is>
          <t>No</t>
        </is>
      </c>
      <c r="CI133" s="6" t="inlineStr">
        <is>
          <t>No</t>
        </is>
      </c>
      <c r="CJ133" s="6" t="n"/>
      <c r="CK133" s="6" t="n"/>
      <c r="CL133" s="6" t="n"/>
      <c r="CM133" s="6" t="n"/>
      <c r="CN133" s="6" t="n"/>
      <c r="CO133" s="6" t="n"/>
      <c r="CP133" s="6" t="n"/>
      <c r="CQ133" s="6" t="n"/>
      <c r="CR133" s="6" t="n"/>
      <c r="CS133" s="6" t="n"/>
      <c r="CT133" s="6" t="n"/>
      <c r="CU133" s="6" t="n"/>
      <c r="CV133" s="6" t="n"/>
      <c r="CW133" s="6" t="n"/>
      <c r="CX133" s="6" t="n"/>
      <c r="CY133" s="6" t="n"/>
      <c r="CZ133" s="6" t="n"/>
      <c r="DA133" s="6" t="n"/>
      <c r="DB133" s="6" t="n"/>
      <c r="DC133" s="6" t="n"/>
      <c r="DD133" s="6" t="n"/>
      <c r="DE133" s="6" t="n"/>
      <c r="DF133" s="6" t="n"/>
      <c r="DG133" s="6" t="n"/>
      <c r="DH133" s="6" t="n"/>
      <c r="DI133" s="6" t="n"/>
      <c r="DJ133" s="6" t="n"/>
      <c r="DK133" s="6" t="n"/>
      <c r="DL133" s="6" t="n"/>
      <c r="DM133" s="6" t="n"/>
      <c r="DN133" s="6" t="n"/>
      <c r="DO133" s="6" t="n"/>
      <c r="DP133" s="6" t="inlineStr">
        <is>
          <t>My country is not eligible for an RSF arrangement</t>
        </is>
      </c>
      <c r="DQ133" s="6" t="n"/>
      <c r="DR133" s="6" t="n"/>
      <c r="DS133" s="6" t="n"/>
      <c r="DT133" s="6" t="n"/>
      <c r="DU133" s="6" t="n"/>
      <c r="DV133" s="6" t="n"/>
      <c r="DW133" s="6" t="inlineStr">
        <is>
          <t>Yes</t>
        </is>
      </c>
      <c r="DX133" s="6" t="inlineStr">
        <is>
          <t>World Bank Group</t>
        </is>
      </c>
      <c r="DY133" s="6" t="n"/>
      <c r="DZ133" s="6" t="n"/>
      <c r="EA133" s="6" t="n"/>
      <c r="EB133" s="6" t="n"/>
      <c r="EC133" s="6" t="inlineStr">
        <is>
          <t>Don’t know or not applicable</t>
        </is>
      </c>
      <c r="ED133" s="6" t="inlineStr">
        <is>
          <t>Don’t know or not applicable</t>
        </is>
      </c>
      <c r="EE133" s="6" t="inlineStr">
        <is>
          <t>Don’t know or not applicable</t>
        </is>
      </c>
      <c r="EF133" s="6" t="inlineStr">
        <is>
          <t>To a great extent</t>
        </is>
      </c>
      <c r="EG133" s="6" t="inlineStr">
        <is>
          <t>To a moderate extent</t>
        </is>
      </c>
      <c r="EH133" s="6" t="inlineStr">
        <is>
          <t>To a great extent</t>
        </is>
      </c>
      <c r="EI133" s="6" t="inlineStr">
        <is>
          <t>To a moderate extent</t>
        </is>
      </c>
      <c r="EJ133" s="6" t="inlineStr">
        <is>
          <t>To a moderate extent</t>
        </is>
      </c>
      <c r="EK133" s="6" t="inlineStr">
        <is>
          <t>Not at all</t>
        </is>
      </c>
      <c r="EL133" s="6" t="inlineStr">
        <is>
          <t>To a slight extent</t>
        </is>
      </c>
      <c r="EM133" s="6" t="n"/>
      <c r="EN133" s="6" t="n"/>
      <c r="EO133" s="6" t="n"/>
      <c r="EP133" s="6" t="n"/>
      <c r="EQ133" s="6" t="inlineStr">
        <is>
          <t>Not at all</t>
        </is>
      </c>
      <c r="ER133" s="6" t="inlineStr">
        <is>
          <t>Not at all</t>
        </is>
      </c>
      <c r="ES133" s="6" t="n"/>
      <c r="ET133" s="6" t="n"/>
      <c r="EU133" s="6" t="n"/>
      <c r="EV133" s="6" t="n"/>
      <c r="EW133" s="6" t="n"/>
      <c r="EX133" s="6" t="n"/>
      <c r="EY133" s="6" t="n"/>
      <c r="EZ133" s="6" t="n"/>
      <c r="FA133" s="6" t="n"/>
      <c r="FB133" s="6" t="n"/>
      <c r="FC133" s="6" t="n"/>
      <c r="FD133" s="6" t="n"/>
      <c r="FE133" s="6" t="n"/>
      <c r="FF133" s="6" t="n"/>
      <c r="FG133" s="6" t="n"/>
      <c r="FH133" s="6" t="n"/>
      <c r="FI133" s="6" t="n"/>
      <c r="FJ133" s="6" t="n"/>
      <c r="FK133" s="6" t="n"/>
      <c r="FL133" s="6" t="n"/>
      <c r="FM133" s="6" t="n"/>
      <c r="FN133" s="6" t="n"/>
      <c r="FO133" s="6" t="n"/>
      <c r="FP133" s="6" t="n"/>
      <c r="FQ133" s="6" t="n"/>
      <c r="FR133" s="6" t="n"/>
      <c r="FS133" s="6" t="n"/>
      <c r="FT133" s="6" t="n"/>
      <c r="FU133" s="6" t="n"/>
      <c r="FV133" s="6" t="n"/>
      <c r="FW133" s="6" t="n"/>
      <c r="FX133" s="6" t="n"/>
      <c r="FY133" s="6" t="inlineStr">
        <is>
          <t>To a great extent</t>
        </is>
      </c>
      <c r="FZ133" s="6" t="inlineStr">
        <is>
          <t>To a moderate extent</t>
        </is>
      </c>
      <c r="GA133" s="6" t="inlineStr">
        <is>
          <t>To a great extent</t>
        </is>
      </c>
      <c r="GB133" s="6" t="inlineStr">
        <is>
          <t>To a moderate extent</t>
        </is>
      </c>
      <c r="GC133" s="6" t="inlineStr">
        <is>
          <t>Don’t know or not applicable</t>
        </is>
      </c>
      <c r="GD133" s="6" t="n"/>
      <c r="GE133" s="6" t="inlineStr">
        <is>
          <t>To a great extent</t>
        </is>
      </c>
      <c r="GF133" s="6" t="inlineStr">
        <is>
          <t>To a great extent</t>
        </is>
      </c>
      <c r="GG133" s="6" t="inlineStr">
        <is>
          <t>To a great extent</t>
        </is>
      </c>
      <c r="GH133" s="6" t="inlineStr">
        <is>
          <t>To a slight extent</t>
        </is>
      </c>
      <c r="GI133" s="6" t="inlineStr">
        <is>
          <t>To a great extent</t>
        </is>
      </c>
      <c r="GJ133" s="6" t="inlineStr">
        <is>
          <t>To a moderate extent</t>
        </is>
      </c>
      <c r="GK133" s="6" t="n"/>
      <c r="GL133" s="7">
        <f>DATE(2025,6,5)+TIME(10,50,57)</f>
        <v/>
      </c>
    </row>
    <row r="134" ht="409.5" customHeight="1">
      <c r="A134" s="3" t="inlineStr">
        <is>
          <t>James</t>
        </is>
      </c>
      <c r="B134" s="3" t="inlineStr">
        <is>
          <t>Santos</t>
        </is>
      </c>
      <c r="C134" s="3" t="inlineStr">
        <is>
          <t>jsantos@organization.org</t>
        </is>
      </c>
      <c r="D134" s="3" t="inlineStr">
        <is>
          <t>AI1EYBUQ3</t>
        </is>
      </c>
      <c r="E134" s="3" t="n"/>
      <c r="F134" s="3" t="inlineStr">
        <is>
          <t>OEDRU</t>
        </is>
      </c>
      <c r="G134" s="3" t="n"/>
      <c r="H134" s="3" t="n"/>
      <c r="I134" s="3" t="n"/>
      <c r="J134" s="3" t="n"/>
      <c r="K134" s="3" t="n"/>
      <c r="L134" s="3" t="n"/>
      <c r="M134" s="3" t="n"/>
      <c r="N134" s="3" t="n"/>
      <c r="O134" s="3" t="n"/>
      <c r="P134" s="3" t="n"/>
      <c r="Q134" s="3" t="n"/>
      <c r="R134" s="3" t="n"/>
      <c r="S134" s="3" t="n"/>
      <c r="T134" s="3" t="n"/>
      <c r="U134" s="3" t="n"/>
      <c r="V134" s="3" t="n"/>
      <c r="W134" s="3" t="n"/>
      <c r="X134" s="3" t="n"/>
      <c r="Y134" s="3" t="n"/>
      <c r="Z134" s="3" t="inlineStr">
        <is>
          <t>Russian Federation</t>
        </is>
      </c>
      <c r="AA134" s="3" t="n"/>
      <c r="AB134" s="3" t="n"/>
      <c r="AC134" s="3" t="n"/>
      <c r="AD134" s="3" t="n"/>
      <c r="AE134" s="3" t="n"/>
      <c r="AF134" s="4" t="inlineStr">
        <is>
          <t>Russian Federation</t>
        </is>
      </c>
      <c r="AG134" s="3" t="inlineStr">
        <is>
          <t>The IMF should engage a similar amount on climate change-related issues</t>
        </is>
      </c>
      <c r="AH134" s="3" t="inlineStr">
        <is>
          <t>Don’t know or not applicable</t>
        </is>
      </c>
      <c r="AI134" s="3" t="inlineStr">
        <is>
          <t>To a moderate extent</t>
        </is>
      </c>
      <c r="AJ134" s="3" t="inlineStr">
        <is>
          <t>To a great extent</t>
        </is>
      </c>
      <c r="AK134" s="3" t="inlineStr">
        <is>
          <t>To a moderate extent</t>
        </is>
      </c>
      <c r="AL134" s="3" t="inlineStr">
        <is>
          <t>To a moderate extent</t>
        </is>
      </c>
      <c r="AM134" s="3" t="inlineStr">
        <is>
          <t>Don’t know or not applicable</t>
        </is>
      </c>
      <c r="AN134" s="3" t="inlineStr">
        <is>
          <t>Don’t know or not applicable</t>
        </is>
      </c>
      <c r="AO134" s="3" t="inlineStr">
        <is>
          <t>Don’t know or not applicable</t>
        </is>
      </c>
      <c r="AP134" s="3" t="inlineStr">
        <is>
          <t>Don’t know or not applicable</t>
        </is>
      </c>
      <c r="AQ134" s="3" t="inlineStr">
        <is>
          <t>To a moderate extent</t>
        </is>
      </c>
      <c r="AR134" s="3" t="inlineStr">
        <is>
          <t>Don’t know or not applicable</t>
        </is>
      </c>
      <c r="AS134" s="3" t="n"/>
      <c r="AT134" s="3" t="inlineStr">
        <is>
          <t>Don’t know or not applicable</t>
        </is>
      </c>
      <c r="AU134" s="3" t="inlineStr">
        <is>
          <t>Don’t know or not applicable</t>
        </is>
      </c>
      <c r="AV134" s="3" t="inlineStr">
        <is>
          <t>Don’t know or not applicable</t>
        </is>
      </c>
      <c r="AW134" s="3" t="inlineStr">
        <is>
          <t>Don’t know or not applicable</t>
        </is>
      </c>
      <c r="AX134" s="3" t="inlineStr">
        <is>
          <t>Don’t know or not applicable</t>
        </is>
      </c>
      <c r="AY134" s="3" t="inlineStr">
        <is>
          <t>Don’t know or not applicable</t>
        </is>
      </c>
      <c r="AZ134" s="3" t="inlineStr">
        <is>
          <t>To a moderate extent</t>
        </is>
      </c>
      <c r="BA134" s="3" t="inlineStr">
        <is>
          <t>To a slight extent</t>
        </is>
      </c>
      <c r="BB134" s="3" t="inlineStr">
        <is>
          <t>To a moderate extent</t>
        </is>
      </c>
      <c r="BC134" s="3" t="inlineStr">
        <is>
          <t>To a slight extent</t>
        </is>
      </c>
      <c r="BD134" s="3" t="inlineStr">
        <is>
          <t>To a slight extent</t>
        </is>
      </c>
      <c r="BE134" s="3" t="inlineStr">
        <is>
          <t>To a slight extent</t>
        </is>
      </c>
      <c r="BF134" s="3" t="inlineStr">
        <is>
          <t>Not at all</t>
        </is>
      </c>
      <c r="BG134" s="3" t="inlineStr">
        <is>
          <t>To a great extent</t>
        </is>
      </c>
      <c r="BH134" s="3" t="inlineStr">
        <is>
          <t>To a slight extent</t>
        </is>
      </c>
      <c r="BI134" s="3" t="inlineStr">
        <is>
          <t>Don’t know or not applicable</t>
        </is>
      </c>
      <c r="BJ134" s="3" t="inlineStr">
        <is>
          <t>To a moderate extent</t>
        </is>
      </c>
      <c r="BK134" s="3" t="inlineStr">
        <is>
          <t>To a slight extent</t>
        </is>
      </c>
      <c r="BL134" s="3" t="inlineStr">
        <is>
          <t>To a great extent</t>
        </is>
      </c>
      <c r="BM134" s="3" t="inlineStr">
        <is>
          <t>To a slight extent</t>
        </is>
      </c>
      <c r="BN134" s="3" t="inlineStr">
        <is>
          <t>To a slight extent</t>
        </is>
      </c>
      <c r="BO134" s="3" t="inlineStr">
        <is>
          <t>To a great extent</t>
        </is>
      </c>
      <c r="BP134" s="3" t="inlineStr">
        <is>
          <t>Not at all</t>
        </is>
      </c>
      <c r="BQ134" s="3" t="inlineStr">
        <is>
          <t>To a slight extent</t>
        </is>
      </c>
      <c r="BR134" s="3" t="inlineStr">
        <is>
          <t>Not at all</t>
        </is>
      </c>
      <c r="BS134" s="3" t="n"/>
      <c r="BT134" s="3" t="inlineStr">
        <is>
          <t>The IMF dedicated an appropriate amount of resources</t>
        </is>
      </c>
      <c r="BU134" s="3" t="inlineStr">
        <is>
          <t>To a moderate extent</t>
        </is>
      </c>
      <c r="BV134" s="3" t="inlineStr">
        <is>
          <t>To a slight extent</t>
        </is>
      </c>
      <c r="BW134" s="3" t="inlineStr">
        <is>
          <t>To a moderate extent</t>
        </is>
      </c>
      <c r="BX134" s="3" t="inlineStr">
        <is>
          <t>To a moderate extent</t>
        </is>
      </c>
      <c r="BY134" s="3" t="inlineStr">
        <is>
          <t>To a moderate extent</t>
        </is>
      </c>
      <c r="BZ134" s="3" t="inlineStr">
        <is>
          <t>To a moderate extent</t>
        </is>
      </c>
      <c r="CA134" s="3" t="inlineStr">
        <is>
          <t>To a moderate extent</t>
        </is>
      </c>
      <c r="CB134" s="3" t="inlineStr">
        <is>
          <t>To a moderate extent</t>
        </is>
      </c>
      <c r="CC134" s="3" t="inlineStr">
        <is>
          <t>To a moderate extent</t>
        </is>
      </c>
      <c r="CD134" s="3" t="inlineStr">
        <is>
          <t>To a moderate extent</t>
        </is>
      </c>
      <c r="CE134" s="3" t="inlineStr">
        <is>
          <t>To a moderate extent</t>
        </is>
      </c>
      <c r="CF134" s="3" t="inlineStr">
        <is>
          <t>To a moderate extent</t>
        </is>
      </c>
      <c r="CG134" s="3" t="n"/>
      <c r="CH134" s="3" t="inlineStr">
        <is>
          <t>No</t>
        </is>
      </c>
      <c r="CI134" s="3" t="inlineStr">
        <is>
          <t>No</t>
        </is>
      </c>
      <c r="CJ134" s="3" t="n"/>
      <c r="CK134" s="3" t="n"/>
      <c r="CL134" s="3" t="n"/>
      <c r="CM134" s="3" t="n"/>
      <c r="CN134" s="3" t="n"/>
      <c r="CO134" s="3" t="n"/>
      <c r="CP134" s="3" t="n"/>
      <c r="CQ134" s="3" t="n"/>
      <c r="CR134" s="3" t="n"/>
      <c r="CS134" s="3" t="n"/>
      <c r="CT134" s="3" t="n"/>
      <c r="CU134" s="3" t="n"/>
      <c r="CV134" s="3" t="n"/>
      <c r="CW134" s="3" t="n"/>
      <c r="CX134" s="3" t="n"/>
      <c r="CY134" s="3" t="n"/>
      <c r="CZ134" s="3" t="n"/>
      <c r="DA134" s="3" t="n"/>
      <c r="DB134" s="3" t="n"/>
      <c r="DC134" s="3" t="n"/>
      <c r="DD134" s="3" t="n"/>
      <c r="DE134" s="3" t="n"/>
      <c r="DF134" s="3" t="n"/>
      <c r="DG134" s="3" t="n"/>
      <c r="DH134" s="3" t="n"/>
      <c r="DI134" s="3" t="n"/>
      <c r="DJ134" s="3" t="n"/>
      <c r="DK134" s="3" t="n"/>
      <c r="DL134" s="3" t="n"/>
      <c r="DM134" s="3" t="n"/>
      <c r="DN134" s="3" t="n"/>
      <c r="DO134" s="3" t="n"/>
      <c r="DP134" s="3" t="n"/>
      <c r="DQ134" s="3" t="inlineStr">
        <is>
          <t>Climate change does not pose a major balance of payments risk in my country</t>
        </is>
      </c>
      <c r="DR134" s="3" t="n"/>
      <c r="DS134" s="3" t="n"/>
      <c r="DT134" s="3" t="n"/>
      <c r="DU134" s="3" t="inlineStr">
        <is>
          <t>An RSF arrangement would have been useful, but my country had no balance of payments issues/did not need/was not willing to commit to the underlying UCT program</t>
        </is>
      </c>
      <c r="DV134" s="3" t="n"/>
      <c r="DW134" s="3" t="inlineStr">
        <is>
          <t>No</t>
        </is>
      </c>
      <c r="DX134" s="3" t="n"/>
      <c r="DY134" s="3" t="n"/>
      <c r="DZ134" s="3" t="n"/>
      <c r="EA134" s="3" t="n"/>
      <c r="EB134" s="3" t="n"/>
      <c r="EC134" s="3" t="n"/>
      <c r="ED134" s="3" t="n"/>
      <c r="EE134" s="3" t="n"/>
      <c r="EF134" s="3" t="inlineStr">
        <is>
          <t>To a great extent</t>
        </is>
      </c>
      <c r="EG134" s="3" t="inlineStr">
        <is>
          <t>To a moderate extent</t>
        </is>
      </c>
      <c r="EH134" s="3" t="inlineStr">
        <is>
          <t>To a slight extent</t>
        </is>
      </c>
      <c r="EI134" s="3" t="inlineStr">
        <is>
          <t>To a slight extent</t>
        </is>
      </c>
      <c r="EJ134" s="3" t="inlineStr">
        <is>
          <t>Not at all</t>
        </is>
      </c>
      <c r="EK134" s="3" t="inlineStr">
        <is>
          <t>Not at all</t>
        </is>
      </c>
      <c r="EL134" s="3" t="inlineStr">
        <is>
          <t>Not at all</t>
        </is>
      </c>
      <c r="EM134" s="3" t="n"/>
      <c r="EN134" s="3" t="n"/>
      <c r="EO134" s="3" t="n"/>
      <c r="EP134" s="3" t="n"/>
      <c r="EQ134" s="3" t="inlineStr">
        <is>
          <t>Not at all</t>
        </is>
      </c>
      <c r="ER134" s="3" t="inlineStr">
        <is>
          <t>Not at all</t>
        </is>
      </c>
      <c r="ES134" s="3" t="n"/>
      <c r="ET134" s="3" t="n"/>
      <c r="EU134" s="3" t="n"/>
      <c r="EV134" s="3" t="n"/>
      <c r="EW134" s="3" t="n"/>
      <c r="EX134" s="3" t="n"/>
      <c r="EY134" s="3" t="n"/>
      <c r="EZ134" s="3" t="n"/>
      <c r="FA134" s="3" t="n"/>
      <c r="FB134" s="3" t="n"/>
      <c r="FC134" s="3" t="n"/>
      <c r="FD134" s="3" t="n"/>
      <c r="FE134" s="3" t="n"/>
      <c r="FF134" s="3" t="n"/>
      <c r="FG134" s="3" t="n"/>
      <c r="FH134" s="3" t="n"/>
      <c r="FI134" s="3" t="n"/>
      <c r="FJ134" s="3" t="n"/>
      <c r="FK134" s="3" t="n"/>
      <c r="FL134" s="3" t="n"/>
      <c r="FM134" s="3" t="n"/>
      <c r="FN134" s="3" t="n"/>
      <c r="FO134" s="3" t="n"/>
      <c r="FP134" s="3" t="n"/>
      <c r="FQ134" s="3" t="n"/>
      <c r="FR134" s="3" t="n"/>
      <c r="FS134" s="3" t="n"/>
      <c r="FT134" s="3" t="n"/>
      <c r="FU134" s="3" t="n"/>
      <c r="FV134" s="3" t="n"/>
      <c r="FW134" s="3" t="n"/>
      <c r="FX134" s="3" t="n"/>
      <c r="FY134" s="3" t="inlineStr">
        <is>
          <t>To a slight extent</t>
        </is>
      </c>
      <c r="FZ134" s="3" t="inlineStr">
        <is>
          <t>To a great extent</t>
        </is>
      </c>
      <c r="GA134" s="3" t="inlineStr">
        <is>
          <t>To a great extent</t>
        </is>
      </c>
      <c r="GB134" s="3" t="inlineStr">
        <is>
          <t>To a slight extent</t>
        </is>
      </c>
      <c r="GC134" s="3" t="inlineStr">
        <is>
          <t>To a great extent</t>
        </is>
      </c>
      <c r="GD134" s="3" t="inlineStr">
        <is>
          <t>Providing advice on monetary and fiscal policy within IMF’s mandate</t>
        </is>
      </c>
      <c r="GE134" s="3" t="inlineStr">
        <is>
          <t>To a great extent</t>
        </is>
      </c>
      <c r="GF134" s="3" t="inlineStr">
        <is>
          <t>To a moderate extent</t>
        </is>
      </c>
      <c r="GG134" s="3" t="inlineStr">
        <is>
          <t>To a great extent</t>
        </is>
      </c>
      <c r="GH134" s="3" t="inlineStr">
        <is>
          <t>To a slight extent</t>
        </is>
      </c>
      <c r="GI134" s="3" t="inlineStr">
        <is>
          <t>To a slight extent</t>
        </is>
      </c>
      <c r="GJ134" s="3" t="inlineStr">
        <is>
          <t>To a great extent</t>
        </is>
      </c>
      <c r="GK134" s="3" t="inlineStr">
        <is>
          <t>•	The Fund should focus on macroeconomic, fiscal, and monetary aspects of climate change problems in line with its mandate and only when its macrocritical. We are concerned about the existing resources constraints, and, in this regard, we deem that the IMF’s resources should be predominately allocated to the areas central to the Fund’s mandate.
•	Given the growing intensity and frequency of physical climate risks, the Fund should pursue ad-hoc approach and put more efforts in incorporation of climate risks in its work – in capacity building only in countries most at risk.
•	While developing recommendations during the Fund surveillance activities, the Fund should take into account country’s nationally defined climate strategies / NDCs and capabilities. 
•	Regarding the RST, it is important to ensure that RSF programs provide fair treatment of all eligible members. Reform measures under the programs should consider countries’ capacity constraints. We also would like to acknowledge the necessity of contributors’ rights protection and of more robust safeguards for them (corresponding contributions to the Reserve Account and to the Deposit Account).  
•	We consider that the IMF should focus more on adaptation and transition issues in low-income countries, as their input in mitigation is very low.
•	Challenges persist in the Fund’s engagement with external partners in terms of duplication of efforts and creating synergies.
•	Russian Federation is open to collaborate with the IMF on climate-related and other issues, however, the interaction has been suspended by the Fund. In this regard, we are concerned about the evenhandedness issues and the high level of politization of the IMF’s work.</t>
        </is>
      </c>
      <c r="GL134" s="5">
        <f>DATE(2025,5,30)+TIME(16,37,18)</f>
        <v/>
      </c>
    </row>
    <row r="135" ht="110.25" customHeight="1">
      <c r="A135" s="6" t="inlineStr">
        <is>
          <t>Leila</t>
        </is>
      </c>
      <c r="B135" s="6" t="inlineStr">
        <is>
          <t>Fernandez</t>
        </is>
      </c>
      <c r="C135" s="6" t="inlineStr">
        <is>
          <t>lfernandez@organization.org</t>
        </is>
      </c>
      <c r="D135" s="6" t="inlineStr">
        <is>
          <t>8P7XY4M2C</t>
        </is>
      </c>
      <c r="E135" s="6" t="n"/>
      <c r="F135" s="6" t="inlineStr">
        <is>
          <t>OEDSZ</t>
        </is>
      </c>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c r="AA135" s="6" t="n"/>
      <c r="AB135" s="6" t="n"/>
      <c r="AC135" s="6" t="inlineStr">
        <is>
          <t>Kyrgyz Republic (Kyrgyzstan)</t>
        </is>
      </c>
      <c r="AD135" s="6" t="n"/>
      <c r="AE135" s="6" t="n"/>
      <c r="AF135" s="4" t="inlineStr">
        <is>
          <t>Kyrgyz Republic (Kyrgyzstan)</t>
        </is>
      </c>
      <c r="AG135" s="6" t="inlineStr">
        <is>
          <t>The IMF should engage more on climate change-related issues</t>
        </is>
      </c>
      <c r="AH135" s="6" t="inlineStr">
        <is>
          <t>To a moderate extent</t>
        </is>
      </c>
      <c r="AI135" s="6" t="inlineStr">
        <is>
          <t>To a slight extent</t>
        </is>
      </c>
      <c r="AJ135" s="6" t="inlineStr">
        <is>
          <t>Don’t know or not applicable</t>
        </is>
      </c>
      <c r="AK135" s="6" t="inlineStr">
        <is>
          <t>To a moderate extent</t>
        </is>
      </c>
      <c r="AL135" s="6" t="inlineStr">
        <is>
          <t>Don’t know or not applicable</t>
        </is>
      </c>
      <c r="AM135" s="6" t="inlineStr">
        <is>
          <t>Don’t know or not applicable</t>
        </is>
      </c>
      <c r="AN135" s="6" t="inlineStr">
        <is>
          <t>Don’t know or not applicable</t>
        </is>
      </c>
      <c r="AO135" s="6" t="inlineStr">
        <is>
          <t>Don’t know or not applicable</t>
        </is>
      </c>
      <c r="AP135" s="6" t="inlineStr">
        <is>
          <t>To a moderate extent</t>
        </is>
      </c>
      <c r="AQ135" s="6" t="inlineStr">
        <is>
          <t>To a moderate extent</t>
        </is>
      </c>
      <c r="AR135" s="6" t="inlineStr">
        <is>
          <t>To a moderate extent</t>
        </is>
      </c>
      <c r="AS135" s="6" t="n"/>
      <c r="AT135" s="6" t="inlineStr">
        <is>
          <t>To a slight extent</t>
        </is>
      </c>
      <c r="AU135" s="6" t="inlineStr">
        <is>
          <t>To a slight extent</t>
        </is>
      </c>
      <c r="AV135" s="6" t="inlineStr">
        <is>
          <t>Not at all</t>
        </is>
      </c>
      <c r="AW135" s="6" t="inlineStr">
        <is>
          <t>To a slight extent</t>
        </is>
      </c>
      <c r="AX135" s="6" t="inlineStr">
        <is>
          <t>To a slight extent</t>
        </is>
      </c>
      <c r="AY135" s="6" t="inlineStr">
        <is>
          <t>To a great extent</t>
        </is>
      </c>
      <c r="AZ135" s="6" t="inlineStr">
        <is>
          <t>To a moderate extent</t>
        </is>
      </c>
      <c r="BA135" s="6" t="inlineStr">
        <is>
          <t>Not at all</t>
        </is>
      </c>
      <c r="BB135" s="6" t="inlineStr">
        <is>
          <t>To a moderate extent</t>
        </is>
      </c>
      <c r="BC135" s="6" t="inlineStr">
        <is>
          <t>To a slight extent</t>
        </is>
      </c>
      <c r="BD135" s="6" t="inlineStr">
        <is>
          <t>To a great extent</t>
        </is>
      </c>
      <c r="BE135" s="6" t="inlineStr">
        <is>
          <t>Don’t know or not applicable</t>
        </is>
      </c>
      <c r="BF135" s="6" t="inlineStr">
        <is>
          <t>Don’t know or not applicable</t>
        </is>
      </c>
      <c r="BG135" s="6" t="inlineStr">
        <is>
          <t>Don’t know or not applicable</t>
        </is>
      </c>
      <c r="BH135" s="6" t="inlineStr">
        <is>
          <t>Don’t know or not applicable</t>
        </is>
      </c>
      <c r="BI135" s="6" t="inlineStr">
        <is>
          <t>Don’t know or not applicable</t>
        </is>
      </c>
      <c r="BJ135" s="6" t="inlineStr">
        <is>
          <t>To a slight extent</t>
        </is>
      </c>
      <c r="BK135" s="6" t="inlineStr">
        <is>
          <t>Not at all</t>
        </is>
      </c>
      <c r="BL135" s="6" t="inlineStr">
        <is>
          <t>To a slight extent</t>
        </is>
      </c>
      <c r="BM135" s="6" t="inlineStr">
        <is>
          <t>To a slight extent</t>
        </is>
      </c>
      <c r="BN135" s="6" t="inlineStr">
        <is>
          <t>Don’t know or not applicable</t>
        </is>
      </c>
      <c r="BO135" s="6" t="inlineStr">
        <is>
          <t>To a great extent</t>
        </is>
      </c>
      <c r="BP135" s="6" t="inlineStr">
        <is>
          <t>To a great extent</t>
        </is>
      </c>
      <c r="BQ135" s="6" t="inlineStr">
        <is>
          <t>To a great extent</t>
        </is>
      </c>
      <c r="BR135" s="6" t="inlineStr">
        <is>
          <t>Don’t know or not applicable</t>
        </is>
      </c>
      <c r="BS135" s="6" t="n"/>
      <c r="BT135" s="6" t="inlineStr">
        <is>
          <t>The IMF should have dedicated more resources</t>
        </is>
      </c>
      <c r="BU135" s="6" t="inlineStr">
        <is>
          <t>To a great extent</t>
        </is>
      </c>
      <c r="BV135" s="6" t="inlineStr">
        <is>
          <t>To a great extent</t>
        </is>
      </c>
      <c r="BW135" s="6" t="inlineStr">
        <is>
          <t>To a great extent</t>
        </is>
      </c>
      <c r="BX135" s="6" t="inlineStr">
        <is>
          <t>To a great extent</t>
        </is>
      </c>
      <c r="BY135" s="6" t="inlineStr">
        <is>
          <t>To a great extent</t>
        </is>
      </c>
      <c r="BZ135" s="6" t="inlineStr">
        <is>
          <t>To a great extent</t>
        </is>
      </c>
      <c r="CA135" s="6" t="inlineStr">
        <is>
          <t>To a moderate extent</t>
        </is>
      </c>
      <c r="CB135" s="6" t="inlineStr">
        <is>
          <t>To a moderate extent</t>
        </is>
      </c>
      <c r="CC135" s="6" t="inlineStr">
        <is>
          <t>To a moderate extent</t>
        </is>
      </c>
      <c r="CD135" s="6" t="inlineStr">
        <is>
          <t>To a great extent</t>
        </is>
      </c>
      <c r="CE135" s="6" t="inlineStr">
        <is>
          <t>To a great extent</t>
        </is>
      </c>
      <c r="CF135" s="6" t="inlineStr">
        <is>
          <t>To a great extent</t>
        </is>
      </c>
      <c r="CG135" s="6" t="n"/>
      <c r="CH135" s="6" t="inlineStr">
        <is>
          <t>No</t>
        </is>
      </c>
      <c r="CI135" s="6" t="inlineStr">
        <is>
          <t>No</t>
        </is>
      </c>
      <c r="CJ135" s="6" t="n"/>
      <c r="CK135" s="6" t="n"/>
      <c r="CL135" s="6" t="n"/>
      <c r="CM135" s="6" t="n"/>
      <c r="CN135" s="6" t="n"/>
      <c r="CO135" s="6" t="n"/>
      <c r="CP135" s="6" t="n"/>
      <c r="CQ135" s="6" t="n"/>
      <c r="CR135" s="6" t="n"/>
      <c r="CS135" s="6" t="n"/>
      <c r="CT135" s="6" t="n"/>
      <c r="CU135" s="6" t="n"/>
      <c r="CV135" s="6" t="n"/>
      <c r="CW135" s="6" t="n"/>
      <c r="CX135" s="6" t="n"/>
      <c r="CY135" s="6" t="n"/>
      <c r="CZ135" s="6" t="n"/>
      <c r="DA135" s="6" t="n"/>
      <c r="DB135" s="6" t="n"/>
      <c r="DC135" s="6" t="n"/>
      <c r="DD135" s="6" t="n"/>
      <c r="DE135" s="6" t="n"/>
      <c r="DF135" s="6" t="n"/>
      <c r="DG135" s="6" t="n"/>
      <c r="DH135" s="6" t="n"/>
      <c r="DI135" s="6" t="n"/>
      <c r="DJ135" s="6" t="n"/>
      <c r="DK135" s="6" t="n"/>
      <c r="DL135" s="6" t="n"/>
      <c r="DM135" s="6" t="n"/>
      <c r="DN135" s="6" t="n"/>
      <c r="DO135" s="6" t="n"/>
      <c r="DP135" s="6" t="n"/>
      <c r="DQ135" s="6" t="n"/>
      <c r="DR135" s="6" t="n"/>
      <c r="DS135" s="6" t="n"/>
      <c r="DT135" s="6" t="n"/>
      <c r="DU135" s="6" t="inlineStr">
        <is>
          <t>An RSF arrangement would have been useful, but my country had no balance of payments issues/did not need/was not willing to commit to the underlying UCT program</t>
        </is>
      </c>
      <c r="DV135" s="6" t="n"/>
      <c r="DW135" s="6" t="inlineStr">
        <is>
          <t>Yes</t>
        </is>
      </c>
      <c r="DX135" s="6" t="inlineStr">
        <is>
          <t>World Bank Group</t>
        </is>
      </c>
      <c r="DY135" s="6" t="inlineStr">
        <is>
          <t>Regional development banks</t>
        </is>
      </c>
      <c r="DZ135" s="6" t="n"/>
      <c r="EA135" s="6" t="n"/>
      <c r="EB135" s="6" t="n"/>
      <c r="EC135" s="6" t="inlineStr">
        <is>
          <t>Don’t know or not applicable</t>
        </is>
      </c>
      <c r="ED135" s="6" t="inlineStr">
        <is>
          <t>Not at all</t>
        </is>
      </c>
      <c r="EE135" s="6" t="inlineStr">
        <is>
          <t>To a slight extent</t>
        </is>
      </c>
      <c r="EF135" s="6" t="inlineStr">
        <is>
          <t>To a moderate extent</t>
        </is>
      </c>
      <c r="EG135" s="6" t="inlineStr">
        <is>
          <t>To a moderate extent</t>
        </is>
      </c>
      <c r="EH135" s="6" t="inlineStr">
        <is>
          <t>Don’t know or not applicable</t>
        </is>
      </c>
      <c r="EI135" s="6" t="inlineStr">
        <is>
          <t>Don’t know or not applicable</t>
        </is>
      </c>
      <c r="EJ135" s="6" t="inlineStr">
        <is>
          <t>To a moderate extent</t>
        </is>
      </c>
      <c r="EK135" s="6" t="inlineStr">
        <is>
          <t>To a moderate extent</t>
        </is>
      </c>
      <c r="EL135" s="6" t="inlineStr">
        <is>
          <t>To a moderate extent</t>
        </is>
      </c>
      <c r="EM135" s="6" t="n"/>
      <c r="EN135" s="6" t="n"/>
      <c r="EO135" s="6" t="n"/>
      <c r="EP135" s="6" t="n"/>
      <c r="EQ135" s="6" t="inlineStr">
        <is>
          <t>To a slight extent</t>
        </is>
      </c>
      <c r="ER135" s="6" t="inlineStr">
        <is>
          <t>To a moderate extent</t>
        </is>
      </c>
      <c r="ES135" s="6" t="n"/>
      <c r="ET135" s="6" t="inlineStr">
        <is>
          <t>To a slight extent</t>
        </is>
      </c>
      <c r="EU135" s="6" t="inlineStr">
        <is>
          <t>To a moderate extent</t>
        </is>
      </c>
      <c r="EV135" s="6" t="inlineStr">
        <is>
          <t>To a slight extent</t>
        </is>
      </c>
      <c r="EW135" s="6" t="inlineStr">
        <is>
          <t>Don’t know or not applicable</t>
        </is>
      </c>
      <c r="EX135" s="6" t="n"/>
      <c r="EY135" s="6" t="inlineStr">
        <is>
          <t>To a slight extent</t>
        </is>
      </c>
      <c r="EZ135" s="6" t="inlineStr">
        <is>
          <t>Not at all</t>
        </is>
      </c>
      <c r="FA135" s="6" t="inlineStr">
        <is>
          <t>To a moderate extent</t>
        </is>
      </c>
      <c r="FB135" s="6" t="inlineStr">
        <is>
          <t>To a slight extent</t>
        </is>
      </c>
      <c r="FC135" s="6" t="inlineStr">
        <is>
          <t>To a moderate extent</t>
        </is>
      </c>
      <c r="FD135" s="6" t="inlineStr">
        <is>
          <t>Don’t know or not applicable</t>
        </is>
      </c>
      <c r="FE135" s="6" t="inlineStr">
        <is>
          <t>To a slight extent</t>
        </is>
      </c>
      <c r="FF135" s="6" t="inlineStr">
        <is>
          <t>To a slight extent</t>
        </is>
      </c>
      <c r="FG135" s="6" t="inlineStr">
        <is>
          <t>Don’t know or not applicable</t>
        </is>
      </c>
      <c r="FH135" s="6" t="inlineStr">
        <is>
          <t>To a moderate extent</t>
        </is>
      </c>
      <c r="FI135" s="6" t="inlineStr">
        <is>
          <t>To a slight extent</t>
        </is>
      </c>
      <c r="FJ135" s="6" t="inlineStr">
        <is>
          <t>Not at all</t>
        </is>
      </c>
      <c r="FK135" s="6" t="inlineStr">
        <is>
          <t>To a moderate extent</t>
        </is>
      </c>
      <c r="FL135" s="6" t="inlineStr">
        <is>
          <t>To a slight extent</t>
        </is>
      </c>
      <c r="FM135" s="6" t="inlineStr">
        <is>
          <t>To a slight extent</t>
        </is>
      </c>
      <c r="FN135" s="6" t="inlineStr">
        <is>
          <t>Don’t know or not applicable</t>
        </is>
      </c>
      <c r="FO135" s="6" t="inlineStr">
        <is>
          <t>Don’t know or not applicable</t>
        </is>
      </c>
      <c r="FP135" s="6" t="inlineStr">
        <is>
          <t>Don’t know or not applicable</t>
        </is>
      </c>
      <c r="FQ135" s="6" t="inlineStr">
        <is>
          <t>Don’t know or not applicable</t>
        </is>
      </c>
      <c r="FR135" s="6" t="inlineStr">
        <is>
          <t>To a great extent</t>
        </is>
      </c>
      <c r="FS135" s="6" t="inlineStr">
        <is>
          <t>To a moderate extent</t>
        </is>
      </c>
      <c r="FT135" s="6" t="inlineStr">
        <is>
          <t>To a great extent</t>
        </is>
      </c>
      <c r="FU135" s="6" t="inlineStr">
        <is>
          <t>Don’t know or not applicable</t>
        </is>
      </c>
      <c r="FV135" s="6" t="n"/>
      <c r="FW135" s="6" t="inlineStr">
        <is>
          <t>The IMF should have dedicated more resources</t>
        </is>
      </c>
      <c r="FX135" s="6" t="n"/>
      <c r="FY135" s="6" t="inlineStr">
        <is>
          <t>To a great extent</t>
        </is>
      </c>
      <c r="FZ135" s="6" t="inlineStr">
        <is>
          <t>To a great extent</t>
        </is>
      </c>
      <c r="GA135" s="6" t="inlineStr">
        <is>
          <t>To a great extent</t>
        </is>
      </c>
      <c r="GB135" s="6" t="inlineStr">
        <is>
          <t>To a great extent</t>
        </is>
      </c>
      <c r="GC135" s="6" t="inlineStr">
        <is>
          <t>Don’t know or not applicable</t>
        </is>
      </c>
      <c r="GD135" s="6" t="n"/>
      <c r="GE135" s="6" t="inlineStr">
        <is>
          <t>To a moderate extent</t>
        </is>
      </c>
      <c r="GF135" s="6" t="inlineStr">
        <is>
          <t>To a great extent</t>
        </is>
      </c>
      <c r="GG135" s="6" t="inlineStr">
        <is>
          <t>To a great extent</t>
        </is>
      </c>
      <c r="GH135" s="6" t="inlineStr">
        <is>
          <t>To a slight extent</t>
        </is>
      </c>
      <c r="GI135" s="6" t="inlineStr">
        <is>
          <t>To a great extent</t>
        </is>
      </c>
      <c r="GJ135" s="6" t="inlineStr">
        <is>
          <t>To a moderate extent</t>
        </is>
      </c>
      <c r="GK135" s="6" t="n"/>
      <c r="GL135" s="7">
        <f>DATE(2025,6,13)+TIME(8,53,56)</f>
        <v/>
      </c>
    </row>
    <row r="136" ht="157.5" customHeight="1">
      <c r="A136" s="3" t="inlineStr">
        <is>
          <t>Ivan</t>
        </is>
      </c>
      <c r="B136" s="3" t="inlineStr">
        <is>
          <t>Visser</t>
        </is>
      </c>
      <c r="C136" s="3" t="inlineStr">
        <is>
          <t>ivisser1@organization.org</t>
        </is>
      </c>
      <c r="D136" s="3" t="inlineStr">
        <is>
          <t>IDN1GJ3DT</t>
        </is>
      </c>
      <c r="E136" s="3" t="n"/>
      <c r="F136" s="3" t="inlineStr">
        <is>
          <t>OEDNE</t>
        </is>
      </c>
      <c r="G136" s="3" t="n"/>
      <c r="H136" s="3" t="n"/>
      <c r="I136" s="3" t="n"/>
      <c r="J136" s="3" t="n"/>
      <c r="K136" s="3" t="n"/>
      <c r="L136" s="3" t="n"/>
      <c r="M136" s="3" t="n"/>
      <c r="N136" s="3" t="n"/>
      <c r="O136" s="3" t="n"/>
      <c r="P136" s="3" t="n"/>
      <c r="Q136" s="3" t="n"/>
      <c r="R136" s="3" t="n"/>
      <c r="S136" s="3" t="n"/>
      <c r="T136" s="3" t="n"/>
      <c r="U136" s="3" t="n"/>
      <c r="V136" s="3" t="n"/>
      <c r="W136" s="3" t="n"/>
      <c r="X136" s="3" t="inlineStr">
        <is>
          <t>Belgium</t>
        </is>
      </c>
      <c r="Y136" s="3" t="n"/>
      <c r="Z136" s="3" t="n"/>
      <c r="AA136" s="3" t="n"/>
      <c r="AB136" s="3" t="n"/>
      <c r="AC136" s="3" t="n"/>
      <c r="AD136" s="3" t="n"/>
      <c r="AE136" s="3" t="n"/>
      <c r="AF136" s="4" t="inlineStr">
        <is>
          <t>Belgium</t>
        </is>
      </c>
      <c r="AG136" s="3" t="inlineStr">
        <is>
          <t>The IMF should engage a similar amount on climate change-related issues</t>
        </is>
      </c>
      <c r="AH136" s="3" t="inlineStr">
        <is>
          <t>To a moderate extent</t>
        </is>
      </c>
      <c r="AI136" s="3" t="inlineStr">
        <is>
          <t>To a great extent</t>
        </is>
      </c>
      <c r="AJ136" s="3" t="inlineStr">
        <is>
          <t>To a slight extent</t>
        </is>
      </c>
      <c r="AK136" s="3" t="inlineStr">
        <is>
          <t>To a slight extent</t>
        </is>
      </c>
      <c r="AL136" s="3" t="inlineStr">
        <is>
          <t>To a slight extent</t>
        </is>
      </c>
      <c r="AM136" s="3" t="inlineStr">
        <is>
          <t>Don’t know or not applicable</t>
        </is>
      </c>
      <c r="AN136" s="3" t="inlineStr">
        <is>
          <t>Don’t know or not applicable</t>
        </is>
      </c>
      <c r="AO136" s="3" t="inlineStr">
        <is>
          <t>Don’t know or not applicable</t>
        </is>
      </c>
      <c r="AP136" s="3" t="inlineStr">
        <is>
          <t>Not at all</t>
        </is>
      </c>
      <c r="AQ136" s="3" t="inlineStr">
        <is>
          <t>To a slight extent</t>
        </is>
      </c>
      <c r="AR136" s="3" t="inlineStr">
        <is>
          <t>Not at all</t>
        </is>
      </c>
      <c r="AS136" s="3" t="n"/>
      <c r="AT136" s="3" t="inlineStr">
        <is>
          <t>To a moderate extent</t>
        </is>
      </c>
      <c r="AU136" s="3" t="inlineStr">
        <is>
          <t>To a moderate extent</t>
        </is>
      </c>
      <c r="AV136" s="3" t="inlineStr">
        <is>
          <t>Not at all</t>
        </is>
      </c>
      <c r="AW136" s="3" t="inlineStr">
        <is>
          <t>To a moderate extent</t>
        </is>
      </c>
      <c r="AX136" s="3" t="inlineStr">
        <is>
          <t>To a slight extent</t>
        </is>
      </c>
      <c r="AY136" s="3" t="inlineStr">
        <is>
          <t>To a great extent</t>
        </is>
      </c>
      <c r="AZ136" s="3" t="inlineStr">
        <is>
          <t>To a slight extent</t>
        </is>
      </c>
      <c r="BA136" s="3" t="inlineStr">
        <is>
          <t>To a slight extent</t>
        </is>
      </c>
      <c r="BB136" s="3" t="inlineStr">
        <is>
          <t>To a slight extent</t>
        </is>
      </c>
      <c r="BC136" s="3" t="inlineStr">
        <is>
          <t>To a slight extent</t>
        </is>
      </c>
      <c r="BD136" s="3" t="inlineStr">
        <is>
          <t>To a moderate extent</t>
        </is>
      </c>
      <c r="BE136" s="3" t="inlineStr">
        <is>
          <t>To a slight extent</t>
        </is>
      </c>
      <c r="BF136" s="3" t="inlineStr">
        <is>
          <t>Not at all</t>
        </is>
      </c>
      <c r="BG136" s="3" t="inlineStr">
        <is>
          <t>To a slight extent</t>
        </is>
      </c>
      <c r="BH136" s="3" t="inlineStr">
        <is>
          <t>To a slight extent</t>
        </is>
      </c>
      <c r="BI136" s="3" t="inlineStr">
        <is>
          <t>To a great extent</t>
        </is>
      </c>
      <c r="BJ136" s="3" t="inlineStr">
        <is>
          <t>To a slight extent</t>
        </is>
      </c>
      <c r="BK136" s="3" t="inlineStr">
        <is>
          <t>To a moderate extent</t>
        </is>
      </c>
      <c r="BL136" s="3" t="inlineStr">
        <is>
          <t>To a slight extent</t>
        </is>
      </c>
      <c r="BM136" s="3" t="inlineStr">
        <is>
          <t>Not at all</t>
        </is>
      </c>
      <c r="BN136" s="3" t="inlineStr">
        <is>
          <t>To a moderate extent</t>
        </is>
      </c>
      <c r="BO136" s="3" t="inlineStr">
        <is>
          <t>To a slight extent</t>
        </is>
      </c>
      <c r="BP136" s="3" t="inlineStr">
        <is>
          <t>Don’t know or not applicable</t>
        </is>
      </c>
      <c r="BQ136" s="3" t="inlineStr">
        <is>
          <t>Don’t know or not applicable</t>
        </is>
      </c>
      <c r="BR136" s="3" t="n"/>
      <c r="BS136" s="3" t="n"/>
      <c r="BT136" s="3" t="inlineStr">
        <is>
          <t>The IMF dedicated an appropriate amount of resources</t>
        </is>
      </c>
      <c r="BU136" s="3" t="inlineStr">
        <is>
          <t>To a moderate extent</t>
        </is>
      </c>
      <c r="BV136" s="3" t="inlineStr">
        <is>
          <t>To a great extent</t>
        </is>
      </c>
      <c r="BW136" s="3" t="inlineStr">
        <is>
          <t>To a moderate extent</t>
        </is>
      </c>
      <c r="BX136" s="3" t="inlineStr">
        <is>
          <t>To a moderate extent</t>
        </is>
      </c>
      <c r="BY136" s="3" t="inlineStr">
        <is>
          <t>To a great extent</t>
        </is>
      </c>
      <c r="BZ136" s="3" t="inlineStr">
        <is>
          <t>To a great extent</t>
        </is>
      </c>
      <c r="CA136" s="3" t="inlineStr">
        <is>
          <t>To a moderate extent</t>
        </is>
      </c>
      <c r="CB136" s="3" t="inlineStr">
        <is>
          <t>To a moderate extent</t>
        </is>
      </c>
      <c r="CC136" s="3" t="inlineStr">
        <is>
          <t>To a moderate extent</t>
        </is>
      </c>
      <c r="CD136" s="3" t="inlineStr">
        <is>
          <t>To a moderate extent</t>
        </is>
      </c>
      <c r="CE136" s="3" t="inlineStr">
        <is>
          <t>To a great extent</t>
        </is>
      </c>
      <c r="CF136" s="3" t="inlineStr">
        <is>
          <t>To a moderate extent</t>
        </is>
      </c>
      <c r="CG136" s="3" t="n"/>
      <c r="CH136" s="3" t="inlineStr">
        <is>
          <t>No</t>
        </is>
      </c>
      <c r="CI136" s="3" t="inlineStr">
        <is>
          <t>No</t>
        </is>
      </c>
      <c r="CJ136" s="3" t="n"/>
      <c r="CK136" s="3" t="n"/>
      <c r="CL136" s="3" t="n"/>
      <c r="CM136" s="3" t="n"/>
      <c r="CN136" s="3" t="n"/>
      <c r="CO136" s="3" t="n"/>
      <c r="CP136" s="3" t="n"/>
      <c r="CQ136" s="3" t="n"/>
      <c r="CR136" s="3" t="n"/>
      <c r="CS136" s="3" t="n"/>
      <c r="CT136" s="3" t="n"/>
      <c r="CU136" s="3" t="n"/>
      <c r="CV136" s="3" t="n"/>
      <c r="CW136" s="3" t="n"/>
      <c r="CX136" s="3" t="n"/>
      <c r="CY136" s="3" t="n"/>
      <c r="CZ136" s="3" t="n"/>
      <c r="DA136" s="3" t="n"/>
      <c r="DB136" s="3" t="n"/>
      <c r="DC136" s="3" t="n"/>
      <c r="DD136" s="3" t="n"/>
      <c r="DE136" s="3" t="n"/>
      <c r="DF136" s="3" t="n"/>
      <c r="DG136" s="3" t="n"/>
      <c r="DH136" s="3" t="n"/>
      <c r="DI136" s="3" t="n"/>
      <c r="DJ136" s="3" t="n"/>
      <c r="DK136" s="3" t="n"/>
      <c r="DL136" s="3" t="n"/>
      <c r="DM136" s="3" t="n"/>
      <c r="DN136" s="3" t="n"/>
      <c r="DO136" s="3" t="n"/>
      <c r="DP136" s="3" t="inlineStr">
        <is>
          <t>My country is not eligible for an RSF arrangement</t>
        </is>
      </c>
      <c r="DQ136" s="3" t="inlineStr">
        <is>
          <t>Climate change does not pose a major balance of payments risk in my country</t>
        </is>
      </c>
      <c r="DR136" s="3" t="n"/>
      <c r="DS136" s="3" t="n"/>
      <c r="DT136" s="3" t="n"/>
      <c r="DU136" s="3" t="n"/>
      <c r="DV136" s="3" t="n"/>
      <c r="DW136" s="3" t="inlineStr">
        <is>
          <t>No</t>
        </is>
      </c>
      <c r="DX136" s="3" t="n"/>
      <c r="DY136" s="3" t="n"/>
      <c r="DZ136" s="3" t="n"/>
      <c r="EA136" s="3" t="n"/>
      <c r="EB136" s="3" t="n"/>
      <c r="EC136" s="3" t="n"/>
      <c r="ED136" s="3" t="n"/>
      <c r="EE136" s="3" t="n"/>
      <c r="EF136" s="3" t="inlineStr">
        <is>
          <t>To a great extent</t>
        </is>
      </c>
      <c r="EG136" s="3" t="inlineStr">
        <is>
          <t>To a moderate extent</t>
        </is>
      </c>
      <c r="EH136" s="3" t="inlineStr">
        <is>
          <t>To a slight extent</t>
        </is>
      </c>
      <c r="EI136" s="3" t="inlineStr">
        <is>
          <t>To a great extent</t>
        </is>
      </c>
      <c r="EJ136" s="3" t="inlineStr">
        <is>
          <t>Not at all</t>
        </is>
      </c>
      <c r="EK136" s="3" t="inlineStr">
        <is>
          <t>Not at all</t>
        </is>
      </c>
      <c r="EL136" s="3" t="inlineStr">
        <is>
          <t>To a moderate extent</t>
        </is>
      </c>
      <c r="EM136" s="3" t="n"/>
      <c r="EN136" s="3" t="n"/>
      <c r="EO136" s="3" t="n"/>
      <c r="EP136" s="3" t="n"/>
      <c r="EQ136" s="3" t="inlineStr">
        <is>
          <t>Not at all</t>
        </is>
      </c>
      <c r="ER136" s="3" t="inlineStr">
        <is>
          <t>Not at all</t>
        </is>
      </c>
      <c r="ES136" s="3" t="n"/>
      <c r="ET136" s="3" t="n"/>
      <c r="EU136" s="3" t="n"/>
      <c r="EV136" s="3" t="n"/>
      <c r="EW136" s="3" t="n"/>
      <c r="EX136" s="3" t="n"/>
      <c r="EY136" s="3" t="n"/>
      <c r="EZ136" s="3" t="n"/>
      <c r="FA136" s="3" t="n"/>
      <c r="FB136" s="3" t="n"/>
      <c r="FC136" s="3" t="n"/>
      <c r="FD136" s="3" t="n"/>
      <c r="FE136" s="3" t="n"/>
      <c r="FF136" s="3" t="n"/>
      <c r="FG136" s="3" t="n"/>
      <c r="FH136" s="3" t="n"/>
      <c r="FI136" s="3" t="n"/>
      <c r="FJ136" s="3" t="n"/>
      <c r="FK136" s="3" t="n"/>
      <c r="FL136" s="3" t="n"/>
      <c r="FM136" s="3" t="n"/>
      <c r="FN136" s="3" t="n"/>
      <c r="FO136" s="3" t="n"/>
      <c r="FP136" s="3" t="n"/>
      <c r="FQ136" s="3" t="n"/>
      <c r="FR136" s="3" t="n"/>
      <c r="FS136" s="3" t="n"/>
      <c r="FT136" s="3" t="n"/>
      <c r="FU136" s="3" t="n"/>
      <c r="FV136" s="3" t="n"/>
      <c r="FW136" s="3" t="n"/>
      <c r="FX136" s="3" t="n"/>
      <c r="FY136" s="3" t="inlineStr">
        <is>
          <t>To a moderate extent</t>
        </is>
      </c>
      <c r="FZ136" s="3" t="inlineStr">
        <is>
          <t>To a moderate extent</t>
        </is>
      </c>
      <c r="GA136" s="3" t="inlineStr">
        <is>
          <t>To a great extent</t>
        </is>
      </c>
      <c r="GB136" s="3" t="inlineStr">
        <is>
          <t>To a slight extent</t>
        </is>
      </c>
      <c r="GC136" s="3" t="n"/>
      <c r="GD136" s="3" t="n"/>
      <c r="GE136" s="3" t="inlineStr">
        <is>
          <t>To a moderate extent</t>
        </is>
      </c>
      <c r="GF136" s="3" t="inlineStr">
        <is>
          <t>To a great extent</t>
        </is>
      </c>
      <c r="GG136" s="3" t="inlineStr">
        <is>
          <t>To a moderate extent</t>
        </is>
      </c>
      <c r="GH136" s="3" t="inlineStr">
        <is>
          <t>To a slight extent</t>
        </is>
      </c>
      <c r="GI136" s="3" t="inlineStr">
        <is>
          <t>To a great extent</t>
        </is>
      </c>
      <c r="GJ136" s="3" t="inlineStr">
        <is>
          <t>To a slight extent</t>
        </is>
      </c>
      <c r="GK136" s="3" t="inlineStr">
        <is>
          <t>The IMF plays a role in providing macroeconomic advice on how to work towards climate-related objectives in the most cost-effective way. The IMF does not have a role in defining climate-related objectives (e.g. the needed reductions in CO2).</t>
        </is>
      </c>
      <c r="GL136" s="5">
        <f>DATE(2025,6,10)+TIME(4,5,25)</f>
        <v/>
      </c>
    </row>
    <row r="137" ht="393.75" customHeight="1">
      <c r="A137" s="6" t="inlineStr">
        <is>
          <t>Henrik</t>
        </is>
      </c>
      <c r="B137" s="6" t="inlineStr">
        <is>
          <t>Reddy</t>
        </is>
      </c>
      <c r="C137" s="6" t="inlineStr">
        <is>
          <t>hreddy@organization.org</t>
        </is>
      </c>
      <c r="D137" s="6" t="inlineStr">
        <is>
          <t>IKUHADA0Z</t>
        </is>
      </c>
      <c r="E137" s="6" t="n"/>
      <c r="F137" s="6" t="inlineStr">
        <is>
          <t>OEDMI</t>
        </is>
      </c>
      <c r="G137" s="6" t="n"/>
      <c r="H137" s="6" t="n"/>
      <c r="I137" s="6" t="n"/>
      <c r="J137" s="6" t="n"/>
      <c r="K137" s="6" t="n"/>
      <c r="L137" s="6" t="n"/>
      <c r="M137" s="6" t="n"/>
      <c r="N137" s="6" t="n"/>
      <c r="O137" s="6" t="n"/>
      <c r="P137" s="6" t="n"/>
      <c r="Q137" s="6" t="n"/>
      <c r="R137" s="6" t="n"/>
      <c r="S137" s="6" t="n"/>
      <c r="T137" s="6" t="n"/>
      <c r="U137" s="6" t="n"/>
      <c r="V137" s="6" t="n"/>
      <c r="W137" s="6" t="inlineStr">
        <is>
          <t>Egypt</t>
        </is>
      </c>
      <c r="X137" s="6" t="n"/>
      <c r="Y137" s="6" t="n"/>
      <c r="Z137" s="6" t="n"/>
      <c r="AA137" s="6" t="n"/>
      <c r="AB137" s="6" t="n"/>
      <c r="AC137" s="6" t="n"/>
      <c r="AD137" s="6" t="n"/>
      <c r="AE137" s="6" t="n"/>
      <c r="AF137" s="4" t="inlineStr">
        <is>
          <t>Egypt</t>
        </is>
      </c>
      <c r="AG137" s="6" t="inlineStr">
        <is>
          <t>The IMF should engage less on climate change-related issues</t>
        </is>
      </c>
      <c r="AH137" s="6" t="inlineStr">
        <is>
          <t>To a moderate extent</t>
        </is>
      </c>
      <c r="AI137" s="6" t="inlineStr">
        <is>
          <t>To a moderate extent</t>
        </is>
      </c>
      <c r="AJ137" s="6" t="inlineStr">
        <is>
          <t>Don’t know or not applicable</t>
        </is>
      </c>
      <c r="AK137" s="6" t="inlineStr">
        <is>
          <t>To a moderate extent</t>
        </is>
      </c>
      <c r="AL137" s="6" t="inlineStr">
        <is>
          <t>To a moderate extent</t>
        </is>
      </c>
      <c r="AM137" s="6" t="inlineStr">
        <is>
          <t>To a great extent</t>
        </is>
      </c>
      <c r="AN137" s="6" t="inlineStr">
        <is>
          <t>To a moderate extent</t>
        </is>
      </c>
      <c r="AO137" s="6" t="inlineStr">
        <is>
          <t>To a great extent</t>
        </is>
      </c>
      <c r="AP137" s="6" t="inlineStr">
        <is>
          <t>To a moderate extent</t>
        </is>
      </c>
      <c r="AQ137" s="6" t="inlineStr">
        <is>
          <t>Don’t know or not applicable</t>
        </is>
      </c>
      <c r="AR137" s="6" t="inlineStr">
        <is>
          <t>To a moderate extent</t>
        </is>
      </c>
      <c r="AS137" s="6" t="n"/>
      <c r="AT137" s="6" t="inlineStr">
        <is>
          <t>Not at all</t>
        </is>
      </c>
      <c r="AU137" s="6" t="inlineStr">
        <is>
          <t>To a moderate extent</t>
        </is>
      </c>
      <c r="AV137" s="6" t="inlineStr">
        <is>
          <t>To a moderate extent</t>
        </is>
      </c>
      <c r="AW137" s="6" t="inlineStr">
        <is>
          <t>To a slight extent</t>
        </is>
      </c>
      <c r="AX137" s="6" t="inlineStr">
        <is>
          <t>To a slight extent</t>
        </is>
      </c>
      <c r="AY137" s="6" t="inlineStr">
        <is>
          <t>To a moderate extent</t>
        </is>
      </c>
      <c r="AZ137" s="6" t="inlineStr">
        <is>
          <t>To a slight extent</t>
        </is>
      </c>
      <c r="BA137" s="6" t="inlineStr">
        <is>
          <t>To a great extent</t>
        </is>
      </c>
      <c r="BB137" s="6" t="inlineStr">
        <is>
          <t>To a great extent</t>
        </is>
      </c>
      <c r="BC137" s="6" t="inlineStr">
        <is>
          <t>To a moderate extent</t>
        </is>
      </c>
      <c r="BD137" s="6" t="inlineStr">
        <is>
          <t>To a slight extent</t>
        </is>
      </c>
      <c r="BE137" s="6" t="inlineStr">
        <is>
          <t>Don’t know or not applicable</t>
        </is>
      </c>
      <c r="BF137" s="6" t="inlineStr">
        <is>
          <t>Don’t know or not applicable</t>
        </is>
      </c>
      <c r="BG137" s="6" t="inlineStr">
        <is>
          <t>Don’t know or not applicable</t>
        </is>
      </c>
      <c r="BH137" s="6" t="inlineStr">
        <is>
          <t>Don’t know or not applicable</t>
        </is>
      </c>
      <c r="BI137" s="6" t="inlineStr">
        <is>
          <t>Don’t know or not applicable</t>
        </is>
      </c>
      <c r="BJ137" s="6" t="inlineStr">
        <is>
          <t>To a slight extent</t>
        </is>
      </c>
      <c r="BK137" s="6" t="inlineStr">
        <is>
          <t>To a great extent</t>
        </is>
      </c>
      <c r="BL137" s="6" t="inlineStr">
        <is>
          <t>To a moderate extent</t>
        </is>
      </c>
      <c r="BM137" s="6" t="inlineStr">
        <is>
          <t>To a moderate extent</t>
        </is>
      </c>
      <c r="BN137" s="6" t="inlineStr">
        <is>
          <t>To a slight extent</t>
        </is>
      </c>
      <c r="BO137" s="6" t="inlineStr">
        <is>
          <t>To a great extent</t>
        </is>
      </c>
      <c r="BP137" s="6" t="inlineStr">
        <is>
          <t>Don’t know or not applicable</t>
        </is>
      </c>
      <c r="BQ137" s="6" t="inlineStr">
        <is>
          <t>To a great extent</t>
        </is>
      </c>
      <c r="BR137" s="6" t="inlineStr">
        <is>
          <t>Don’t know or not applicable</t>
        </is>
      </c>
      <c r="BS137" s="6" t="n"/>
      <c r="BT137" s="6" t="inlineStr">
        <is>
          <t>The IMF should have dedicated less resources</t>
        </is>
      </c>
      <c r="BU137" s="6" t="inlineStr">
        <is>
          <t>To a great extent</t>
        </is>
      </c>
      <c r="BV137" s="6" t="inlineStr">
        <is>
          <t>To a slight extent</t>
        </is>
      </c>
      <c r="BW137" s="6" t="inlineStr">
        <is>
          <t>To a great extent</t>
        </is>
      </c>
      <c r="BX137" s="6" t="inlineStr">
        <is>
          <t>To a great extent</t>
        </is>
      </c>
      <c r="BY137" s="6" t="inlineStr">
        <is>
          <t>To a slight extent</t>
        </is>
      </c>
      <c r="BZ137" s="6" t="inlineStr">
        <is>
          <t>To a great extent</t>
        </is>
      </c>
      <c r="CA137" s="6" t="inlineStr">
        <is>
          <t>To a great extent</t>
        </is>
      </c>
      <c r="CB137" s="6" t="inlineStr">
        <is>
          <t>To a slight extent</t>
        </is>
      </c>
      <c r="CC137" s="6" t="inlineStr">
        <is>
          <t>To a great extent</t>
        </is>
      </c>
      <c r="CD137" s="6" t="inlineStr">
        <is>
          <t>To a great extent</t>
        </is>
      </c>
      <c r="CE137" s="6" t="inlineStr">
        <is>
          <t>To a slight extent</t>
        </is>
      </c>
      <c r="CF137" s="6" t="inlineStr">
        <is>
          <t>To a great extent</t>
        </is>
      </c>
      <c r="CG137" s="6" t="n"/>
      <c r="CH137" s="6" t="inlineStr">
        <is>
          <t>Yes</t>
        </is>
      </c>
      <c r="CI137" s="6" t="inlineStr">
        <is>
          <t>Yes</t>
        </is>
      </c>
      <c r="CJ137" s="6" t="inlineStr">
        <is>
          <t>To a great extent</t>
        </is>
      </c>
      <c r="CK137" s="6" t="inlineStr">
        <is>
          <t>To a great extent</t>
        </is>
      </c>
      <c r="CL137" s="6" t="inlineStr">
        <is>
          <t>To a great extent</t>
        </is>
      </c>
      <c r="CM137" s="6" t="inlineStr">
        <is>
          <t>To a great extent</t>
        </is>
      </c>
      <c r="CN137" s="6" t="inlineStr">
        <is>
          <t>To a great extent</t>
        </is>
      </c>
      <c r="CO137" s="6" t="inlineStr">
        <is>
          <t>To a great extent</t>
        </is>
      </c>
      <c r="CP137" s="6" t="inlineStr">
        <is>
          <t>To a great extent</t>
        </is>
      </c>
      <c r="CQ137" s="6" t="inlineStr">
        <is>
          <t>To a great extent</t>
        </is>
      </c>
      <c r="CR137" s="6" t="inlineStr">
        <is>
          <t>To a great extent</t>
        </is>
      </c>
      <c r="CS137" s="6" t="inlineStr">
        <is>
          <t>To a great extent</t>
        </is>
      </c>
      <c r="CT137" s="6" t="inlineStr">
        <is>
          <t>To a great extent</t>
        </is>
      </c>
      <c r="CU137" s="6" t="inlineStr">
        <is>
          <t>To a moderate extent</t>
        </is>
      </c>
      <c r="CV137" s="6" t="inlineStr">
        <is>
          <t>To a moderate extent</t>
        </is>
      </c>
      <c r="CW137" s="6" t="inlineStr">
        <is>
          <t>Don’t know or not applicable</t>
        </is>
      </c>
      <c r="CX137" s="6" t="inlineStr">
        <is>
          <t>Don’t know or not applicable</t>
        </is>
      </c>
      <c r="CY137" s="6" t="inlineStr">
        <is>
          <t>Don’t know or not applicable</t>
        </is>
      </c>
      <c r="CZ137" s="6" t="inlineStr">
        <is>
          <t>To a great extent</t>
        </is>
      </c>
      <c r="DA137" s="6" t="inlineStr">
        <is>
          <t>Don’t know or not applicable</t>
        </is>
      </c>
      <c r="DB137" s="6" t="n"/>
      <c r="DC137" s="6" t="n"/>
      <c r="DD137" s="6" t="inlineStr">
        <is>
          <t>Refinancing existing borrowing</t>
        </is>
      </c>
      <c r="DE137" s="6" t="n"/>
      <c r="DF137" s="6" t="n"/>
      <c r="DG137" s="6" t="n"/>
      <c r="DH137" s="6" t="inlineStr">
        <is>
          <t>Not at all</t>
        </is>
      </c>
      <c r="DI137" s="6" t="inlineStr">
        <is>
          <t>To a moderate extent</t>
        </is>
      </c>
      <c r="DJ137" s="6" t="inlineStr">
        <is>
          <t>To a slight extent</t>
        </is>
      </c>
      <c r="DK137" s="6" t="inlineStr">
        <is>
          <t>To a great extent</t>
        </is>
      </c>
      <c r="DL137" s="6" t="inlineStr">
        <is>
          <t>Don’t know or not applicable</t>
        </is>
      </c>
      <c r="DM137" s="6" t="inlineStr">
        <is>
          <t>To a great extent</t>
        </is>
      </c>
      <c r="DN137" s="6" t="inlineStr">
        <is>
          <t>Don’t know or not applicable</t>
        </is>
      </c>
      <c r="DO137" s="6" t="n"/>
      <c r="DP137" s="6" t="n"/>
      <c r="DQ137" s="6" t="n"/>
      <c r="DR137" s="6" t="n"/>
      <c r="DS137" s="6" t="n"/>
      <c r="DT137" s="6" t="n"/>
      <c r="DU137" s="6" t="n"/>
      <c r="DV137" s="6" t="n"/>
      <c r="DW137" s="6" t="inlineStr">
        <is>
          <t>Yes</t>
        </is>
      </c>
      <c r="DX137" s="6" t="inlineStr">
        <is>
          <t>World Bank Group</t>
        </is>
      </c>
      <c r="DY137" s="6" t="n"/>
      <c r="DZ137" s="6" t="inlineStr">
        <is>
          <t>Bilateral sources</t>
        </is>
      </c>
      <c r="EA137" s="6" t="n"/>
      <c r="EB137" s="6" t="inlineStr">
        <is>
          <t>Other (please specify) : AIIB (Green Panda Bonds and Climate Based Policy Financing co-financed</t>
        </is>
      </c>
      <c r="EC137" s="6" t="inlineStr">
        <is>
          <t>To a great extent</t>
        </is>
      </c>
      <c r="ED137" s="6" t="inlineStr">
        <is>
          <t>To a slight extent</t>
        </is>
      </c>
      <c r="EE137" s="6" t="inlineStr">
        <is>
          <t>To a moderate extent</t>
        </is>
      </c>
      <c r="EF137" s="6" t="inlineStr">
        <is>
          <t>To a great extent</t>
        </is>
      </c>
      <c r="EG137" s="6" t="inlineStr">
        <is>
          <t>To a slight extent</t>
        </is>
      </c>
      <c r="EH137" s="6" t="inlineStr">
        <is>
          <t>To a slight extent</t>
        </is>
      </c>
      <c r="EI137" s="6" t="inlineStr">
        <is>
          <t>To a great extent</t>
        </is>
      </c>
      <c r="EJ137" s="6" t="inlineStr">
        <is>
          <t>To a great extent</t>
        </is>
      </c>
      <c r="EK137" s="6" t="inlineStr">
        <is>
          <t>To a great extent</t>
        </is>
      </c>
      <c r="EL137" s="6" t="inlineStr">
        <is>
          <t>To a moderate extent</t>
        </is>
      </c>
      <c r="EM137" s="6" t="inlineStr">
        <is>
          <t>To a moderate extent</t>
        </is>
      </c>
      <c r="EN137" s="6" t="inlineStr">
        <is>
          <t>To a moderate extent</t>
        </is>
      </c>
      <c r="EO137" s="6" t="inlineStr">
        <is>
          <t>To a moderate extent</t>
        </is>
      </c>
      <c r="EP137" s="6" t="n"/>
      <c r="EQ137" s="6" t="inlineStr">
        <is>
          <t>To a moderate extent</t>
        </is>
      </c>
      <c r="ER137" s="6" t="inlineStr">
        <is>
          <t>To a moderate extent</t>
        </is>
      </c>
      <c r="ES137" s="6" t="n"/>
      <c r="ET137" s="6" t="inlineStr">
        <is>
          <t>To a moderate extent</t>
        </is>
      </c>
      <c r="EU137" s="6" t="inlineStr">
        <is>
          <t>To a moderate extent</t>
        </is>
      </c>
      <c r="EV137" s="6" t="inlineStr">
        <is>
          <t>To a moderate extent</t>
        </is>
      </c>
      <c r="EW137" s="6" t="inlineStr">
        <is>
          <t>Don’t know or not applicable</t>
        </is>
      </c>
      <c r="EX137" s="6" t="n"/>
      <c r="EY137" s="6" t="inlineStr">
        <is>
          <t>To a moderate extent</t>
        </is>
      </c>
      <c r="EZ137" s="6" t="inlineStr">
        <is>
          <t>Not at all</t>
        </is>
      </c>
      <c r="FA137" s="6" t="inlineStr">
        <is>
          <t>To a moderate extent</t>
        </is>
      </c>
      <c r="FB137" s="6" t="inlineStr">
        <is>
          <t>To a moderate extent</t>
        </is>
      </c>
      <c r="FC137" s="6" t="inlineStr">
        <is>
          <t>To a moderate extent</t>
        </is>
      </c>
      <c r="FD137" s="6" t="inlineStr">
        <is>
          <t>To a moderate extent</t>
        </is>
      </c>
      <c r="FE137" s="6" t="inlineStr">
        <is>
          <t>To a moderate extent</t>
        </is>
      </c>
      <c r="FF137" s="6" t="inlineStr">
        <is>
          <t>To a moderate extent</t>
        </is>
      </c>
      <c r="FG137" s="6" t="inlineStr">
        <is>
          <t>To a moderate extent</t>
        </is>
      </c>
      <c r="FH137" s="6" t="inlineStr">
        <is>
          <t>To a moderate extent</t>
        </is>
      </c>
      <c r="FI137" s="6" t="inlineStr">
        <is>
          <t>To a moderate extent</t>
        </is>
      </c>
      <c r="FJ137" s="6" t="inlineStr">
        <is>
          <t>To a slight extent</t>
        </is>
      </c>
      <c r="FK137" s="6" t="inlineStr">
        <is>
          <t>To a moderate extent</t>
        </is>
      </c>
      <c r="FL137" s="6" t="inlineStr">
        <is>
          <t>To a moderate extent</t>
        </is>
      </c>
      <c r="FM137" s="6" t="inlineStr">
        <is>
          <t>To a moderate extent</t>
        </is>
      </c>
      <c r="FN137" s="6" t="inlineStr">
        <is>
          <t>To a moderate extent</t>
        </is>
      </c>
      <c r="FO137" s="6" t="inlineStr">
        <is>
          <t>To a moderate extent</t>
        </is>
      </c>
      <c r="FP137" s="6" t="inlineStr">
        <is>
          <t>To a moderate extent</t>
        </is>
      </c>
      <c r="FQ137" s="6" t="inlineStr">
        <is>
          <t>To a moderate extent</t>
        </is>
      </c>
      <c r="FR137" s="6" t="inlineStr">
        <is>
          <t>To a great extent</t>
        </is>
      </c>
      <c r="FS137" s="6" t="inlineStr">
        <is>
          <t>To a moderate extent</t>
        </is>
      </c>
      <c r="FT137" s="6" t="inlineStr">
        <is>
          <t>Don’t know or not applicable</t>
        </is>
      </c>
      <c r="FU137" s="6" t="inlineStr">
        <is>
          <t>Don’t know or not applicable</t>
        </is>
      </c>
      <c r="FV137" s="6" t="n"/>
      <c r="FW137" s="6" t="inlineStr">
        <is>
          <t>The IMF should have dedicated less resources</t>
        </is>
      </c>
      <c r="FX137" s="6" t="n"/>
      <c r="FY137" s="6" t="inlineStr">
        <is>
          <t>To a great extent</t>
        </is>
      </c>
      <c r="FZ137" s="6" t="inlineStr">
        <is>
          <t>To a slight extent</t>
        </is>
      </c>
      <c r="GA137" s="6" t="inlineStr">
        <is>
          <t>To a moderate extent</t>
        </is>
      </c>
      <c r="GB137" s="6" t="inlineStr">
        <is>
          <t>To a slight extent</t>
        </is>
      </c>
      <c r="GC137" s="6" t="inlineStr">
        <is>
          <t>Don’t know or not applicable</t>
        </is>
      </c>
      <c r="GD137" s="6" t="n"/>
      <c r="GE137" s="6" t="inlineStr">
        <is>
          <t>To a moderate extent</t>
        </is>
      </c>
      <c r="GF137" s="6" t="inlineStr">
        <is>
          <t>To a slight extent</t>
        </is>
      </c>
      <c r="GG137" s="6" t="inlineStr">
        <is>
          <t>To a slight extent</t>
        </is>
      </c>
      <c r="GH137" s="6" t="inlineStr">
        <is>
          <t>To a slight extent</t>
        </is>
      </c>
      <c r="GI137" s="6" t="inlineStr">
        <is>
          <t>To a moderate extent</t>
        </is>
      </c>
      <c r="GJ137" s="6" t="inlineStr">
        <is>
          <t>To a moderate extent</t>
        </is>
      </c>
      <c r="GK137" s="6" t="inlineStr">
        <is>
          <t>The Comprehensive Surveillance Review (CSR) should determine the
Fund's engagement in non-core areas, mindful of the need to
prioiritze the core mandate.
Such engagement should be conditional on macro-criticality, which
needs to be carefully defined in the context of the CSR.
This applies to the Fund's work on climate change-related issues.
When carried out, the Fund's work on climate change-related issues
should pay close attention to adaptation and transition challenges,
especially in countries facing heightened vulnerabilities.</t>
        </is>
      </c>
      <c r="GL137" s="7">
        <f>DATE(2025,6,12)+TIME(21,59,3)</f>
        <v/>
      </c>
    </row>
    <row r="138" ht="47.25" customHeight="1">
      <c r="A138" s="3" t="inlineStr">
        <is>
          <t>Amara</t>
        </is>
      </c>
      <c r="B138" s="3" t="inlineStr">
        <is>
          <t>Park</t>
        </is>
      </c>
      <c r="C138" s="3" t="inlineStr">
        <is>
          <t>apark@organization.org</t>
        </is>
      </c>
      <c r="D138" s="3" t="inlineStr">
        <is>
          <t>DMWWAIRYH</t>
        </is>
      </c>
      <c r="E138" s="3" t="n"/>
      <c r="F138" s="3" t="inlineStr">
        <is>
          <t>OEDNO</t>
        </is>
      </c>
      <c r="G138" s="3" t="n"/>
      <c r="H138" s="3" t="n"/>
      <c r="I138" s="3" t="n"/>
      <c r="J138" s="3" t="n"/>
      <c r="K138" s="3" t="n"/>
      <c r="L138" s="3" t="n"/>
      <c r="M138" s="3" t="n"/>
      <c r="N138" s="3" t="n"/>
      <c r="O138" s="3" t="n"/>
      <c r="P138" s="3" t="n"/>
      <c r="Q138" s="3" t="n"/>
      <c r="R138" s="3" t="n"/>
      <c r="S138" s="3" t="n"/>
      <c r="T138" s="3" t="n"/>
      <c r="U138" s="3" t="n"/>
      <c r="V138" s="3" t="n"/>
      <c r="W138" s="3" t="n"/>
      <c r="X138" s="3" t="n"/>
      <c r="Y138" s="3" t="inlineStr">
        <is>
          <t>Lithuania</t>
        </is>
      </c>
      <c r="Z138" s="3" t="n"/>
      <c r="AA138" s="3" t="n"/>
      <c r="AB138" s="3" t="n"/>
      <c r="AC138" s="3" t="n"/>
      <c r="AD138" s="3" t="n"/>
      <c r="AE138" s="3" t="n"/>
      <c r="AF138" s="4" t="inlineStr">
        <is>
          <t>Lithuania</t>
        </is>
      </c>
      <c r="AG138" s="3" t="inlineStr">
        <is>
          <t>The IMF should engage a similar amount on climate change-related issues</t>
        </is>
      </c>
      <c r="AH138" s="3" t="inlineStr">
        <is>
          <t>To a moderate extent</t>
        </is>
      </c>
      <c r="AI138" s="3" t="inlineStr">
        <is>
          <t>To a slight extent</t>
        </is>
      </c>
      <c r="AJ138" s="3" t="inlineStr">
        <is>
          <t>To a slight extent</t>
        </is>
      </c>
      <c r="AK138" s="3" t="inlineStr">
        <is>
          <t>To a slight extent</t>
        </is>
      </c>
      <c r="AL138" s="3" t="inlineStr">
        <is>
          <t>To a slight extent</t>
        </is>
      </c>
      <c r="AM138" s="3" t="inlineStr">
        <is>
          <t>Don’t know or not applicable</t>
        </is>
      </c>
      <c r="AN138" s="3" t="inlineStr">
        <is>
          <t>To a slight extent</t>
        </is>
      </c>
      <c r="AO138" s="3" t="inlineStr">
        <is>
          <t>Not at all</t>
        </is>
      </c>
      <c r="AP138" s="3" t="inlineStr">
        <is>
          <t>To a slight extent</t>
        </is>
      </c>
      <c r="AQ138" s="3" t="inlineStr">
        <is>
          <t>To a moderate extent</t>
        </is>
      </c>
      <c r="AR138" s="3" t="inlineStr">
        <is>
          <t>To a moderate extent</t>
        </is>
      </c>
      <c r="AS138" s="3" t="n"/>
      <c r="AT138" s="3" t="inlineStr">
        <is>
          <t>To a slight extent</t>
        </is>
      </c>
      <c r="AU138" s="3" t="inlineStr">
        <is>
          <t>To a great extent</t>
        </is>
      </c>
      <c r="AV138" s="3" t="inlineStr">
        <is>
          <t>Not at all</t>
        </is>
      </c>
      <c r="AW138" s="3" t="inlineStr">
        <is>
          <t>To a moderate extent</t>
        </is>
      </c>
      <c r="AX138" s="3" t="inlineStr">
        <is>
          <t>To a slight extent</t>
        </is>
      </c>
      <c r="AY138" s="3" t="inlineStr">
        <is>
          <t>Don’t know or not applicable</t>
        </is>
      </c>
      <c r="AZ138" s="3" t="inlineStr">
        <is>
          <t>To a great extent</t>
        </is>
      </c>
      <c r="BA138" s="3" t="inlineStr">
        <is>
          <t>Not at all</t>
        </is>
      </c>
      <c r="BB138" s="3" t="inlineStr">
        <is>
          <t>To a moderate extent</t>
        </is>
      </c>
      <c r="BC138" s="3" t="inlineStr">
        <is>
          <t>To a slight extent</t>
        </is>
      </c>
      <c r="BD138" s="3" t="inlineStr">
        <is>
          <t>To a great extent</t>
        </is>
      </c>
      <c r="BE138" s="3" t="inlineStr">
        <is>
          <t>Don’t know or not applicable</t>
        </is>
      </c>
      <c r="BF138" s="3" t="inlineStr">
        <is>
          <t>Don’t know or not applicable</t>
        </is>
      </c>
      <c r="BG138" s="3" t="inlineStr">
        <is>
          <t>Don’t know or not applicable</t>
        </is>
      </c>
      <c r="BH138" s="3" t="inlineStr">
        <is>
          <t>Don’t know or not applicable</t>
        </is>
      </c>
      <c r="BI138" s="3" t="inlineStr">
        <is>
          <t>Don’t know or not applicable</t>
        </is>
      </c>
      <c r="BJ138" s="3" t="inlineStr">
        <is>
          <t>To a great extent</t>
        </is>
      </c>
      <c r="BK138" s="3" t="inlineStr">
        <is>
          <t>To a slight extent</t>
        </is>
      </c>
      <c r="BL138" s="3" t="inlineStr">
        <is>
          <t>To a moderate extent</t>
        </is>
      </c>
      <c r="BM138" s="3" t="inlineStr">
        <is>
          <t>To a slight extent</t>
        </is>
      </c>
      <c r="BN138" s="3" t="inlineStr">
        <is>
          <t>Don’t know or not applicable</t>
        </is>
      </c>
      <c r="BO138" s="3" t="inlineStr">
        <is>
          <t>To a moderate extent</t>
        </is>
      </c>
      <c r="BP138" s="3" t="inlineStr">
        <is>
          <t>To a slight extent</t>
        </is>
      </c>
      <c r="BQ138" s="3" t="inlineStr">
        <is>
          <t>To a slight extent</t>
        </is>
      </c>
      <c r="BR138" s="3" t="inlineStr">
        <is>
          <t>Don’t know or not applicable</t>
        </is>
      </c>
      <c r="BS138" s="3" t="n"/>
      <c r="BT138" s="3" t="inlineStr">
        <is>
          <t>The IMF dedicated an appropriate amount of resources</t>
        </is>
      </c>
      <c r="BU138" s="3" t="inlineStr">
        <is>
          <t>To a great extent</t>
        </is>
      </c>
      <c r="BV138" s="3" t="inlineStr">
        <is>
          <t>To a great extent</t>
        </is>
      </c>
      <c r="BW138" s="3" t="inlineStr">
        <is>
          <t>To a great extent</t>
        </is>
      </c>
      <c r="BX138" s="3" t="inlineStr">
        <is>
          <t>To a great extent</t>
        </is>
      </c>
      <c r="BY138" s="3" t="inlineStr">
        <is>
          <t>To a great extent</t>
        </is>
      </c>
      <c r="BZ138" s="3" t="inlineStr">
        <is>
          <t>To a great extent</t>
        </is>
      </c>
      <c r="CA138" s="3" t="inlineStr">
        <is>
          <t>To a great extent</t>
        </is>
      </c>
      <c r="CB138" s="3" t="inlineStr">
        <is>
          <t>To a great extent</t>
        </is>
      </c>
      <c r="CC138" s="3" t="inlineStr">
        <is>
          <t>To a great extent</t>
        </is>
      </c>
      <c r="CD138" s="3" t="inlineStr">
        <is>
          <t>To a great extent</t>
        </is>
      </c>
      <c r="CE138" s="3" t="inlineStr">
        <is>
          <t>To a great extent</t>
        </is>
      </c>
      <c r="CF138" s="3" t="inlineStr">
        <is>
          <t>To a great extent</t>
        </is>
      </c>
      <c r="CG138" s="3" t="n"/>
      <c r="CH138" s="3" t="inlineStr">
        <is>
          <t>No</t>
        </is>
      </c>
      <c r="CI138" s="3" t="inlineStr">
        <is>
          <t>No</t>
        </is>
      </c>
      <c r="CJ138" s="3" t="n"/>
      <c r="CK138" s="3" t="n"/>
      <c r="CL138" s="3" t="n"/>
      <c r="CM138" s="3" t="n"/>
      <c r="CN138" s="3" t="n"/>
      <c r="CO138" s="3" t="n"/>
      <c r="CP138" s="3" t="n"/>
      <c r="CQ138" s="3" t="n"/>
      <c r="CR138" s="3" t="n"/>
      <c r="CS138" s="3" t="n"/>
      <c r="CT138" s="3" t="n"/>
      <c r="CU138" s="3" t="n"/>
      <c r="CV138" s="3" t="n"/>
      <c r="CW138" s="3" t="n"/>
      <c r="CX138" s="3" t="n"/>
      <c r="CY138" s="3" t="n"/>
      <c r="CZ138" s="3" t="n"/>
      <c r="DA138" s="3" t="n"/>
      <c r="DB138" s="3" t="n"/>
      <c r="DC138" s="3" t="n"/>
      <c r="DD138" s="3" t="n"/>
      <c r="DE138" s="3" t="n"/>
      <c r="DF138" s="3" t="n"/>
      <c r="DG138" s="3" t="n"/>
      <c r="DH138" s="3" t="n"/>
      <c r="DI138" s="3" t="n"/>
      <c r="DJ138" s="3" t="n"/>
      <c r="DK138" s="3" t="n"/>
      <c r="DL138" s="3" t="n"/>
      <c r="DM138" s="3" t="n"/>
      <c r="DN138" s="3" t="n"/>
      <c r="DO138" s="3" t="n"/>
      <c r="DP138" s="3" t="inlineStr">
        <is>
          <t>My country is not eligible for an RSF arrangement</t>
        </is>
      </c>
      <c r="DQ138" s="3" t="n"/>
      <c r="DR138" s="3" t="n"/>
      <c r="DS138" s="3" t="n"/>
      <c r="DT138" s="3" t="n"/>
      <c r="DU138" s="3" t="n"/>
      <c r="DV138" s="3" t="n"/>
      <c r="DW138" s="3" t="inlineStr">
        <is>
          <t>Yes</t>
        </is>
      </c>
      <c r="DX138" s="3" t="n"/>
      <c r="DY138" s="3" t="inlineStr">
        <is>
          <t>Regional development banks</t>
        </is>
      </c>
      <c r="DZ138" s="3" t="n"/>
      <c r="EA138" s="3" t="n"/>
      <c r="EB138" s="3" t="inlineStr">
        <is>
          <t>Other (please specify) : European Union (RRF, Cohesion funds, etc)</t>
        </is>
      </c>
      <c r="EC138" s="3" t="inlineStr">
        <is>
          <t>Don’t know or not applicable</t>
        </is>
      </c>
      <c r="ED138" s="3" t="inlineStr">
        <is>
          <t>Don’t know or not applicable</t>
        </is>
      </c>
      <c r="EE138" s="3" t="inlineStr">
        <is>
          <t>Don’t know or not applicable</t>
        </is>
      </c>
      <c r="EF138" s="3" t="inlineStr">
        <is>
          <t>To a great extent</t>
        </is>
      </c>
      <c r="EG138" s="3" t="inlineStr">
        <is>
          <t>To a great extent</t>
        </is>
      </c>
      <c r="EH138" s="3" t="inlineStr">
        <is>
          <t>Don’t know or not applicable</t>
        </is>
      </c>
      <c r="EI138" s="3" t="inlineStr">
        <is>
          <t>To a great extent</t>
        </is>
      </c>
      <c r="EJ138" s="3" t="inlineStr">
        <is>
          <t>Not at all</t>
        </is>
      </c>
      <c r="EK138" s="3" t="inlineStr">
        <is>
          <t>Not at all</t>
        </is>
      </c>
      <c r="EL138" s="3" t="inlineStr">
        <is>
          <t>Not at all</t>
        </is>
      </c>
      <c r="EM138" s="3" t="n"/>
      <c r="EN138" s="3" t="n"/>
      <c r="EO138" s="3" t="n"/>
      <c r="EP138" s="3" t="n"/>
      <c r="EQ138" s="3" t="inlineStr">
        <is>
          <t>Not at all</t>
        </is>
      </c>
      <c r="ER138" s="3" t="inlineStr">
        <is>
          <t>Not at all</t>
        </is>
      </c>
      <c r="ES138" s="3" t="n"/>
      <c r="ET138" s="3" t="n"/>
      <c r="EU138" s="3" t="n"/>
      <c r="EV138" s="3" t="n"/>
      <c r="EW138" s="3" t="n"/>
      <c r="EX138" s="3" t="n"/>
      <c r="EY138" s="3" t="n"/>
      <c r="EZ138" s="3" t="n"/>
      <c r="FA138" s="3" t="n"/>
      <c r="FB138" s="3" t="n"/>
      <c r="FC138" s="3" t="n"/>
      <c r="FD138" s="3" t="n"/>
      <c r="FE138" s="3" t="n"/>
      <c r="FF138" s="3" t="n"/>
      <c r="FG138" s="3" t="n"/>
      <c r="FH138" s="3" t="n"/>
      <c r="FI138" s="3" t="n"/>
      <c r="FJ138" s="3" t="n"/>
      <c r="FK138" s="3" t="n"/>
      <c r="FL138" s="3" t="n"/>
      <c r="FM138" s="3" t="n"/>
      <c r="FN138" s="3" t="n"/>
      <c r="FO138" s="3" t="n"/>
      <c r="FP138" s="3" t="n"/>
      <c r="FQ138" s="3" t="n"/>
      <c r="FR138" s="3" t="n"/>
      <c r="FS138" s="3" t="n"/>
      <c r="FT138" s="3" t="n"/>
      <c r="FU138" s="3" t="n"/>
      <c r="FV138" s="3" t="n"/>
      <c r="FW138" s="3" t="n"/>
      <c r="FX138" s="3" t="n"/>
      <c r="FY138" s="3" t="inlineStr">
        <is>
          <t>To a moderate extent</t>
        </is>
      </c>
      <c r="FZ138" s="3" t="inlineStr">
        <is>
          <t>To a slight extent</t>
        </is>
      </c>
      <c r="GA138" s="3" t="inlineStr">
        <is>
          <t>To a great extent</t>
        </is>
      </c>
      <c r="GB138" s="3" t="inlineStr">
        <is>
          <t>Not at all</t>
        </is>
      </c>
      <c r="GC138" s="3" t="n"/>
      <c r="GD138" s="3" t="n"/>
      <c r="GE138" s="3" t="inlineStr">
        <is>
          <t>To a moderate extent</t>
        </is>
      </c>
      <c r="GF138" s="3" t="inlineStr">
        <is>
          <t>To a moderate extent</t>
        </is>
      </c>
      <c r="GG138" s="3" t="inlineStr">
        <is>
          <t>To a great extent</t>
        </is>
      </c>
      <c r="GH138" s="3" t="inlineStr">
        <is>
          <t>To a moderate extent</t>
        </is>
      </c>
      <c r="GI138" s="3" t="inlineStr">
        <is>
          <t>To a great extent</t>
        </is>
      </c>
      <c r="GJ138" s="3" t="inlineStr">
        <is>
          <t>To a slight extent</t>
        </is>
      </c>
      <c r="GK138" s="3" t="n"/>
      <c r="GL138" s="5">
        <f>DATE(2025,5,30)+TIME(8,42,23)</f>
        <v/>
      </c>
    </row>
    <row r="139" ht="409.5" customHeight="1">
      <c r="A139" s="6" t="inlineStr">
        <is>
          <t>Liam</t>
        </is>
      </c>
      <c r="B139" s="6" t="inlineStr">
        <is>
          <t>Reddy</t>
        </is>
      </c>
      <c r="C139" s="6" t="inlineStr">
        <is>
          <t>lreddy@organization.org</t>
        </is>
      </c>
      <c r="D139" s="6" t="inlineStr">
        <is>
          <t>K0JVPAMOS</t>
        </is>
      </c>
      <c r="E139" s="6" t="n"/>
      <c r="F139" s="6" t="inlineStr">
        <is>
          <t>OEDCO</t>
        </is>
      </c>
      <c r="G139" s="6" t="n"/>
      <c r="H139" s="6" t="n"/>
      <c r="I139" s="6" t="n"/>
      <c r="J139" s="6" t="n"/>
      <c r="K139" s="6" t="n"/>
      <c r="L139" s="6" t="n"/>
      <c r="M139" s="6" t="n"/>
      <c r="N139" s="6" t="n"/>
      <c r="O139" s="6" t="inlineStr">
        <is>
          <t>St. Kitts and Nevis</t>
        </is>
      </c>
      <c r="P139" s="6" t="n"/>
      <c r="Q139" s="6" t="n"/>
      <c r="R139" s="6" t="n"/>
      <c r="S139" s="6" t="n"/>
      <c r="T139" s="6" t="n"/>
      <c r="U139" s="6" t="n"/>
      <c r="V139" s="6" t="n"/>
      <c r="W139" s="6" t="n"/>
      <c r="X139" s="6" t="n"/>
      <c r="Y139" s="6" t="n"/>
      <c r="Z139" s="6" t="n"/>
      <c r="AA139" s="6" t="n"/>
      <c r="AB139" s="6" t="n"/>
      <c r="AC139" s="6" t="n"/>
      <c r="AD139" s="6" t="n"/>
      <c r="AE139" s="6" t="n"/>
      <c r="AF139" s="4" t="inlineStr">
        <is>
          <t>St. Kitts and Nevis</t>
        </is>
      </c>
      <c r="AG139" s="6" t="inlineStr">
        <is>
          <t>The IMF should engage more on climate change-related issues</t>
        </is>
      </c>
      <c r="AH139" s="6" t="inlineStr">
        <is>
          <t>To a moderate extent</t>
        </is>
      </c>
      <c r="AI139" s="6" t="inlineStr">
        <is>
          <t>To a slight extent</t>
        </is>
      </c>
      <c r="AJ139" s="6" t="inlineStr">
        <is>
          <t>To a slight extent</t>
        </is>
      </c>
      <c r="AK139" s="6" t="inlineStr">
        <is>
          <t>To a moderate extent</t>
        </is>
      </c>
      <c r="AL139" s="6" t="inlineStr">
        <is>
          <t>Not at all</t>
        </is>
      </c>
      <c r="AM139" s="6" t="inlineStr">
        <is>
          <t>Not at all</t>
        </is>
      </c>
      <c r="AN139" s="6" t="inlineStr">
        <is>
          <t>Not at all</t>
        </is>
      </c>
      <c r="AO139" s="6" t="inlineStr">
        <is>
          <t>Not at all</t>
        </is>
      </c>
      <c r="AP139" s="6" t="inlineStr">
        <is>
          <t>To a slight extent</t>
        </is>
      </c>
      <c r="AQ139" s="6" t="inlineStr">
        <is>
          <t>Not at all</t>
        </is>
      </c>
      <c r="AR139" s="6" t="inlineStr">
        <is>
          <t>To a moderate extent</t>
        </is>
      </c>
      <c r="AS139" s="6" t="n"/>
      <c r="AT139" s="6" t="inlineStr">
        <is>
          <t>To a moderate extent</t>
        </is>
      </c>
      <c r="AU139" s="6" t="inlineStr">
        <is>
          <t>To a moderate extent</t>
        </is>
      </c>
      <c r="AV139" s="6" t="inlineStr">
        <is>
          <t>Not at all</t>
        </is>
      </c>
      <c r="AW139" s="6" t="inlineStr">
        <is>
          <t>To a moderate extent</t>
        </is>
      </c>
      <c r="AX139" s="6" t="inlineStr">
        <is>
          <t>To a moderate extent</t>
        </is>
      </c>
      <c r="AY139" s="6" t="inlineStr">
        <is>
          <t>To a moderate extent</t>
        </is>
      </c>
      <c r="AZ139" s="6" t="inlineStr">
        <is>
          <t>To a moderate extent</t>
        </is>
      </c>
      <c r="BA139" s="6" t="inlineStr">
        <is>
          <t>Not at all</t>
        </is>
      </c>
      <c r="BB139" s="6" t="inlineStr">
        <is>
          <t>To a moderate extent</t>
        </is>
      </c>
      <c r="BC139" s="6" t="inlineStr">
        <is>
          <t>To a moderate extent</t>
        </is>
      </c>
      <c r="BD139" s="6" t="inlineStr">
        <is>
          <t>To a moderate extent</t>
        </is>
      </c>
      <c r="BE139" s="6" t="inlineStr">
        <is>
          <t>To a slight extent</t>
        </is>
      </c>
      <c r="BF139" s="6" t="inlineStr">
        <is>
          <t>Not at all</t>
        </is>
      </c>
      <c r="BG139" s="6" t="inlineStr">
        <is>
          <t>To a slight extent</t>
        </is>
      </c>
      <c r="BH139" s="6" t="inlineStr">
        <is>
          <t>To a slight extent</t>
        </is>
      </c>
      <c r="BI139" s="6" t="inlineStr">
        <is>
          <t>To a moderate extent</t>
        </is>
      </c>
      <c r="BJ139" s="6" t="inlineStr">
        <is>
          <t>To a moderate extent</t>
        </is>
      </c>
      <c r="BK139" s="6" t="inlineStr">
        <is>
          <t>Not at all</t>
        </is>
      </c>
      <c r="BL139" s="6" t="inlineStr">
        <is>
          <t>To a moderate extent</t>
        </is>
      </c>
      <c r="BM139" s="6" t="inlineStr">
        <is>
          <t>To a moderate extent</t>
        </is>
      </c>
      <c r="BN139" s="6" t="inlineStr">
        <is>
          <t>To a moderate extent</t>
        </is>
      </c>
      <c r="BO139" s="6" t="inlineStr">
        <is>
          <t>Don’t know or not applicable</t>
        </is>
      </c>
      <c r="BP139" s="6" t="inlineStr">
        <is>
          <t>Don’t know or not applicable</t>
        </is>
      </c>
      <c r="BQ139" s="6" t="inlineStr">
        <is>
          <t>Don’t know or not applicable</t>
        </is>
      </c>
      <c r="BR139" s="6" t="inlineStr">
        <is>
          <t>Don’t know or not applicable</t>
        </is>
      </c>
      <c r="BS139" s="6" t="n"/>
      <c r="BT139" s="6" t="inlineStr">
        <is>
          <t>The IMF should have dedicated more resources</t>
        </is>
      </c>
      <c r="BU139" s="6" t="inlineStr">
        <is>
          <t>To a great extent</t>
        </is>
      </c>
      <c r="BV139" s="6" t="inlineStr">
        <is>
          <t>To a slight extent</t>
        </is>
      </c>
      <c r="BW139" s="6" t="inlineStr">
        <is>
          <t>To a great extent</t>
        </is>
      </c>
      <c r="BX139" s="6" t="inlineStr">
        <is>
          <t>To a great extent</t>
        </is>
      </c>
      <c r="BY139" s="6" t="inlineStr">
        <is>
          <t>To a slight extent</t>
        </is>
      </c>
      <c r="BZ139" s="6" t="inlineStr">
        <is>
          <t>To a great extent</t>
        </is>
      </c>
      <c r="CA139" s="6" t="inlineStr">
        <is>
          <t>To a great extent</t>
        </is>
      </c>
      <c r="CB139" s="6" t="inlineStr">
        <is>
          <t>To a slight extent</t>
        </is>
      </c>
      <c r="CC139" s="6" t="inlineStr">
        <is>
          <t>To a great extent</t>
        </is>
      </c>
      <c r="CD139" s="6" t="inlineStr">
        <is>
          <t>To a great extent</t>
        </is>
      </c>
      <c r="CE139" s="6" t="inlineStr">
        <is>
          <t>To a slight extent</t>
        </is>
      </c>
      <c r="CF139" s="6" t="inlineStr">
        <is>
          <t>To a great extent</t>
        </is>
      </c>
      <c r="CG139" s="6" t="n"/>
      <c r="CH139" s="6" t="inlineStr">
        <is>
          <t>No</t>
        </is>
      </c>
      <c r="CI139" s="6" t="inlineStr">
        <is>
          <t>No</t>
        </is>
      </c>
      <c r="CJ139" s="6" t="n"/>
      <c r="CK139" s="6" t="n"/>
      <c r="CL139" s="6" t="n"/>
      <c r="CM139" s="6" t="n"/>
      <c r="CN139" s="6" t="n"/>
      <c r="CO139" s="6" t="n"/>
      <c r="CP139" s="6" t="n"/>
      <c r="CQ139" s="6" t="n"/>
      <c r="CR139" s="6" t="n"/>
      <c r="CS139" s="6" t="n"/>
      <c r="CT139" s="6" t="n"/>
      <c r="CU139" s="6" t="n"/>
      <c r="CV139" s="6" t="n"/>
      <c r="CW139" s="6" t="n"/>
      <c r="CX139" s="6" t="n"/>
      <c r="CY139" s="6" t="n"/>
      <c r="CZ139" s="6" t="n"/>
      <c r="DA139" s="6" t="n"/>
      <c r="DB139" s="6" t="n"/>
      <c r="DC139" s="6" t="n"/>
      <c r="DD139" s="6" t="n"/>
      <c r="DE139" s="6" t="n"/>
      <c r="DF139" s="6" t="n"/>
      <c r="DG139" s="6" t="n"/>
      <c r="DH139" s="6" t="n"/>
      <c r="DI139" s="6" t="n"/>
      <c r="DJ139" s="6" t="n"/>
      <c r="DK139" s="6" t="n"/>
      <c r="DL139" s="6" t="n"/>
      <c r="DM139" s="6" t="n"/>
      <c r="DN139" s="6" t="n"/>
      <c r="DO139" s="6" t="n"/>
      <c r="DP139" s="6" t="n"/>
      <c r="DQ139" s="6" t="n"/>
      <c r="DR139" s="6" t="n"/>
      <c r="DS139" s="6" t="n"/>
      <c r="DT139" s="6" t="n"/>
      <c r="DU139" s="6" t="inlineStr">
        <is>
          <t>An RSF arrangement would have been useful, but my country had no balance of payments issues/did not need/was not willing to commit to the underlying UCT program</t>
        </is>
      </c>
      <c r="DV139" s="6" t="n"/>
      <c r="DW139" s="6" t="inlineStr">
        <is>
          <t>Yes</t>
        </is>
      </c>
      <c r="DX139" s="6" t="n"/>
      <c r="DY139" s="6" t="inlineStr">
        <is>
          <t>Regional development banks</t>
        </is>
      </c>
      <c r="DZ139" s="6" t="inlineStr">
        <is>
          <t>Bilateral sources</t>
        </is>
      </c>
      <c r="EA139" s="6" t="n"/>
      <c r="EB139" s="6" t="n"/>
      <c r="EC139" s="6" t="inlineStr">
        <is>
          <t>Not at all</t>
        </is>
      </c>
      <c r="ED139" s="6" t="inlineStr">
        <is>
          <t>Don’t know or not applicable</t>
        </is>
      </c>
      <c r="EE139" s="6" t="inlineStr">
        <is>
          <t>To a slight extent</t>
        </is>
      </c>
      <c r="EF139" s="6" t="inlineStr">
        <is>
          <t>Not at all</t>
        </is>
      </c>
      <c r="EG139" s="6" t="inlineStr">
        <is>
          <t>To a great extent</t>
        </is>
      </c>
      <c r="EH139" s="6" t="inlineStr">
        <is>
          <t>To a great extent</t>
        </is>
      </c>
      <c r="EI139" s="6" t="inlineStr">
        <is>
          <t>To a slight extent</t>
        </is>
      </c>
      <c r="EJ139" s="6" t="inlineStr">
        <is>
          <t>To a great extent</t>
        </is>
      </c>
      <c r="EK139" s="6" t="inlineStr">
        <is>
          <t>Not at all</t>
        </is>
      </c>
      <c r="EL139" s="6" t="inlineStr">
        <is>
          <t>Don’t know or not applicable</t>
        </is>
      </c>
      <c r="EM139" s="6" t="n"/>
      <c r="EN139" s="6" t="n"/>
      <c r="EO139" s="6" t="n"/>
      <c r="EP139" s="6" t="n"/>
      <c r="EQ139" s="6" t="inlineStr">
        <is>
          <t>To a slight extent</t>
        </is>
      </c>
      <c r="ER139" s="6" t="inlineStr">
        <is>
          <t>To a slight extent</t>
        </is>
      </c>
      <c r="ES139" s="6" t="n"/>
      <c r="ET139" s="6" t="inlineStr">
        <is>
          <t>Don’t know or not applicable</t>
        </is>
      </c>
      <c r="EU139" s="6" t="inlineStr">
        <is>
          <t>Don’t know or not applicable</t>
        </is>
      </c>
      <c r="EV139" s="6" t="inlineStr">
        <is>
          <t>Don’t know or not applicable</t>
        </is>
      </c>
      <c r="EW139" s="6" t="inlineStr">
        <is>
          <t>Don’t know or not applicable</t>
        </is>
      </c>
      <c r="EX139" s="6" t="n"/>
      <c r="EY139" s="6" t="inlineStr">
        <is>
          <t>Don’t know or not applicable</t>
        </is>
      </c>
      <c r="EZ139" s="6" t="inlineStr">
        <is>
          <t>Not at all</t>
        </is>
      </c>
      <c r="FA139" s="6" t="inlineStr">
        <is>
          <t>Don’t know or not applicable</t>
        </is>
      </c>
      <c r="FB139" s="6" t="inlineStr">
        <is>
          <t>Don’t know or not applicable</t>
        </is>
      </c>
      <c r="FC139" s="6" t="inlineStr">
        <is>
          <t>Don’t know or not applicable</t>
        </is>
      </c>
      <c r="FD139" s="6" t="inlineStr">
        <is>
          <t>Don’t know or not applicable</t>
        </is>
      </c>
      <c r="FE139" s="6" t="inlineStr">
        <is>
          <t>Don’t know or not applicable</t>
        </is>
      </c>
      <c r="FF139" s="6" t="inlineStr">
        <is>
          <t>Don’t know or not applicable</t>
        </is>
      </c>
      <c r="FG139" s="6" t="inlineStr">
        <is>
          <t>Don’t know or not applicable</t>
        </is>
      </c>
      <c r="FH139" s="6" t="inlineStr">
        <is>
          <t>Don’t know or not applicable</t>
        </is>
      </c>
      <c r="FI139" s="6" t="inlineStr">
        <is>
          <t>Don’t know or not applicable</t>
        </is>
      </c>
      <c r="FJ139" s="6" t="inlineStr">
        <is>
          <t>Not at all</t>
        </is>
      </c>
      <c r="FK139" s="6" t="inlineStr">
        <is>
          <t>Don’t know or not applicable</t>
        </is>
      </c>
      <c r="FL139" s="6" t="inlineStr">
        <is>
          <t>Don’t know or not applicable</t>
        </is>
      </c>
      <c r="FM139" s="6" t="inlineStr">
        <is>
          <t>Don’t know or not applicable</t>
        </is>
      </c>
      <c r="FN139" s="6" t="inlineStr">
        <is>
          <t>Don’t know or not applicable</t>
        </is>
      </c>
      <c r="FO139" s="6" t="inlineStr">
        <is>
          <t>Don’t know or not applicable</t>
        </is>
      </c>
      <c r="FP139" s="6" t="inlineStr">
        <is>
          <t>Don’t know or not applicable</t>
        </is>
      </c>
      <c r="FQ139" s="6" t="inlineStr">
        <is>
          <t>Don’t know or not applicable</t>
        </is>
      </c>
      <c r="FR139" s="6" t="inlineStr">
        <is>
          <t>Don’t know or not applicable</t>
        </is>
      </c>
      <c r="FS139" s="6" t="inlineStr">
        <is>
          <t>Don’t know or not applicable</t>
        </is>
      </c>
      <c r="FT139" s="6" t="inlineStr">
        <is>
          <t>Don’t know or not applicable</t>
        </is>
      </c>
      <c r="FU139" s="6" t="inlineStr">
        <is>
          <t>Don’t know or not applicable</t>
        </is>
      </c>
      <c r="FV139" s="6" t="n"/>
      <c r="FW139" s="6" t="inlineStr">
        <is>
          <t>The IMF should have dedicated more resources</t>
        </is>
      </c>
      <c r="FX139" s="6" t="n"/>
      <c r="FY139" s="6" t="inlineStr">
        <is>
          <t>To a great extent</t>
        </is>
      </c>
      <c r="FZ139" s="6" t="inlineStr">
        <is>
          <t>To a great extent</t>
        </is>
      </c>
      <c r="GA139" s="6" t="inlineStr">
        <is>
          <t>To a great extent</t>
        </is>
      </c>
      <c r="GB139" s="6" t="inlineStr">
        <is>
          <t>To a great extent</t>
        </is>
      </c>
      <c r="GC139" s="6" t="inlineStr">
        <is>
          <t>Don’t know or not applicable</t>
        </is>
      </c>
      <c r="GD139" s="6" t="n"/>
      <c r="GE139" s="6" t="inlineStr">
        <is>
          <t>To a moderate extent</t>
        </is>
      </c>
      <c r="GF139" s="6" t="inlineStr">
        <is>
          <t>To a great extent</t>
        </is>
      </c>
      <c r="GG139" s="6" t="inlineStr">
        <is>
          <t>To a great extent</t>
        </is>
      </c>
      <c r="GH139" s="6" t="inlineStr">
        <is>
          <t>To a great extent</t>
        </is>
      </c>
      <c r="GI139" s="6" t="inlineStr">
        <is>
          <t>To a moderate extent</t>
        </is>
      </c>
      <c r="GJ139" s="6" t="inlineStr">
        <is>
          <t>To a great extent</t>
        </is>
      </c>
      <c r="GK139" s="6" t="inlineStr">
        <is>
          <t>The authorities believe that it would be essential for the Executive Board to gain a deeper understanding of how the Fund's climate change initiatives would impact the Caribbean region - a region that is highly vulnerable to climate change. They have expressed concern that the access levels under the RSF are too low to meet their needs.  Moreover, they view the conditionalities associated with a mandatory UCT program as overly burdensome.  A better understanding by the Executive Board of the region's unique vulnerabilities and significant fiscal pressures that climate change imposes on small island economies would help ensure that the Fund's support is adequate and appropriately tailored.</t>
        </is>
      </c>
      <c r="GL139" s="7">
        <f>DATE(2025,5,21)+TIME(11,23,7)</f>
        <v/>
      </c>
    </row>
  </sheetData>
  <pageMargins left="0.75" right="0.75" top="1" bottom="1" header="0.5" footer="0.5"/>
  <pageSetup orientation="portrait"/>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SOTO ORTIZ, GABRIEL ANDRES</dc:creator>
  <dcterms:created xmlns:dcterms="http://purl.org/dc/terms/" xmlns:xsi="http://www.w3.org/2001/XMLSchema-instance" xsi:type="dcterms:W3CDTF">2026-02-25T23:45:40Z</dcterms:created>
  <dcterms:modified xmlns:dcterms="http://purl.org/dc/terms/" xmlns:xsi="http://www.w3.org/2001/XMLSchema-instance" xsi:type="dcterms:W3CDTF">2026-02-26T03:15:47Z</dcterms:modified>
  <cp:lastModifiedBy>SOTO ORTIZ, GABRIEL ANDRES</cp:lastModifiedBy>
</cp:coreProperties>
</file>

<file path=docProps/custom.xml><?xml version="1.0" encoding="utf-8"?>
<Properties xmlns="http://schemas.openxmlformats.org/officeDocument/2006/custom-properties">
  <property name="MSIP_Label_0c07ed86-5dc5-4593-ad03-a8684b843815_Enabled" fmtid="{D5CDD505-2E9C-101B-9397-08002B2CF9AE}" pid="2">
    <vt:lpwstr xmlns:vt="http://schemas.openxmlformats.org/officeDocument/2006/docPropsVTypes">true</vt:lpwstr>
  </property>
  <property name="MSIP_Label_0c07ed86-5dc5-4593-ad03-a8684b843815_SetDate" fmtid="{D5CDD505-2E9C-101B-9397-08002B2CF9AE}" pid="3">
    <vt:lpwstr xmlns:vt="http://schemas.openxmlformats.org/officeDocument/2006/docPropsVTypes">2026-02-25T23:46:08Z</vt:lpwstr>
  </property>
  <property name="MSIP_Label_0c07ed86-5dc5-4593-ad03-a8684b843815_Method" fmtid="{D5CDD505-2E9C-101B-9397-08002B2CF9AE}" pid="4">
    <vt:lpwstr xmlns:vt="http://schemas.openxmlformats.org/officeDocument/2006/docPropsVTypes">Standard</vt:lpwstr>
  </property>
  <property name="MSIP_Label_0c07ed86-5dc5-4593-ad03-a8684b843815_Name" fmtid="{D5CDD505-2E9C-101B-9397-08002B2CF9AE}" pid="5">
    <vt:lpwstr xmlns:vt="http://schemas.openxmlformats.org/officeDocument/2006/docPropsVTypes">0c07ed86-5dc5-4593-ad03-a8684b843815</vt:lpwstr>
  </property>
  <property name="MSIP_Label_0c07ed86-5dc5-4593-ad03-a8684b843815_SiteId" fmtid="{D5CDD505-2E9C-101B-9397-08002B2CF9AE}" pid="6">
    <vt:lpwstr xmlns:vt="http://schemas.openxmlformats.org/officeDocument/2006/docPropsVTypes">8085fa43-302e-45bd-b171-a6648c3b6be7</vt:lpwstr>
  </property>
  <property name="MSIP_Label_0c07ed86-5dc5-4593-ad03-a8684b843815_ActionId" fmtid="{D5CDD505-2E9C-101B-9397-08002B2CF9AE}" pid="7">
    <vt:lpwstr xmlns:vt="http://schemas.openxmlformats.org/officeDocument/2006/docPropsVTypes">dd12c796-e92b-4d49-af16-4abfe6ff8e80</vt:lpwstr>
  </property>
  <property name="MSIP_Label_0c07ed86-5dc5-4593-ad03-a8684b843815_ContentBits" fmtid="{D5CDD505-2E9C-101B-9397-08002B2CF9AE}" pid="8">
    <vt:lpwstr xmlns:vt="http://schemas.openxmlformats.org/officeDocument/2006/docPropsVTypes">0</vt:lpwstr>
  </property>
  <property name="MSIP_Label_0c07ed86-5dc5-4593-ad03-a8684b843815_Tag" fmtid="{D5CDD505-2E9C-101B-9397-08002B2CF9AE}" pid="9">
    <vt:lpwstr xmlns:vt="http://schemas.openxmlformats.org/officeDocument/2006/docPropsVTypes">10, 3, 0, 1</vt:lpwstr>
  </property>
</Properties>
</file>