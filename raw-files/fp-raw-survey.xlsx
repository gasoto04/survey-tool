
<file path=[Content_Types].xml><?xml version="1.0" encoding="utf-8"?>
<Types xmlns="http://schemas.openxmlformats.org/package/2006/content-types">
  <Override PartName="/xl/theme/theme1.xml" ContentType="application/vnd.openxmlformats-officedocument.theme+xml"/>
  <Default Extension="rels" ContentType="application/vnd.openxmlformats-package.relationships+xml"/>
  <Default Extension="xml" ContentType="application/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Answer Details" sheetId="2" r:id="rId2"/>
  </sheets>
  <definedNames/>
  <calcPr fullCalcOnLoad="1"/>
</workbook>
</file>

<file path=xl/sharedStrings.xml><?xml version="1.0" encoding="utf-8"?>
<sst xmlns="http://schemas.openxmlformats.org/spreadsheetml/2006/main" count="2270" uniqueCount="294">
  <si>
    <t>E4J754Z6F</t>
  </si>
  <si>
    <t>A14 – A15</t>
  </si>
  <si>
    <t>Slovakia</t>
  </si>
  <si>
    <t>Extensive guidance</t>
  </si>
  <si>
    <t>Not applicable</t>
  </si>
  <si>
    <t>Significantly</t>
  </si>
  <si>
    <t>50% of the time or more</t>
  </si>
  <si>
    <t>Always</t>
  </si>
  <si>
    <t>Fund “leverage” outside of program relationships is too limited, Political realities made implementation difficult or undesirable</t>
  </si>
  <si>
    <t>Trade-off between sustainability and growth, Initial cyclical conditions (e.g., output gap, inflation, unemployment), Financing constraints (e.g., market pressures, rollover risk, and financing needs), Fiscal risks, Fiscal multipliers, Fiscal space</t>
  </si>
  <si>
    <t>Macroeconomic uncertainty, Policy implementation risk</t>
  </si>
  <si>
    <t>Less than 50 percent of the time</t>
  </si>
  <si>
    <t>Yes, in detail</t>
  </si>
  <si>
    <t>Well integrated</t>
  </si>
  <si>
    <t>Extensively</t>
  </si>
  <si>
    <t>Yes, always</t>
  </si>
  <si>
    <t>Partially integrated (e.g., CD activities provided some support to implementation of the fiscal policy advice)</t>
  </si>
  <si>
    <t>No, never</t>
  </si>
  <si>
    <t>4NL5KN4LS</t>
  </si>
  <si>
    <t>Finland</t>
  </si>
  <si>
    <t>Some guidance</t>
  </si>
  <si>
    <t>Never</t>
  </si>
  <si>
    <t>Political realities made implementation difficult or undesirable</t>
  </si>
  <si>
    <t>Trade-off between sustainability and growth, Initial cyclical conditions (e.g., output gap, inflation, unemployment), Policy mix considerations (e.g., coordination between fiscal and monetary policy), Fiscal risks, Fiscal multipliers, Fiscal space</t>
  </si>
  <si>
    <t>Macroeconomic uncertainty, Debt composition and/or debt maturity</t>
  </si>
  <si>
    <t>At least 50 percent of the time</t>
  </si>
  <si>
    <t>Country did not receive CD</t>
  </si>
  <si>
    <t>Partially</t>
  </si>
  <si>
    <t>Little or not at all</t>
  </si>
  <si>
    <t>GMJ70M7RF</t>
  </si>
  <si>
    <t>Estonia</t>
  </si>
  <si>
    <t>Initial cyclical conditions (e.g., output gap, inflation, unemployment), Policy mix considerations (e.g., coordination between fiscal and monetary policy), Fiscal multipliers, Fiscal space</t>
  </si>
  <si>
    <t>6W5L8WN7X</t>
  </si>
  <si>
    <t>B1 – B3</t>
  </si>
  <si>
    <t>Germany</t>
  </si>
  <si>
    <t>Don’t know</t>
  </si>
  <si>
    <t>Less than 50% of the time</t>
  </si>
  <si>
    <t>Trade-off between sustainability and growth, Initial cyclical conditions (e.g., output gap, inflation, unemployment), Financing constraints (e.g., market pressures, rollover risk, and financing needs), Policy mix considerations (e.g., coordination between fiscal and monetary policy), Outward spillovers, External sustainability (e.g., external debt sustainability analysis, current account position), Fiscal multipliers, Fiscal space</t>
  </si>
  <si>
    <t>292G8R99I</t>
  </si>
  <si>
    <t>B4 – B5</t>
  </si>
  <si>
    <t>Portugal</t>
  </si>
  <si>
    <t>No guidance</t>
  </si>
  <si>
    <t>For the euro area, which this reply covers, the specifics of fiscal policy were typically covered in the individual country A4s. The euro area consultations typically dealt with fiscal aggregates and rules.</t>
  </si>
  <si>
    <t>Initial cyclical conditions (e.g., output gap, inflation, unemployment), Financing constraints (e.g., market pressures, rollover risk, and financing needs), Policy mix considerations (e.g., coordination between fiscal and monetary policy), Outward spillovers, Fiscal risks, Fiscal space</t>
  </si>
  <si>
    <t>Initial cyclical conditions (e.g., output gap, inflation, unemployment), Policy mix considerations (e.g., coordination between fiscal and monetary policy), Outward spillovers, Fiscal space</t>
  </si>
  <si>
    <t>0WZJW562M</t>
  </si>
  <si>
    <t>Fiji</t>
  </si>
  <si>
    <t>Don't know</t>
  </si>
  <si>
    <t>Trade-off between sustainability and growth, Initial cyclical conditions (e.g., output gap, inflation, unemployment), Financing constraints (e.g., market pressures, rollover risk, and financing needs), Fiscal risks, Fiscal multipliers</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</si>
  <si>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risks, Fiscal multipliers, Fiscal space</t>
  </si>
  <si>
    <t>Contingent liabilities (e.g., from state-owned enterprises or financial sector), Macroeconomic uncertainty, Debt composition and/or debt maturity</t>
  </si>
  <si>
    <t>Well integrated (e.g., CD activities provided good support to implementation of the fiscal policy advice)</t>
  </si>
  <si>
    <t>6W57WLZ4R</t>
  </si>
  <si>
    <t>Colombia</t>
  </si>
  <si>
    <t>Fund “leverage” outside of program relationships is too limited, Political realities made implementation difficult or undesirable, The analysis provided by staff failed to convince the authorities</t>
  </si>
  <si>
    <t>Contingent liabilities (e.g., from state-owned enterprises or financial sector), Macroeconomic uncertainty, Policy implementation risk, Capacity implementation risk, Debt composition and/or debt maturity</t>
  </si>
  <si>
    <t>RRLGR217O</t>
  </si>
  <si>
    <t>Peru</t>
  </si>
  <si>
    <t>Trade-off between sustainability and growth, Initial cyclical conditions (e.g., output gap, inflation, unemployment), Financing constraints (e.g., market pressures, rollover risk, and financing needs), Policy mix considerations (e.g., coordination between fiscal and monetary policy), Inward spillovers, External sustainability (e.g., external debt sustainability analysis, current account position), Fiscal risks, Fiscal multipliers, Fiscal space</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</si>
  <si>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risks, Fiscal space</t>
  </si>
  <si>
    <t>Contingent liabilities (e.g., from state-owned enterprises or financial sector), Macroeconomic uncertainty, Policy implementation risk</t>
  </si>
  <si>
    <t>Yes, more than 50% of the time</t>
  </si>
  <si>
    <t>ZMJ5MK8LE</t>
  </si>
  <si>
    <t>Indonesia</t>
  </si>
  <si>
    <t>It was the top-level instructions about fiscal policy advice during--to do what it takes; spend but keep receipts--that were the problems. With hindsight, this caused significant inflation and high debt in many emerging market economies.</t>
  </si>
  <si>
    <t>Not applicable (i.e., the authorities did act on the advice)</t>
  </si>
  <si>
    <t>Initial cyclical conditions (e.g., output gap, inflation, unemployment), Financing constraints (e.g., market pressures, rollover risk, and financing needs), Policy mix considerations (e.g., coordination between fiscal and monetary policy), Inward spillovers, External sustainability (e.g., external debt sustainability analysis, current account position), Fiscal risks, Fiscal multipliers, Fiscal space</t>
  </si>
  <si>
    <t>Macroeconomic uncertainty, Policy implementation risk, Capacity implementation risk, Debt composition and/or debt maturity</t>
  </si>
  <si>
    <t>Not integrated (e.g., CD did not provide any support to implementation of the fiscal policy advice)</t>
  </si>
  <si>
    <t>M60O64LYO</t>
  </si>
  <si>
    <t>Philippines</t>
  </si>
  <si>
    <t>Contingent liabilities (e.g., from state-owned enterprises or financial sector), Policy implementation risk, Debt composition and/or debt maturity</t>
  </si>
  <si>
    <t>P6OM62ENH</t>
  </si>
  <si>
    <t>Brazil</t>
  </si>
  <si>
    <t>Trade-off between sustainability and growth, Initial cyclical conditions (e.g., output gap, inflation, unemployment), Financing constraints (e.g., market pressures, rollover risk, and financing needs), Policy mix considerations (e.g., coordination between fiscal and monetary policy), Fiscal risks, Fiscal multipliers, Fiscal space</t>
  </si>
  <si>
    <t>91571E09E</t>
  </si>
  <si>
    <t>Costa Rica</t>
  </si>
  <si>
    <t>Yes, all the time</t>
  </si>
  <si>
    <t>8GODGWL0S</t>
  </si>
  <si>
    <t>Thailand</t>
  </si>
  <si>
    <t>5E0MEDZDH</t>
  </si>
  <si>
    <t>India</t>
  </si>
  <si>
    <t>This comment is about the previous set of questions, 4.2 and 4.1. There was no real divergence between our bilateral fiscal advice and the advice of multilateral products, but your questions did not provide an opportunity to give this response, and we had to answer 4.2 and 4.1.
Please ignore the responses to these two questions.</t>
  </si>
  <si>
    <t>Other (please specify) : authorities partially implemented our advice, and didn't implement other parts due to political constraints.</t>
  </si>
  <si>
    <t>Trade-off between sustainability and growth, Initial cyclical conditions (e.g., output gap, inflation, unemployment), Financing constraints (e.g., market pressures, rollover risk, and financing needs), Policy mix considerations (e.g., coordination between fiscal and monetary policy), Fiscal risks, Fiscal multipliers, Fiscal space, Other (please specify) : spillovers from fiscal policies for India not really strong, hence not a consideration for our analysis</t>
  </si>
  <si>
    <t>Contingent liabilities (e.g., from state-owned enterprises or financial sector), Policy implementation risk, Capacity implementation risk, Debt composition and/or debt maturity</t>
  </si>
  <si>
    <t>292G94KGU</t>
  </si>
  <si>
    <t>United States</t>
  </si>
  <si>
    <t>Trade-off between sustainability and growth, Initial cyclical conditions (e.g., output gap, inflation, unemployment), Policy mix considerations (e.g., coordination between fiscal and monetary policy)</t>
  </si>
  <si>
    <t>Initial cyclical conditions (e.g., output gap, inflation, unemployment), Policy mix considerations (e.g., coordination between fiscal and monetary policy), Other (please specify) : Impact of demographics</t>
  </si>
  <si>
    <t>NW14WP0YI</t>
  </si>
  <si>
    <t>Kazakhstan</t>
  </si>
  <si>
    <t>Initial cyclical conditions (e.g., output gap, inflation, unemployment), Policy mix considerations (e.g., coordination between fiscal and monetary policy), External sustainability (e.g., external debt sustainability analysis, current account position), Fiscal risks, Fiscal space</t>
  </si>
  <si>
    <t>Trade-off between sustainability and growth, Initial cyclical conditions (e.g., output gap, inflation, unemployment), Fiscal risks, Fiscal space</t>
  </si>
  <si>
    <t>Contingent liabilities (e.g., from state-owned enterprises or financial sector), Other (please specify) : LT climate transition</t>
  </si>
  <si>
    <t>Yes, less than 50% of the time</t>
  </si>
  <si>
    <t>JQD0Q8YMI</t>
  </si>
  <si>
    <t>China</t>
  </si>
  <si>
    <t>Trade-off between sustainability and growth, Initial cyclical conditions (e.g., output gap, inflation, unemployment), Policy mix considerations (e.g., coordination between fiscal and monetary policy), Outward spillovers, Inward spillovers, Fiscal risks, Fiscal multipliers, Fiscal space</t>
  </si>
  <si>
    <t>Trade-off between sustainability and growth, Initial cyclical conditions (e.g., output gap, inflation, unemployment), Financing constraints (e.g., market pressures, rollover risk, and financing needs), Policy mix considerations (e.g., coordination between fiscal and monetary policy), Outward spillovers, Inward spillovers, Fiscal risks, Fiscal multipliers, Fiscal space</t>
  </si>
  <si>
    <t>GMJKM78JI</t>
  </si>
  <si>
    <t>Bangladesh</t>
  </si>
  <si>
    <t>Somewhat</t>
  </si>
  <si>
    <t>Trade-off between sustainability and growth, Policy mix considerations (e.g., coordination between fiscal and monetary policy), Fiscal risks, Fiscal space</t>
  </si>
  <si>
    <t>7NNK1NMNY</t>
  </si>
  <si>
    <t>Malawi</t>
  </si>
  <si>
    <t>Minimally</t>
  </si>
  <si>
    <t>Contingent liabilities (e.g., from state-owned enterprises or financial sector), Debt composition and/or debt maturity</t>
  </si>
  <si>
    <t>7NNOJGE9Q</t>
  </si>
  <si>
    <t>Mongolia</t>
  </si>
  <si>
    <t>Fund “leverage” outside of program relationships is too limited, Political realities made implementation difficult or undesirable, Other (please specify) : Geopolitical developments affected fiscal and were hard to forecast accurately.</t>
  </si>
  <si>
    <t>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risks, Fiscal multipliers, Fiscal space</t>
  </si>
  <si>
    <t>NWW47LR9F</t>
  </si>
  <si>
    <t>Marshall Islands</t>
  </si>
  <si>
    <t>Trade-off between sustainability and growth, Financing constraints (e.g., market pressures, rollover risk, and financing needs), Inward spillovers, Fiscal risks</t>
  </si>
  <si>
    <t>Trade-off between sustainability and growth, Financing constraints (e.g., market pressures, rollover risk, and financing needs), Inward spillovers, Fiscal risks, Fiscal space</t>
  </si>
  <si>
    <t>Contingent liabilities (e.g., from state-owned enterprises or financial sector), Macroeconomic uncertainty, Capacity implementation risk</t>
  </si>
  <si>
    <t>GMMKGZ1DD</t>
  </si>
  <si>
    <t>Namibia</t>
  </si>
  <si>
    <t>Fiscal advice to Namibia was tailored to short-term issues (sustainability, effectiveness) and long-term issues (development of a policy framework in anticipation of significant oil revenues).</t>
  </si>
  <si>
    <t>Trade-off between sustainability and growth, Policy mix considerations (e.g., coordination between fiscal and monetary policy), Fiscal risks</t>
  </si>
  <si>
    <t>Financing constraints (e.g., market pressures, rollover risk, and financing needs), Policy mix considerations (e.g., coordination between fiscal and monetary policy), External sustainability (e.g., external debt sustainability analysis, current account position)</t>
  </si>
  <si>
    <t>199KOYM5N</t>
  </si>
  <si>
    <t>The Bahamas</t>
  </si>
  <si>
    <t>Trade-off between sustainability and growth, Initial cyclical conditions (e.g., output gap, inflation, unemployment), Financing constraints (e.g., market pressures, rollover risk, and financing needs)</t>
  </si>
  <si>
    <t>ONNG40Q4Y</t>
  </si>
  <si>
    <t>Paraguay</t>
  </si>
  <si>
    <t>Trade-off between sustainability and growth, Initial cyclical conditions (e.g., output gap, inflation, unemployment), Fiscal risks, Fiscal multipliers</t>
  </si>
  <si>
    <t>Contingent liabilities (e.g., from state-owned enterprises or financial sector)</t>
  </si>
  <si>
    <t>E44YOZE0U</t>
  </si>
  <si>
    <t>Dominican Republic</t>
  </si>
  <si>
    <t>Trade-off between sustainability and growth, Initial cyclical conditions (e.g., output gap, inflation, unemployment), Financing constraints (e.g., market pressures, rollover risk, and financing needs), Policy mix considerations (e.g., coordination between fiscal and monetary policy)</t>
  </si>
  <si>
    <t>WMMOW24NA</t>
  </si>
  <si>
    <t>Congo, Democratic Republic of the</t>
  </si>
  <si>
    <t>Political realities made implementation difficult or undesirable, Fund advice wasn’t time sensitive (e.g., no immediate need to respond)</t>
  </si>
  <si>
    <t>Trade-off between sustainability and growth, Financing constraints (e.g., market pressures, rollover risk, and financing needs), Policy mix considerations (e.g., coordination between fiscal and monetary policy), External sustainability (e.g., external debt sustainability analysis, current account position), Fiscal risks, Fiscal space</t>
  </si>
  <si>
    <t>Contingent liabilities (e.g., from state-owned enterprises or financial sector), Macroeconomic uncertainty, Policy implementation risk, Capacity implementation risk</t>
  </si>
  <si>
    <t>K66W5Z2RO</t>
  </si>
  <si>
    <t>Cyprus</t>
  </si>
  <si>
    <t>6WW72DQQU</t>
  </si>
  <si>
    <t>Tanzania</t>
  </si>
  <si>
    <t>Political realities made implementation difficult or undesirable, The analysis provided by staff failed to convince the authorities</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</si>
  <si>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space</t>
  </si>
  <si>
    <t>DGG5EZWZC</t>
  </si>
  <si>
    <t>Sudan</t>
  </si>
  <si>
    <t>M66O8ZYDW</t>
  </si>
  <si>
    <t>Rwanda</t>
  </si>
  <si>
    <t>Trade-off between sustainability and growth, Fiscal risks, Fiscal multipliers, Fiscal space</t>
  </si>
  <si>
    <t>Initial cyclical conditions (e.g., output gap, inflation, unemployment), External sustainability (e.g., external debt sustainability analysis, current account position), Fiscal risks, Fiscal multipliers, Fiscal space</t>
  </si>
  <si>
    <t>7NN75Y67Y</t>
  </si>
  <si>
    <t>Luxembourg</t>
  </si>
  <si>
    <t>Contingent liabilities (e.g., from state-owned enterprises or financial sector), Macroeconomic uncertainty</t>
  </si>
  <si>
    <t>YEE7O0QPU</t>
  </si>
  <si>
    <t>Montenegro</t>
  </si>
  <si>
    <t>Trade-off between sustainability and growth, Financing constraints (e.g., market pressures, rollover risk, and financing needs), External sustainability (e.g., external debt sustainability analysis, current account position), Fiscal risks, Fiscal multipliers, Fiscal space</t>
  </si>
  <si>
    <t>Macroeconomic uncertainty, Policy implementation risk, Debt composition and/or debt maturity</t>
  </si>
  <si>
    <t>199KOY05J</t>
  </si>
  <si>
    <t>Eswatini</t>
  </si>
  <si>
    <t>Political realities made implementation difficult or undesirable, Fund staff didn’t have access to policymakers at the appropriate level</t>
  </si>
  <si>
    <t>Trade-off between sustainability and growth, Financing constraints (e.g., market pressures, rollover risk, and financing needs), Policy mix considerations (e.g., coordination between fiscal and monetary policy), External sustainability (e.g., external debt sustainability analysis, current account position), Fiscal space</t>
  </si>
  <si>
    <t>Trade-off between sustainability and growth, Policy mix considerations (e.g., coordination between fiscal and monetary policy), External sustainability (e.g., external debt sustainability analysis, current account position), Fiscal risks, Fiscal space</t>
  </si>
  <si>
    <t>WMMOW2ENJ</t>
  </si>
  <si>
    <t>Djibouti</t>
  </si>
  <si>
    <t>Other (please specify) : Authorities did not have political mandate to change status quo.</t>
  </si>
  <si>
    <t>Trade-off between sustainability and growth, Initial cyclical conditions (e.g., output gap, inflation, unemployment), Financing constraints (e.g., market pressures, rollover risk, and financing needs), Policy mix considerations (e.g., coordination between fiscal and monetary policy), Outward spillovers, Inward spillovers, External sustainability (e.g., external debt sustainability analysis, current account position), Fiscal risks, Fiscal multipliers, Fiscal space</t>
  </si>
  <si>
    <t>Contingent liabilities (e.g., from state-owned enterprises or financial sector), Macroeconomic uncertainty, Policy implementation risk, Capacity implementation risk, Debt composition and/or debt maturity, Fiscal risks were not discussed</t>
  </si>
  <si>
    <t>0WWJE4LNH</t>
  </si>
  <si>
    <t>Pakistan</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</si>
  <si>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t>
  </si>
  <si>
    <t>Trade-off between sustainability and growth, Initial cyclical conditions (e.g., output gap, inflation, unemployment), Financing constraints (e.g., market pressures, rollover risk, and financing needs), Policy mix considerations (e.g., coordination between fiscal and monetary policy), Fiscal space</t>
  </si>
  <si>
    <t>L22EYZOJC</t>
  </si>
  <si>
    <t>Iraq</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</si>
  <si>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risks</t>
  </si>
  <si>
    <t>6WW72DGQS</t>
  </si>
  <si>
    <t>Armenia</t>
  </si>
  <si>
    <t>Other (please specify) : There was no need for fiscal stimulus during my time as a mission chief on Armenia</t>
  </si>
  <si>
    <t>DGG5EZPZV</t>
  </si>
  <si>
    <t>Initial cyclical conditions (e.g., output gap, inflation, unemployment), Financing constraints (e.g., market pressures, rollover risk, and financing needs), Policy mix considerations (e.g., coordination between fiscal and monetary policy), Fiscal risks, Fiscal multipliers, Fiscal space</t>
  </si>
  <si>
    <t>M66O8Z1DS</t>
  </si>
  <si>
    <t>Sri Lanka</t>
  </si>
  <si>
    <t>Fund “leverage” outside of program relationships is too limited, Political realities made implementation difficult or undesirable, Fund staff didn’t have access to policymakers at the appropriate level</t>
  </si>
  <si>
    <t>Contingent liabilities (e.g., from state-owned enterprises or financial sector), Macroeconomic uncertainty, Policy implementation risk, Debt composition and/or debt maturity</t>
  </si>
  <si>
    <t>P66M9WN7L</t>
  </si>
  <si>
    <t>South Africa</t>
  </si>
  <si>
    <t>Fund “leverage” outside of program relationships is too limited</t>
  </si>
  <si>
    <t>Trade-off between sustainability and growth, Initial cyclical conditions (e.g., output gap, inflation, unemployment), Financing constraints (e.g., market pressures, rollover risk, and financing needs), Policy mix considerations (e.g., coordination between fiscal and monetary policy), External sustainability (e.g., external debt sustainability analysis, current account position), Fiscal risks, Fiscal multipliers</t>
  </si>
  <si>
    <t>YEE7O01PP</t>
  </si>
  <si>
    <t>Saudi Arabia</t>
  </si>
  <si>
    <t>Trade-off between sustainability and growth, Initial cyclical conditions (e.g., output gap, inflation, unemployment), Policy mix considerations (e.g., coordination between fiscal and monetary policy), Fiscal multipliers, Fiscal space</t>
  </si>
  <si>
    <t>Trade-off between sustainability and growth, Initial cyclical conditions (e.g., output gap, inflation, unemployment), Fiscal multipliers, Fiscal space</t>
  </si>
  <si>
    <t>5EEMNY10Z</t>
  </si>
  <si>
    <t>Chad</t>
  </si>
  <si>
    <t>Contingent liabilities (e.g., from state-owned enterprises or financial sector), Macroeconomic uncertainty, Capacity implementation risk, Debt composition and/or debt maturity</t>
  </si>
  <si>
    <t>299G16W9O</t>
  </si>
  <si>
    <t>Romania</t>
  </si>
  <si>
    <t>Trade-off between sustainability and growth, Initial cyclical conditions (e.g., output gap, inflation, unemployment), Financing constraints (e.g., market pressures, rollover risk, and financing needs), Policy mix considerations (e.g., coordination between fiscal and monetary policy), Fiscal risks, Fiscal space</t>
  </si>
  <si>
    <t>6WW72D8MD</t>
  </si>
  <si>
    <t>Somalia</t>
  </si>
  <si>
    <t>Financing constraints (e.g., market pressures, rollover risk, and financing needs), Fiscal risks, Fiscal space</t>
  </si>
  <si>
    <t>Macroeconomic uncertainty, Policy implementation risk, Capacity implementation risk</t>
  </si>
  <si>
    <t>DGG5EZ27U</t>
  </si>
  <si>
    <t>Malta</t>
  </si>
  <si>
    <t>4NNGJYKLQ</t>
  </si>
  <si>
    <t>Sudan, South</t>
  </si>
  <si>
    <t>Financing constraints (e.g., market pressures, rollover risk, and financing needs), Policy mix considerations (e.g., coordination between fiscal and monetary policy), External sustainability (e.g., external debt sustainability analysis, current account position), Fiscal risks, Fiscal space</t>
  </si>
  <si>
    <t>299G166YM</t>
  </si>
  <si>
    <t>Guinea-Bissau</t>
  </si>
  <si>
    <t>FAD fiscal advice was critical for the successful engagement with Guinea Bissau</t>
  </si>
  <si>
    <t>Trade-off between sustainability and growth, Financing constraints (e.g., market pressures, rollover risk, and financing needs), External sustainability (e.g., external debt sustainability analysis, current account position), Fiscal risks, Fiscal space</t>
  </si>
  <si>
    <t>JQQ02ZZGQ</t>
  </si>
  <si>
    <t>Libya</t>
  </si>
  <si>
    <t>The above questions are too "leading." It appears that the IEO has strong priors, which they wish to confirm.</t>
  </si>
  <si>
    <t>199KOYY2E</t>
  </si>
  <si>
    <t>Senegal</t>
  </si>
  <si>
    <t>Trade-off between sustainability and growth, Financing constraints (e.g., market pressures, rollover risk, and financing needs), Fiscal risks, Fiscal space</t>
  </si>
  <si>
    <t>Trade-off between sustainability and growth, Initial cyclical conditions (e.g., output gap, inflation, unemployment), Financing constraints (e.g., market pressures, rollover risk, and financing needs), Fiscal risks, Fiscal space</t>
  </si>
  <si>
    <t>E44YOZZ6Q</t>
  </si>
  <si>
    <t>Cambodia</t>
  </si>
  <si>
    <t>Other (please specify) : capacity constraints</t>
  </si>
  <si>
    <t>Trade-off between sustainability and growth, Initial cyclical conditions (e.g., output gap, inflation, unemployment), Policy mix considerations (e.g., coordination between fiscal and monetary policy), External sustainability (e.g., external debt sustainability analysis, current account position), Fiscal risks, Fiscal multipliers, Fiscal space</t>
  </si>
  <si>
    <t>WMMOW22DM</t>
  </si>
  <si>
    <t>United Kingdom</t>
  </si>
  <si>
    <t>The big issue for us was that, relative to the rest of the IMF, we very early on perceived a post-pandemic inflation risk and tilted the advice back towards demand management (putting build-back-better secondary). While correct, this was not in line with the Treasury's thinking at the time.</t>
  </si>
  <si>
    <t>Fund “leverage” outside of program relationships is too limited, Political realities made implementation difficult or undesirable, Other (please specify) : Timing was off. They invited us after their fiscal statement and had no intention of changing course immediately. Note that we got very godo traction with the central bank on our policy mix advice..</t>
  </si>
  <si>
    <t>Initial cyclical conditions (e.g., output gap, inflation, unemployment), Financing constraints (e.g., market pressures, rollover risk, and financing needs), Policy mix considerations (e.g., coordination between fiscal and monetary policy), Outward spillovers, Fiscal risks, Fiscal multipliers, Fiscal space</t>
  </si>
  <si>
    <t>L22EYZZOH</t>
  </si>
  <si>
    <t>Mauritania</t>
  </si>
  <si>
    <t>We negotiated a new program under which a fiscal anchor became a pillar of the program.</t>
  </si>
  <si>
    <t>Political realities made implementation difficult or undesirable, Other (please specify) : The authorities agreed with Staff on the fiscal implementation but on the same time had unrealistic budgets sent to parliamane which were inconsistent with the Fund program.</t>
  </si>
  <si>
    <t>Trade-off between sustainability and growth, Policy mix considerations (e.g., coordination between fiscal and monetary policy), External sustainability (e.g., external debt sustainability analysis, current account position), Other (please specify) : Absorption capacity and realism of high quality scaling up of investments</t>
  </si>
  <si>
    <t>Policy mix considerations (e.g., coordination between fiscal and monetary policy), Other (please specify) : same as above</t>
  </si>
  <si>
    <t>ZMM51WW8I</t>
  </si>
  <si>
    <t>P66M9WWJL</t>
  </si>
  <si>
    <t>Ecuador</t>
  </si>
  <si>
    <t>Fiscal policy advice was carefully designed and presented in the context of a new Fund program.</t>
  </si>
  <si>
    <t>Initial cyclical conditions (e.g., output gap, inflation, unemployment), Financing constraints (e.g., market pressures, rollover risk, and financing needs), Fiscal risks, Fiscal multipliers, Fiscal space</t>
  </si>
  <si>
    <t>91178YYJZ</t>
  </si>
  <si>
    <t>Maldives</t>
  </si>
  <si>
    <t>Trade-off between sustainability and growth, Financing constraints (e.g., market pressures, rollover risk, and financing needs), Policy mix considerations (e.g., coordination between fiscal and monetary policy), Fiscal risks, Fiscal space</t>
  </si>
  <si>
    <t>ONNG40P5E</t>
  </si>
  <si>
    <t>Sudan was a very specific case of protracted arrears, clearing those arrears and getting to the HIPC Decision Point. Everything had to be tailored to the situation and political economy constraints.</t>
  </si>
  <si>
    <t>Trade-off between sustainability and growth, External sustainability (e.g., external debt sustainability analysis, current account position)</t>
  </si>
  <si>
    <t>E44YOZK6S</t>
  </si>
  <si>
    <t>Political realities made implementation difficult or undesirable, Fund staff didn’t have access to policymakers at the appropriate level, Other (please specify) : Unexpected shocks</t>
  </si>
  <si>
    <t>L22EYZ6OV</t>
  </si>
  <si>
    <t>Egypt</t>
  </si>
  <si>
    <t>Political realities made implementation difficult or undesirable, Fund staff didn’t have access to policymakers at the appropriate level, The analysis provided by staff failed to convince the authorities</t>
  </si>
  <si>
    <t>Trade-off between sustainability and growth, Inward spillovers</t>
  </si>
  <si>
    <t>K66W5ZPZW</t>
  </si>
  <si>
    <t>United Arab Emirates</t>
  </si>
  <si>
    <t>Fund “leverage” outside of program relationships is too limited, Political realities made implementation difficult or undesirable, Fund advice wasn’t time sensitive (e.g., no immediate need to respond), Other (please specify) : Substantial fiscal space exists limiting urgency of action</t>
  </si>
  <si>
    <t>Response Code</t>
  </si>
  <si>
    <t>Questions</t>
  </si>
  <si>
    <t>1. 1. Which of the following describes your current grade in the IMF?</t>
  </si>
  <si>
    <t>2. 2. Please answer the survey based on the country you were Mission Chief (MC) of during most of 2021-23. If you were MC for more than one country during that period, choose one. Please indicate the country on which you are basing your responses.</t>
  </si>
  <si>
    <t>General Questions</t>
  </si>
  <si>
    <t>3. 3. When providing fiscal policy advice to the country, did you have access to guidance (e.g., in the form of a guidance note, internal memos) on?: * Fiscal rules and institutions</t>
  </si>
  <si>
    <t>3. 3. When providing fiscal policy advice to the country, did you have access to guidance (e.g., in the form of a guidance note, internal memos) on?: * Security/military spending</t>
  </si>
  <si>
    <t>3. 3. When providing fiscal policy advice to the country, did you have access to guidance (e.g., in the form of a guidance note, internal memos) on?: * Public debt management</t>
  </si>
  <si>
    <t>3. 3. When providing fiscal policy advice to the country, did you have access to guidance (e.g., in the form of a guidance note, internal memos) on?: * Fiscal policy issues specific to the country grouping the country belonged to  (e.g., Advanced Economie</t>
  </si>
  <si>
    <t>4. 4. When providing fiscal policy advice to the country, to what extent did you verify whether bilateral fiscal policy advice given to the country was consistent with messages voiced in flagship publications, speeches, blogs, and management’s public stat</t>
  </si>
  <si>
    <t>4.1. 4.1. When such fiscal policy advice was not consistent, did you explain to country authorities why advice was not consistent with multilateral fiscal policy advice messages (e.g., in flagship publications and other public statements)?</t>
  </si>
  <si>
    <t>4.2. 4.2. When such fiscal policy advice was not consistent, was this because multilateral fiscal policy advice messages (e.g., in flagship publications and other public statements) were not sufficiently tailored to country-specific circumstances?</t>
  </si>
  <si>
    <t>5. 5. Based on your experience providing fiscal policy advice in the member country:: * Did fiscal policy advice identify the key issues, trends, and risks?</t>
  </si>
  <si>
    <t>5. 5. Based on your experience providing fiscal policy advice in the member country:: * Was fiscal policy advice candid?</t>
  </si>
  <si>
    <t>5. 5. Based on your experience providing fiscal policy advice in the member country:: * Was fiscal policy advice timely?</t>
  </si>
  <si>
    <t>5. 5. Based on your experience providing fiscal policy advice in the member country:: * Did fiscal policy advice take into account country authorities’ perspectives?</t>
  </si>
  <si>
    <t>5. 5. Based on your experience providing fiscal policy advice in the member country:: * Was fiscal policy advice sufficiently tailored to country-specific circumstances?</t>
  </si>
  <si>
    <t>5. 5. Based on your experience providing fiscal policy advice in the member country:: * Was fiscal policy advice provided on the revenue-expenditure composition of the adjustment (or stimulus)?</t>
  </si>
  <si>
    <t>5. 5. Based on your experience providing fiscal policy advice in the member country:: * Did fiscal policy advice take into account  other policy areas (e.g., monetary policy, financial stability)</t>
  </si>
  <si>
    <t>5. 5. Based on your experience providing fiscal policy advice in the member country:: * Did fiscal policy advice consider tradeoffs between first-best and second-best approaches?</t>
  </si>
  <si>
    <t>5. 5. Based on your experience providing fiscal policy advice in the member country:: * Did fiscal policy advice explain the rationale behind the advice?</t>
  </si>
  <si>
    <t>5. 5. Based on your experience providing fiscal policy advice in the member country:: * Did fiscal policy advice take into account political economy constraints?</t>
  </si>
  <si>
    <t>5. 5. Based on your experience providing fiscal policy advice in the member country:: * Did fiscal policy advice take into account administrative and other capacity constraints?</t>
  </si>
  <si>
    <t>5. 5. Based on your experience providing fiscal policy advice in the member country:: * Was fiscal policy advice evenhanded?</t>
  </si>
  <si>
    <t>5. 5. Based on your experience providing fiscal policy advice in the member country:: * Did fiscal policy advice promote conditions that, under realistic assumptions, would support longer-term economic sustainability?</t>
  </si>
  <si>
    <t>6. 5.1. Additional comments (optional)</t>
  </si>
  <si>
    <t>7. 6. When IMF fiscal policy advice was not acted upon by the authorities, what was the reason?</t>
  </si>
  <si>
    <t>Specific Questions</t>
  </si>
  <si>
    <t>8. 7. In the advice on the size and pace of fiscal stimulus, what factors were taken into account?</t>
  </si>
  <si>
    <t>9. 8. In the IMF recommendations on the appropriateness and size of fiscal adjustment, what factors were taken into account?</t>
  </si>
  <si>
    <t>10. 8.1 If fiscal risks were discussed, what risks were discussed?</t>
  </si>
  <si>
    <t>11. 9. Did the authorities agree with Fund’s fiscal policy advice for the short term?</t>
  </si>
  <si>
    <t>12. 10. In your engagement with the country's authorities, was there an assessment of and advice on the medium-term fiscal challenges and outlook?</t>
  </si>
  <si>
    <t>12.1. 10.1. How well was this integrated in the short-term fiscal policy analysis and recommendations?</t>
  </si>
  <si>
    <t>13. 11. To what extent were medium-term fiscal anchors discussed?</t>
  </si>
  <si>
    <t>14. 12. Did the authorities agree with Fund’s fiscal policy advice for the medium term?</t>
  </si>
  <si>
    <t>15. 13. If the country you were Mission Chief of received training and/or technical assistance on fiscal policy, was it integrated with the fiscal policy advice under surveillance?</t>
  </si>
  <si>
    <t>16. 14. Did a FAD economist or expert join your country team for missions in the context of Art. IV consultations?</t>
  </si>
  <si>
    <t>17. 15. When the Fund provided fiscal policy advice in your country in the context of an Article IV Consultation or a Fund-supported program, did it discuss the following:: * How to protect the most vulnerable, even where there is a need for fiscal adjust</t>
  </si>
  <si>
    <t>17. 15. When the Fund provided fiscal policy advice in your country in the context of an Article IV Consultation or a Fund-supported program, did it discuss the following:: * How to create fiscal space for climate change mitigation/adaptation?</t>
  </si>
  <si>
    <t>17. 15. When the Fund provided fiscal policy advice in your country in the context of an Article IV Consultation or a Fund-supported program, did it discuss the following:: * How fiscal policy can help achieve better gender outcomes?</t>
  </si>
  <si>
    <t>17. 15. When the Fund provided fiscal policy advice in your country in the context of an Article IV Consultation or a Fund-supported program, did it discuss the following:: * How fiscal policy can help achieve Sustainable Development Goals--SDGs (if relev</t>
  </si>
  <si>
    <t>Completed Date (GMT-05:00) Eastern [US &amp; Canada]</t>
  </si>
</sst>
</file>

<file path=xl/styles.xml><?xml version="1.0" encoding="utf-8"?>
<styleSheet xmlns="http://schemas.openxmlformats.org/spreadsheetml/2006/main">
  <numFmts count="1">
    <numFmt numFmtId="177" formatCode="@"/>
  </numFmts>
  <fonts count="5">
    <font>
      <sz val="10"/>
      <color theme="1"/>
      <name val="Arial"/>
      <family val="2"/>
    </font>
    <font>
      <b/>
      <sz val="13"/>
      <color theme="1"/>
      <name val="Calibri"/>
      <family val="2"/>
    </font>
    <font>
      <sz val="12"/>
      <color theme="1"/>
      <name val="Calibri"/>
      <family val="2"/>
    </font>
    <font>
      <u val="single"/>
      <sz val="12"/>
      <color rgb="FF0000FF"/>
      <name val="Calibri"/>
      <family val="2"/>
    </font>
    <font>
      <u val="single"/>
      <sz val="10"/>
      <color rgb="FF0000FF"/>
      <name val="Arial"/>
      <family val="2"/>
    </font>
  </fonts>
  <fills count="3">
    <fill>
      <patternFill/>
    </fill>
    <fill>
      <patternFill patternType="gray125"/>
    </fill>
    <fill>
      <patternFill patternType="solid">
        <fgColor rgb="FFEDEDED"/>
        <bgColor indexed="64"/>
      </patternFill>
    </fill>
  </fills>
  <borders count="2">
    <border>
      <left/>
      <right/>
      <top/>
      <bottom/>
      <diagonal/>
    </border>
    <border>
      <left/>
      <right/>
      <top style="thin">
        <color auto="1"/>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4" fillId="0" borderId="0" xfId="0" applyFont="1"/>
    <xf numFmtId="177" fontId="3" fillId="0" borderId="0" xfId="0" applyNumberFormat="1" applyFont="1" applyAlignment="1">
      <alignment wrapText="1"/>
    </xf>
    <xf numFmtId="177" fontId="2" fillId="0" borderId="0" xfId="0" applyNumberFormat="1" applyFont="1" applyAlignment="1">
      <alignment wrapText="1"/>
    </xf>
    <xf numFmtId="22" fontId="2" fillId="0" borderId="0" xfId="0" applyNumberFormat="1" applyFont="1"/>
    <xf numFmtId="177" fontId="3" fillId="2" borderId="0" xfId="0" applyNumberFormat="1" applyFont="1" applyFill="1" applyAlignment="1">
      <alignment wrapText="1"/>
    </xf>
    <xf numFmtId="177" fontId="2" fillId="2" borderId="0" xfId="0" applyNumberFormat="1" applyFont="1" applyFill="1" applyAlignment="1">
      <alignment wrapText="1"/>
    </xf>
    <xf numFmtId="22" fontId="2" fillId="2" borderId="0" xfId="0" applyNumberFormat="1" applyFont="1" applyFill="1"/>
    <xf numFmtId="0" fontId="1" fillId="0" borderId="1" xfId="0" applyFont="1" applyBorder="1" applyAlignment="1">
      <alignment vertical="center" wrapText="1"/>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AQ60" totalsRowShown="0">
  <autoFilter ref="A1:AQ1"/>
  <tableColumns count="43">
    <tableColumn id="1" name="Response Code"/>
    <tableColumn id="2" name="Questions"/>
    <tableColumn id="3" name="1. 1. Which of the following describes your current grade in the IMF?"/>
    <tableColumn id="4" name="2. 2. Please answer the survey based on the country you were Mission Chief (MC) of during most of 2021-23. If you were MC for more than one country during that period, choose one. Please indicate the country on which you are basing your responses."/>
    <tableColumn id="5" name="General Questions"/>
    <tableColumn id="6" name="3. 3. When providing fiscal policy advice to the country, did you have access to guidance (e.g., in the form of a guidance note, internal memos) on?: * Fiscal rules and institutions"/>
    <tableColumn id="7" name="3. 3. When providing fiscal policy advice to the country, did you have access to guidance (e.g., in the form of a guidance note, internal memos) on?: * Security/military spending"/>
    <tableColumn id="8" name="3. 3. When providing fiscal policy advice to the country, did you have access to guidance (e.g., in the form of a guidance note, internal memos) on?: * Public debt management"/>
    <tableColumn id="9" name="3. 3. When providing fiscal policy advice to the country, did you have access to guidance (e.g., in the form of a guidance note, internal memos) on?: * Fiscal policy issues specific to the country grouping the country belonged to  (e.g., Advanced Economie"/>
    <tableColumn id="10" name="4. 4. When providing fiscal policy advice to the country, to what extent did you verify whether bilateral fiscal policy advice given to the country was consistent with messages voiced in flagship publications, speeches, blogs, and management’s public stat"/>
    <tableColumn id="11" name="4.1. 4.1. When such fiscal policy advice was not consistent, did you explain to country authorities why advice was not consistent with multilateral fiscal policy advice messages (e.g., in flagship publications and other public statements)?"/>
    <tableColumn id="12" name="4.2. 4.2. When such fiscal policy advice was not consistent, was this because multilateral fiscal policy advice messages (e.g., in flagship publications and other public statements) were not sufficiently tailored to country-specific circumstances?"/>
    <tableColumn id="13" name="5. 5. Based on your experience providing fiscal policy advice in the member country:: * Did fiscal policy advice identify the key issues, trends, and risks?"/>
    <tableColumn id="14" name="5. 5. Based on your experience providing fiscal policy advice in the member country:: * Was fiscal policy advice candid?"/>
    <tableColumn id="15" name="5. 5. Based on your experience providing fiscal policy advice in the member country:: * Was fiscal policy advice timely?"/>
    <tableColumn id="16" name="5. 5. Based on your experience providing fiscal policy advice in the member country:: * Did fiscal policy advice take into account country authorities’ perspectives?"/>
    <tableColumn id="17" name="5. 5. Based on your experience providing fiscal policy advice in the member country:: * Was fiscal policy advice sufficiently tailored to country-specific circumstances?"/>
    <tableColumn id="18" name="5. 5. Based on your experience providing fiscal policy advice in the member country:: * Was fiscal policy advice provided on the revenue-expenditure composition of the adjustment (or stimulus)?"/>
    <tableColumn id="19" name="5. 5. Based on your experience providing fiscal policy advice in the member country:: * Did fiscal policy advice take into account  other policy areas (e.g., monetary policy, financial stability)"/>
    <tableColumn id="20" name="5. 5. Based on your experience providing fiscal policy advice in the member country:: * Did fiscal policy advice consider tradeoffs between first-best and second-best approaches?"/>
    <tableColumn id="21" name="5. 5. Based on your experience providing fiscal policy advice in the member country:: * Did fiscal policy advice explain the rationale behind the advice?"/>
    <tableColumn id="22" name="5. 5. Based on your experience providing fiscal policy advice in the member country:: * Did fiscal policy advice take into account political economy constraints?"/>
    <tableColumn id="23" name="5. 5. Based on your experience providing fiscal policy advice in the member country:: * Did fiscal policy advice take into account administrative and other capacity constraints?"/>
    <tableColumn id="24" name="5. 5. Based on your experience providing fiscal policy advice in the member country:: * Was fiscal policy advice evenhanded?"/>
    <tableColumn id="25" name="5. 5. Based on your experience providing fiscal policy advice in the member country:: * Did fiscal policy advice promote conditions that, under realistic assumptions, would support longer-term economic sustainability?"/>
    <tableColumn id="26" name="6. 5.1. Additional comments (optional)"/>
    <tableColumn id="27" name="7. 6. When IMF fiscal policy advice was not acted upon by the authorities, what was the reason?"/>
    <tableColumn id="28" name="Specific Questions"/>
    <tableColumn id="29" name="8. 7. In the advice on the size and pace of fiscal stimulus, what factors were taken into account?"/>
    <tableColumn id="30" name="9. 8. In the IMF recommendations on the appropriateness and size of fiscal adjustment, what factors were taken into account?"/>
    <tableColumn id="31" name="10. 8.1 If fiscal risks were discussed, what risks were discussed?"/>
    <tableColumn id="32" name="11. 9. Did the authorities agree with Fund’s fiscal policy advice for the short term?"/>
    <tableColumn id="33" name="12. 10. In your engagement with the country's authorities, was there an assessment of and advice on the medium-term fiscal challenges and outlook?"/>
    <tableColumn id="34" name="12.1. 10.1. How well was this integrated in the short-term fiscal policy analysis and recommendations?"/>
    <tableColumn id="35" name="13. 11. To what extent were medium-term fiscal anchors discussed?"/>
    <tableColumn id="36" name="14. 12. Did the authorities agree with Fund’s fiscal policy advice for the medium term?"/>
    <tableColumn id="37" name="15. 13. If the country you were Mission Chief of received training and/or technical assistance on fiscal policy, was it integrated with the fiscal policy advice under surveillance?"/>
    <tableColumn id="38" name="16. 14. Did a FAD economist or expert join your country team for missions in the context of Art. IV consultations?"/>
    <tableColumn id="39" name="17. 15. When the Fund provided fiscal policy advice in your country in the context of an Article IV Consultation or a Fund-supported program, did it discuss the following:: * How to protect the most vulnerable, even where there is a need for fiscal adjust"/>
    <tableColumn id="40" name="17. 15. When the Fund provided fiscal policy advice in your country in the context of an Article IV Consultation or a Fund-supported program, did it discuss the following:: * How to create fiscal space for climate change mitigation/adaptation?"/>
    <tableColumn id="41" name="17. 15. When the Fund provided fiscal policy advice in your country in the context of an Article IV Consultation or a Fund-supported program, did it discuss the following:: * How fiscal policy can help achieve better gender outcomes?"/>
    <tableColumn id="42" name="17. 15. When the Fund provided fiscal policy advice in your country in the context of an Article IV Consultation or a Fund-supported program, did it discuss the following:: * How fiscal policy can help achieve Sustainable Development Goals--SDGs (if relev"/>
    <tableColumn id="43"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app.cvent.com/subscribers/Survey/Responses/RespondentDetails/Index/View?surveyId=af5ac49e-108e-48fb-8e01-7de8fb925e3f&amp;respondentId=c86a110e-805c-4107-aed2-618b357167ee&amp;surveyAudience=attendees" TargetMode="External" /><Relationship Id="rId2" Type="http://schemas.openxmlformats.org/officeDocument/2006/relationships/hyperlink" Target="https://app.cvent.com/subscribers/Survey/Responses/RespondentDetails/Index/View?surveyId=af5ac49e-108e-48fb-8e01-7de8fb925e3f&amp;respondentId=4b5d90b7-6b9b-484d-8b5d-28b00d326b4b&amp;surveyAudience=attendees" TargetMode="External" /><Relationship Id="rId3" Type="http://schemas.openxmlformats.org/officeDocument/2006/relationships/hyperlink" Target="https://app.cvent.com/subscribers/Survey/Responses/RespondentDetails/Index/View?surveyId=af5ac49e-108e-48fb-8e01-7de8fb925e3f&amp;respondentId=d8736638-0d07-4530-9c27-9bd12a024b60&amp;surveyAudience=attendees" TargetMode="External" /><Relationship Id="rId4" Type="http://schemas.openxmlformats.org/officeDocument/2006/relationships/hyperlink" Target="https://app.cvent.com/subscribers/Survey/Responses/RespondentDetails/Index/View?surveyId=af5ac49e-108e-48fb-8e01-7de8fb925e3f&amp;respondentId=2a6004db-fd70-49b5-93d7-7be41838331a&amp;surveyAudience=attendees" TargetMode="External" /><Relationship Id="rId5" Type="http://schemas.openxmlformats.org/officeDocument/2006/relationships/hyperlink" Target="https://app.cvent.com/subscribers/Survey/Responses/RespondentDetails/Index/View?surveyId=af5ac49e-108e-48fb-8e01-7de8fb925e3f&amp;respondentId=9f6e09a7-dcf8-436e-a0a4-7bc19d861853&amp;surveyAudience=attendees" TargetMode="External" /><Relationship Id="rId6" Type="http://schemas.openxmlformats.org/officeDocument/2006/relationships/hyperlink" Target="https://app.cvent.com/subscribers/Survey/Responses/RespondentDetails/Index/View?surveyId=af5ac49e-108e-48fb-8e01-7de8fb925e3f&amp;respondentId=482879cd-3e64-4f67-ae2e-d80de53df2bb&amp;surveyAudience=attendees" TargetMode="External" /><Relationship Id="rId7" Type="http://schemas.openxmlformats.org/officeDocument/2006/relationships/hyperlink" Target="https://app.cvent.com/subscribers/Survey/Responses/RespondentDetails/Index/View?surveyId=af5ac49e-108e-48fb-8e01-7de8fb925e3f&amp;respondentId=0f3d5100-b95e-4b65-acda-ab39a0b0f040&amp;surveyAudience=attendees" TargetMode="External" /><Relationship Id="rId8" Type="http://schemas.openxmlformats.org/officeDocument/2006/relationships/hyperlink" Target="https://app.cvent.com/subscribers/Survey/Responses/RespondentDetails/Index/View?surveyId=af5ac49e-108e-48fb-8e01-7de8fb925e3f&amp;respondentId=086d797b-1feb-42cf-b209-a2c0c9ed07c2&amp;surveyAudience=attendees" TargetMode="External" /><Relationship Id="rId9" Type="http://schemas.openxmlformats.org/officeDocument/2006/relationships/hyperlink" Target="https://app.cvent.com/subscribers/Survey/Responses/RespondentDetails/Index/View?surveyId=af5ac49e-108e-48fb-8e01-7de8fb925e3f&amp;respondentId=828f91e0-d2ab-4116-a12c-4c27b2b9083c&amp;surveyAudience=attendees" TargetMode="External" /><Relationship Id="rId10" Type="http://schemas.openxmlformats.org/officeDocument/2006/relationships/hyperlink" Target="https://app.cvent.com/subscribers/Survey/Responses/RespondentDetails/Index/View?surveyId=af5ac49e-108e-48fb-8e01-7de8fb925e3f&amp;respondentId=88490a5e-43b2-4e35-ab89-bdf0892847d8&amp;surveyAudience=attendees" TargetMode="External" /><Relationship Id="rId11" Type="http://schemas.openxmlformats.org/officeDocument/2006/relationships/hyperlink" Target="https://app.cvent.com/subscribers/Survey/Responses/RespondentDetails/Index/View?surveyId=af5ac49e-108e-48fb-8e01-7de8fb925e3f&amp;respondentId=0fbde999-ce4d-43ef-bc4d-fb019322c23a&amp;surveyAudience=attendees" TargetMode="External" /><Relationship Id="rId12" Type="http://schemas.openxmlformats.org/officeDocument/2006/relationships/hyperlink" Target="https://app.cvent.com/subscribers/Survey/Responses/RespondentDetails/Index/View?surveyId=af5ac49e-108e-48fb-8e01-7de8fb925e3f&amp;respondentId=59dcfa2b-1770-4349-95bd-1371f8cc768c&amp;surveyAudience=attendees" TargetMode="External" /><Relationship Id="rId13" Type="http://schemas.openxmlformats.org/officeDocument/2006/relationships/hyperlink" Target="https://app.cvent.com/subscribers/Survey/Responses/RespondentDetails/Index/View?surveyId=af5ac49e-108e-48fb-8e01-7de8fb925e3f&amp;respondentId=851afec6-45b6-4ea5-97b2-5cc30282fe62&amp;surveyAudience=attendees" TargetMode="External" /><Relationship Id="rId14" Type="http://schemas.openxmlformats.org/officeDocument/2006/relationships/hyperlink" Target="https://app.cvent.com/subscribers/Survey/Responses/RespondentDetails/Index/View?surveyId=af5ac49e-108e-48fb-8e01-7de8fb925e3f&amp;respondentId=a6ad31bb-a1c9-4d2f-a609-09dff207be36&amp;surveyAudience=attendees" TargetMode="External" /><Relationship Id="rId15" Type="http://schemas.openxmlformats.org/officeDocument/2006/relationships/hyperlink" Target="https://app.cvent.com/subscribers/Survey/Responses/RespondentDetails/Index/View?surveyId=af5ac49e-108e-48fb-8e01-7de8fb925e3f&amp;respondentId=949a05ff-e1bb-47a8-9b0d-47095fa49f43&amp;surveyAudience=attendees" TargetMode="External" /><Relationship Id="rId16" Type="http://schemas.openxmlformats.org/officeDocument/2006/relationships/hyperlink" Target="https://app.cvent.com/subscribers/Survey/Responses/RespondentDetails/Index/View?surveyId=af5ac49e-108e-48fb-8e01-7de8fb925e3f&amp;respondentId=32e11dc5-ed57-4bdd-b188-f7b880f7531a&amp;surveyAudience=attendees" TargetMode="External" /><Relationship Id="rId17" Type="http://schemas.openxmlformats.org/officeDocument/2006/relationships/hyperlink" Target="https://app.cvent.com/subscribers/Survey/Responses/RespondentDetails/Index/View?surveyId=af5ac49e-108e-48fb-8e01-7de8fb925e3f&amp;respondentId=701cd021-1cfb-44cf-8c68-308302154488&amp;surveyAudience=attendees" TargetMode="External" /><Relationship Id="rId18" Type="http://schemas.openxmlformats.org/officeDocument/2006/relationships/hyperlink" Target="https://app.cvent.com/subscribers/Survey/Responses/RespondentDetails/Index/View?surveyId=af5ac49e-108e-48fb-8e01-7de8fb925e3f&amp;respondentId=7c137ef0-4fea-4ce7-8a6b-79623f9ebc94&amp;surveyAudience=attendees" TargetMode="External" /><Relationship Id="rId19" Type="http://schemas.openxmlformats.org/officeDocument/2006/relationships/hyperlink" Target="https://app.cvent.com/subscribers/Survey/Responses/RespondentDetails/Index/View?surveyId=af5ac49e-108e-48fb-8e01-7de8fb925e3f&amp;respondentId=085d6543-9a28-45a1-ba7c-ac4a11e50937&amp;surveyAudience=attendees" TargetMode="External" /><Relationship Id="rId20" Type="http://schemas.openxmlformats.org/officeDocument/2006/relationships/hyperlink" Target="https://app.cvent.com/subscribers/Survey/Responses/RespondentDetails/Index/View?surveyId=af5ac49e-108e-48fb-8e01-7de8fb925e3f&amp;respondentId=cb5a4eec-abc8-4c46-9150-13b51a1bc804&amp;surveyAudience=attendees" TargetMode="External" /><Relationship Id="rId21" Type="http://schemas.openxmlformats.org/officeDocument/2006/relationships/hyperlink" Target="https://app.cvent.com/subscribers/Survey/Responses/RespondentDetails/Index/View?surveyId=af5ac49e-108e-48fb-8e01-7de8fb925e3f&amp;respondentId=48df8c23-87d5-449e-bfe9-460f83a877e9&amp;surveyAudience=attendees" TargetMode="External" /><Relationship Id="rId22" Type="http://schemas.openxmlformats.org/officeDocument/2006/relationships/hyperlink" Target="https://app.cvent.com/subscribers/Survey/Responses/RespondentDetails/Index/View?surveyId=af5ac49e-108e-48fb-8e01-7de8fb925e3f&amp;respondentId=f999c144-1dd3-4b0e-8828-ce890579bfe3&amp;surveyAudience=attendees" TargetMode="External" /><Relationship Id="rId23" Type="http://schemas.openxmlformats.org/officeDocument/2006/relationships/hyperlink" Target="https://app.cvent.com/subscribers/Survey/Responses/RespondentDetails/Index/View?surveyId=af5ac49e-108e-48fb-8e01-7de8fb925e3f&amp;respondentId=b92e39a8-a54f-4c2d-89d2-7e57cd6e9bf5&amp;surveyAudience=attendees" TargetMode="External" /><Relationship Id="rId24" Type="http://schemas.openxmlformats.org/officeDocument/2006/relationships/hyperlink" Target="https://app.cvent.com/subscribers/Survey/Responses/RespondentDetails/Index/View?surveyId=af5ac49e-108e-48fb-8e01-7de8fb925e3f&amp;respondentId=704e35ed-e806-430f-88f4-03ee3dacdd73&amp;surveyAudience=attendees" TargetMode="External" /><Relationship Id="rId25" Type="http://schemas.openxmlformats.org/officeDocument/2006/relationships/hyperlink" Target="https://app.cvent.com/subscribers/Survey/Responses/RespondentDetails/Index/View?surveyId=af5ac49e-108e-48fb-8e01-7de8fb925e3f&amp;respondentId=45a3772e-98e1-4c35-a781-39d06340e1a9&amp;surveyAudience=attendees" TargetMode="External" /><Relationship Id="rId26" Type="http://schemas.openxmlformats.org/officeDocument/2006/relationships/hyperlink" Target="https://app.cvent.com/subscribers/Survey/Responses/RespondentDetails/Index/View?surveyId=af5ac49e-108e-48fb-8e01-7de8fb925e3f&amp;respondentId=2ab98ee0-ed7c-48ac-b46e-345f80baf944&amp;surveyAudience=attendees" TargetMode="External" /><Relationship Id="rId27" Type="http://schemas.openxmlformats.org/officeDocument/2006/relationships/hyperlink" Target="https://app.cvent.com/subscribers/Survey/Responses/RespondentDetails/Index/View?surveyId=af5ac49e-108e-48fb-8e01-7de8fb925e3f&amp;respondentId=6476aedf-4011-450e-bc74-eb15ac92e3f2&amp;surveyAudience=attendees" TargetMode="External" /><Relationship Id="rId28" Type="http://schemas.openxmlformats.org/officeDocument/2006/relationships/hyperlink" Target="https://app.cvent.com/subscribers/Survey/Responses/RespondentDetails/Index/View?surveyId=af5ac49e-108e-48fb-8e01-7de8fb925e3f&amp;respondentId=c4559004-6d46-4cb9-a364-ad239fadb743&amp;surveyAudience=attendees" TargetMode="External" /><Relationship Id="rId29" Type="http://schemas.openxmlformats.org/officeDocument/2006/relationships/hyperlink" Target="https://app.cvent.com/subscribers/Survey/Responses/RespondentDetails/Index/View?surveyId=af5ac49e-108e-48fb-8e01-7de8fb925e3f&amp;respondentId=4d703c22-89ae-4dd8-8b32-b670ca20bda4&amp;surveyAudience=attendees" TargetMode="External" /><Relationship Id="rId30" Type="http://schemas.openxmlformats.org/officeDocument/2006/relationships/hyperlink" Target="https://app.cvent.com/subscribers/Survey/Responses/RespondentDetails/Index/View?surveyId=af5ac49e-108e-48fb-8e01-7de8fb925e3f&amp;respondentId=25f80091-83e7-43cd-84cf-e95ba78a4cd9&amp;surveyAudience=attendees" TargetMode="External" /><Relationship Id="rId31" Type="http://schemas.openxmlformats.org/officeDocument/2006/relationships/hyperlink" Target="https://app.cvent.com/subscribers/Survey/Responses/RespondentDetails/Index/View?surveyId=af5ac49e-108e-48fb-8e01-7de8fb925e3f&amp;respondentId=d16bcfaf-2036-40a1-b775-c5f1cc862a53&amp;surveyAudience=attendees" TargetMode="External" /><Relationship Id="rId32" Type="http://schemas.openxmlformats.org/officeDocument/2006/relationships/hyperlink" Target="https://app.cvent.com/subscribers/Survey/Responses/RespondentDetails/Index/View?surveyId=af5ac49e-108e-48fb-8e01-7de8fb925e3f&amp;respondentId=4a1f4122-5d1e-4d6f-bc27-785e7a9cd0f9&amp;surveyAudience=attendees" TargetMode="External" /><Relationship Id="rId33" Type="http://schemas.openxmlformats.org/officeDocument/2006/relationships/hyperlink" Target="https://app.cvent.com/subscribers/Survey/Responses/RespondentDetails/Index/View?surveyId=af5ac49e-108e-48fb-8e01-7de8fb925e3f&amp;respondentId=02be5cd3-bb73-417e-9b44-5dc615c1ab04&amp;surveyAudience=attendees" TargetMode="External" /><Relationship Id="rId34" Type="http://schemas.openxmlformats.org/officeDocument/2006/relationships/hyperlink" Target="https://app.cvent.com/subscribers/Survey/Responses/RespondentDetails/Index/View?surveyId=af5ac49e-108e-48fb-8e01-7de8fb925e3f&amp;respondentId=ad8791a1-a2e1-44d6-8004-a5ac36ee0abb&amp;surveyAudience=attendees" TargetMode="External" /><Relationship Id="rId35" Type="http://schemas.openxmlformats.org/officeDocument/2006/relationships/hyperlink" Target="https://app.cvent.com/subscribers/Survey/Responses/RespondentDetails/Index/View?surveyId=af5ac49e-108e-48fb-8e01-7de8fb925e3f&amp;respondentId=8c5c9c19-6681-4194-ab3a-4cb725d71059&amp;surveyAudience=attendees" TargetMode="External" /><Relationship Id="rId36" Type="http://schemas.openxmlformats.org/officeDocument/2006/relationships/hyperlink" Target="https://app.cvent.com/subscribers/Survey/Responses/RespondentDetails/Index/View?surveyId=af5ac49e-108e-48fb-8e01-7de8fb925e3f&amp;respondentId=b336cece-a513-4bf3-9392-efe6b40bad4e&amp;surveyAudience=attendees" TargetMode="External" /><Relationship Id="rId37" Type="http://schemas.openxmlformats.org/officeDocument/2006/relationships/hyperlink" Target="https://app.cvent.com/subscribers/Survey/Responses/RespondentDetails/Index/View?surveyId=af5ac49e-108e-48fb-8e01-7de8fb925e3f&amp;respondentId=2ea613a9-2a2c-442e-918d-36976d538778&amp;surveyAudience=attendees" TargetMode="External" /><Relationship Id="rId38" Type="http://schemas.openxmlformats.org/officeDocument/2006/relationships/hyperlink" Target="https://app.cvent.com/subscribers/Survey/Responses/RespondentDetails/Index/View?surveyId=af5ac49e-108e-48fb-8e01-7de8fb925e3f&amp;respondentId=27eb6290-9b1e-497c-8a67-a0ef7a626eda&amp;surveyAudience=attendees" TargetMode="External" /><Relationship Id="rId39" Type="http://schemas.openxmlformats.org/officeDocument/2006/relationships/hyperlink" Target="https://app.cvent.com/subscribers/Survey/Responses/RespondentDetails/Index/View?surveyId=af5ac49e-108e-48fb-8e01-7de8fb925e3f&amp;respondentId=d8abea6c-5326-40e9-934b-371707a3b779&amp;surveyAudience=attendees" TargetMode="External" /><Relationship Id="rId40" Type="http://schemas.openxmlformats.org/officeDocument/2006/relationships/hyperlink" Target="https://app.cvent.com/subscribers/Survey/Responses/RespondentDetails/Index/View?surveyId=af5ac49e-108e-48fb-8e01-7de8fb925e3f&amp;respondentId=13ba1472-12b3-49be-a4d0-1650fb01c7fd&amp;surveyAudience=attendees" TargetMode="External" /><Relationship Id="rId41" Type="http://schemas.openxmlformats.org/officeDocument/2006/relationships/hyperlink" Target="https://app.cvent.com/subscribers/Survey/Responses/RespondentDetails/Index/View?surveyId=af5ac49e-108e-48fb-8e01-7de8fb925e3f&amp;respondentId=8931d132-90a8-4b76-a78a-ea5713557609&amp;surveyAudience=attendees" TargetMode="External" /><Relationship Id="rId42" Type="http://schemas.openxmlformats.org/officeDocument/2006/relationships/hyperlink" Target="https://app.cvent.com/subscribers/Survey/Responses/RespondentDetails/Index/View?surveyId=af5ac49e-108e-48fb-8e01-7de8fb925e3f&amp;respondentId=890bdd05-b379-49b8-9635-55413cff74d2&amp;surveyAudience=attendees" TargetMode="External" /><Relationship Id="rId43" Type="http://schemas.openxmlformats.org/officeDocument/2006/relationships/hyperlink" Target="https://app.cvent.com/subscribers/Survey/Responses/RespondentDetails/Index/View?surveyId=af5ac49e-108e-48fb-8e01-7de8fb925e3f&amp;respondentId=f1a0e91d-8350-417e-81ac-18e8b56eb950&amp;surveyAudience=attendees" TargetMode="External" /><Relationship Id="rId44" Type="http://schemas.openxmlformats.org/officeDocument/2006/relationships/hyperlink" Target="https://app.cvent.com/subscribers/Survey/Responses/RespondentDetails/Index/View?surveyId=af5ac49e-108e-48fb-8e01-7de8fb925e3f&amp;respondentId=94f87dfe-18a5-4347-a839-894d622f922b&amp;surveyAudience=attendees" TargetMode="External" /><Relationship Id="rId45" Type="http://schemas.openxmlformats.org/officeDocument/2006/relationships/hyperlink" Target="https://app.cvent.com/subscribers/Survey/Responses/RespondentDetails/Index/View?surveyId=af5ac49e-108e-48fb-8e01-7de8fb925e3f&amp;respondentId=68a07d37-5b9b-4fb6-876d-4b79892236a8&amp;surveyAudience=attendees" TargetMode="External" /><Relationship Id="rId46" Type="http://schemas.openxmlformats.org/officeDocument/2006/relationships/hyperlink" Target="https://app.cvent.com/subscribers/Survey/Responses/RespondentDetails/Index/View?surveyId=af5ac49e-108e-48fb-8e01-7de8fb925e3f&amp;respondentId=3ae2c56f-70d4-471e-949c-89dfa9649385&amp;surveyAudience=attendees" TargetMode="External" /><Relationship Id="rId47" Type="http://schemas.openxmlformats.org/officeDocument/2006/relationships/hyperlink" Target="https://app.cvent.com/subscribers/Survey/Responses/RespondentDetails/Index/View?surveyId=af5ac49e-108e-48fb-8e01-7de8fb925e3f&amp;respondentId=cb186177-e5fb-4d6f-bc3b-2699976e450b&amp;surveyAudience=attendees" TargetMode="External" /><Relationship Id="rId48" Type="http://schemas.openxmlformats.org/officeDocument/2006/relationships/hyperlink" Target="https://app.cvent.com/subscribers/Survey/Responses/RespondentDetails/Index/View?surveyId=af5ac49e-108e-48fb-8e01-7de8fb925e3f&amp;respondentId=c65ba36b-c337-45ec-9c22-7e42068ffe20&amp;surveyAudience=attendees" TargetMode="External" /><Relationship Id="rId49" Type="http://schemas.openxmlformats.org/officeDocument/2006/relationships/hyperlink" Target="https://app.cvent.com/subscribers/Survey/Responses/RespondentDetails/Index/View?surveyId=af5ac49e-108e-48fb-8e01-7de8fb925e3f&amp;respondentId=930a12c8-072e-4d46-8c27-1096f9c9fa2b&amp;surveyAudience=attendees" TargetMode="External" /><Relationship Id="rId50" Type="http://schemas.openxmlformats.org/officeDocument/2006/relationships/hyperlink" Target="https://app.cvent.com/subscribers/Survey/Responses/RespondentDetails/Index/View?surveyId=af5ac49e-108e-48fb-8e01-7de8fb925e3f&amp;respondentId=811c290f-46c7-42ad-bf97-6f3321008a74&amp;surveyAudience=attendees" TargetMode="External" /><Relationship Id="rId51" Type="http://schemas.openxmlformats.org/officeDocument/2006/relationships/hyperlink" Target="https://app.cvent.com/subscribers/Survey/Responses/RespondentDetails/Index/View?surveyId=af5ac49e-108e-48fb-8e01-7de8fb925e3f&amp;respondentId=ac4567ee-5169-4057-a227-dcd0a25e74ab&amp;surveyAudience=attendees" TargetMode="External" /><Relationship Id="rId52" Type="http://schemas.openxmlformats.org/officeDocument/2006/relationships/hyperlink" Target="https://app.cvent.com/subscribers/Survey/Responses/RespondentDetails/Index/View?surveyId=af5ac49e-108e-48fb-8e01-7de8fb925e3f&amp;respondentId=0db4b617-e1a0-4491-abe5-5b4965f70fa1&amp;surveyAudience=attendees" TargetMode="External" /><Relationship Id="rId53" Type="http://schemas.openxmlformats.org/officeDocument/2006/relationships/hyperlink" Target="https://app.cvent.com/subscribers/Survey/Responses/RespondentDetails/Index/View?surveyId=af5ac49e-108e-48fb-8e01-7de8fb925e3f&amp;respondentId=1c447820-0015-47d0-a8f5-bc23a46a1505&amp;surveyAudience=attendees" TargetMode="External" /><Relationship Id="rId54" Type="http://schemas.openxmlformats.org/officeDocument/2006/relationships/hyperlink" Target="https://app.cvent.com/subscribers/Survey/Responses/RespondentDetails/Index/View?surveyId=af5ac49e-108e-48fb-8e01-7de8fb925e3f&amp;respondentId=565bfaca-3f93-4928-8967-b91ae8778ee6&amp;surveyAudience=attendees" TargetMode="External" /><Relationship Id="rId55" Type="http://schemas.openxmlformats.org/officeDocument/2006/relationships/hyperlink" Target="https://app.cvent.com/subscribers/Survey/Responses/RespondentDetails/Index/View?surveyId=af5ac49e-108e-48fb-8e01-7de8fb925e3f&amp;respondentId=2c5f9a63-5197-42ac-960a-3e88cd55ac1d&amp;surveyAudience=attendees" TargetMode="External" /><Relationship Id="rId56" Type="http://schemas.openxmlformats.org/officeDocument/2006/relationships/hyperlink" Target="https://app.cvent.com/subscribers/Survey/Responses/RespondentDetails/Index/View?surveyId=af5ac49e-108e-48fb-8e01-7de8fb925e3f&amp;respondentId=2f086503-6518-4bc9-9fdf-d2d54a3057d8&amp;surveyAudience=attendees" TargetMode="External" /><Relationship Id="rId57" Type="http://schemas.openxmlformats.org/officeDocument/2006/relationships/hyperlink" Target="https://app.cvent.com/subscribers/Survey/Responses/RespondentDetails/Index/View?surveyId=af5ac49e-108e-48fb-8e01-7de8fb925e3f&amp;respondentId=540af091-3e8b-4510-b1a2-4448d56a6bc7&amp;surveyAudience=attendees" TargetMode="External" /><Relationship Id="rId58" Type="http://schemas.openxmlformats.org/officeDocument/2006/relationships/hyperlink" Target="https://app.cvent.com/subscribers/Survey/Responses/RespondentDetails/Index/View?surveyId=af5ac49e-108e-48fb-8e01-7de8fb925e3f&amp;respondentId=d1f94031-7e5a-474e-8caa-bf09a1443b6b&amp;surveyAudience=attendees" TargetMode="External" /><Relationship Id="rId59" Type="http://schemas.openxmlformats.org/officeDocument/2006/relationships/hyperlink" Target="https://app.cvent.com/subscribers/Survey/Responses/RespondentDetails/Index/View?surveyId=af5ac49e-108e-48fb-8e01-7de8fb925e3f&amp;respondentId=c327fd2d-c040-4dc1-b1be-c7abec71405a&amp;surveyAudience=attendees" TargetMode="External" /><Relationship Id="rId60"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2:AQ61"/>
  <sheetViews>
    <sheetView workbookViewId="0" topLeftCell="A1"/>
  </sheetViews>
  <sheetFormatPr defaultRowHeight="11.25"/>
  <cols>
    <col min="1" max="43" width="27.428571428571427" customWidth="1"/>
  </cols>
  <sheetData>
    <row r="1" spans="1:43" ht="11.25">
      <c r="A1" s="8" t="s">
        <v>251</v>
      </c>
      <c r="B1" s="8" t="s">
        <v>252</v>
      </c>
      <c r="C1" s="8" t="s">
        <v>253</v>
      </c>
      <c r="D1" s="8" t="s">
        <v>254</v>
      </c>
      <c r="E1" s="8" t="s">
        <v>255</v>
      </c>
      <c r="F1" s="8" t="s">
        <v>256</v>
      </c>
      <c r="G1" s="8" t="s">
        <v>257</v>
      </c>
      <c r="H1" s="8" t="s">
        <v>258</v>
      </c>
      <c r="I1" s="8" t="s">
        <v>259</v>
      </c>
      <c r="J1" s="8" t="s">
        <v>260</v>
      </c>
      <c r="K1" s="8" t="s">
        <v>261</v>
      </c>
      <c r="L1" s="8" t="s">
        <v>262</v>
      </c>
      <c r="M1" s="8" t="s">
        <v>263</v>
      </c>
      <c r="N1" s="8" t="s">
        <v>264</v>
      </c>
      <c r="O1" s="8" t="s">
        <v>265</v>
      </c>
      <c r="P1" s="8" t="s">
        <v>266</v>
      </c>
      <c r="Q1" s="8" t="s">
        <v>267</v>
      </c>
      <c r="R1" s="8" t="s">
        <v>268</v>
      </c>
      <c r="S1" s="8" t="s">
        <v>269</v>
      </c>
      <c r="T1" s="8" t="s">
        <v>270</v>
      </c>
      <c r="U1" s="8" t="s">
        <v>271</v>
      </c>
      <c r="V1" s="8" t="s">
        <v>272</v>
      </c>
      <c r="W1" s="8" t="s">
        <v>273</v>
      </c>
      <c r="X1" s="8" t="s">
        <v>274</v>
      </c>
      <c r="Y1" s="8" t="s">
        <v>275</v>
      </c>
      <c r="Z1" s="8" t="s">
        <v>276</v>
      </c>
      <c r="AA1" s="8" t="s">
        <v>277</v>
      </c>
      <c r="AB1" s="8" t="s">
        <v>278</v>
      </c>
      <c r="AC1" s="8" t="s">
        <v>279</v>
      </c>
      <c r="AD1" s="8" t="s">
        <v>280</v>
      </c>
      <c r="AE1" s="8" t="s">
        <v>281</v>
      </c>
      <c r="AF1" s="8" t="s">
        <v>282</v>
      </c>
      <c r="AG1" s="8" t="s">
        <v>283</v>
      </c>
      <c r="AH1" s="8" t="s">
        <v>284</v>
      </c>
      <c r="AI1" s="8" t="s">
        <v>285</v>
      </c>
      <c r="AJ1" s="8" t="s">
        <v>286</v>
      </c>
      <c r="AK1" s="8" t="s">
        <v>287</v>
      </c>
      <c r="AL1" s="8" t="s">
        <v>288</v>
      </c>
      <c r="AM1" s="8" t="s">
        <v>289</v>
      </c>
      <c r="AN1" s="8" t="s">
        <v>290</v>
      </c>
      <c r="AO1" s="8" t="s">
        <v>291</v>
      </c>
      <c r="AP1" s="8" t="s">
        <v>292</v>
      </c>
      <c r="AQ1" s="8" t="s">
        <v>293</v>
      </c>
    </row>
    <row r="2" spans="1:43" ht="11.25">
      <c r="A2" s="2" t="s">
        <v>0</v>
      </c>
      <c r="B2" s="3"/>
      <c r="C2" s="3" t="s">
        <v>1</v>
      </c>
      <c r="D2" s="3" t="s">
        <v>2</v>
      </c>
      <c r="E2" s="3"/>
      <c r="F2" s="3" t="s">
        <v>3</v>
      </c>
      <c r="G2" s="3" t="s">
        <v>4</v>
      </c>
      <c r="H2" s="3" t="s">
        <v>4</v>
      </c>
      <c r="I2" s="3" t="s">
        <v>3</v>
      </c>
      <c r="J2" s="3" t="s">
        <v>5</v>
      </c>
      <c r="K2" s="3" t="s">
        <v>6</v>
      </c>
      <c r="L2" s="3" t="s">
        <v>6</v>
      </c>
      <c r="M2" s="3" t="s">
        <v>7</v>
      </c>
      <c r="N2" s="3" t="s">
        <v>7</v>
      </c>
      <c r="O2" s="3" t="s">
        <v>7</v>
      </c>
      <c r="P2" s="3" t="s">
        <v>7</v>
      </c>
      <c r="Q2" s="3" t="s">
        <v>7</v>
      </c>
      <c r="R2" s="3" t="s">
        <v>7</v>
      </c>
      <c r="S2" s="3" t="s">
        <v>6</v>
      </c>
      <c r="T2" s="3" t="s">
        <v>7</v>
      </c>
      <c r="U2" s="3" t="s">
        <v>7</v>
      </c>
      <c r="V2" s="3" t="s">
        <v>7</v>
      </c>
      <c r="W2" s="3" t="s">
        <v>7</v>
      </c>
      <c r="X2" s="3" t="s">
        <v>7</v>
      </c>
      <c r="Y2" s="3" t="s">
        <v>7</v>
      </c>
      <c r="Z2" s="3"/>
      <c r="AA2" s="3" t="s">
        <v>8</v>
      </c>
      <c r="AB2" s="3"/>
      <c r="AC2" s="3" t="s">
        <v>4</v>
      </c>
      <c r="AD2" s="3" t="s">
        <v>9</v>
      </c>
      <c r="AE2" s="3" t="s">
        <v>10</v>
      </c>
      <c r="AF2" s="3" t="s">
        <v>11</v>
      </c>
      <c r="AG2" s="3" t="s">
        <v>12</v>
      </c>
      <c r="AH2" s="3" t="s">
        <v>13</v>
      </c>
      <c r="AI2" s="3" t="s">
        <v>14</v>
      </c>
      <c r="AJ2" s="3" t="s">
        <v>15</v>
      </c>
      <c r="AK2" s="3" t="s">
        <v>16</v>
      </c>
      <c r="AL2" s="3" t="s">
        <v>17</v>
      </c>
      <c r="AM2" s="3" t="s">
        <v>14</v>
      </c>
      <c r="AN2" s="3" t="s">
        <v>4</v>
      </c>
      <c r="AO2" s="3" t="s">
        <v>4</v>
      </c>
      <c r="AP2" s="3" t="s">
        <v>4</v>
      </c>
      <c r="AQ2" s="4">
        <f>DATE(2025,2,6)+TIME(18,2,50)</f>
        <v>45694.751967592594</v>
      </c>
    </row>
    <row r="3" spans="1:43" ht="11.25">
      <c r="A3" s="5" t="s">
        <v>18</v>
      </c>
      <c r="B3" s="6"/>
      <c r="C3" s="6" t="s">
        <v>1</v>
      </c>
      <c r="D3" s="6" t="s">
        <v>19</v>
      </c>
      <c r="E3" s="6"/>
      <c r="F3" s="6" t="s">
        <v>3</v>
      </c>
      <c r="G3" s="6" t="s">
        <v>20</v>
      </c>
      <c r="H3" s="6" t="s">
        <v>20</v>
      </c>
      <c r="I3" s="6" t="s">
        <v>3</v>
      </c>
      <c r="J3" s="6" t="s">
        <v>5</v>
      </c>
      <c r="K3" s="6" t="s">
        <v>7</v>
      </c>
      <c r="L3" s="6" t="s">
        <v>21</v>
      </c>
      <c r="M3" s="6" t="s">
        <v>7</v>
      </c>
      <c r="N3" s="6" t="s">
        <v>7</v>
      </c>
      <c r="O3" s="6" t="s">
        <v>7</v>
      </c>
      <c r="P3" s="6" t="s">
        <v>7</v>
      </c>
      <c r="Q3" s="6" t="s">
        <v>7</v>
      </c>
      <c r="R3" s="6" t="s">
        <v>7</v>
      </c>
      <c r="S3" s="6" t="s">
        <v>7</v>
      </c>
      <c r="T3" s="6" t="s">
        <v>7</v>
      </c>
      <c r="U3" s="6" t="s">
        <v>7</v>
      </c>
      <c r="V3" s="6" t="s">
        <v>6</v>
      </c>
      <c r="W3" s="6" t="s">
        <v>6</v>
      </c>
      <c r="X3" s="6" t="s">
        <v>7</v>
      </c>
      <c r="Y3" s="6" t="s">
        <v>7</v>
      </c>
      <c r="Z3" s="6"/>
      <c r="AA3" s="6" t="s">
        <v>22</v>
      </c>
      <c r="AB3" s="6"/>
      <c r="AC3" s="6" t="s">
        <v>23</v>
      </c>
      <c r="AD3" s="6" t="s">
        <v>23</v>
      </c>
      <c r="AE3" s="6" t="s">
        <v>24</v>
      </c>
      <c r="AF3" s="6" t="s">
        <v>25</v>
      </c>
      <c r="AG3" s="6" t="s">
        <v>12</v>
      </c>
      <c r="AH3" s="6" t="s">
        <v>13</v>
      </c>
      <c r="AI3" s="6" t="s">
        <v>14</v>
      </c>
      <c r="AJ3" s="6" t="s">
        <v>25</v>
      </c>
      <c r="AK3" s="6" t="s">
        <v>26</v>
      </c>
      <c r="AL3" s="6" t="s">
        <v>17</v>
      </c>
      <c r="AM3" s="6" t="s">
        <v>27</v>
      </c>
      <c r="AN3" s="6" t="s">
        <v>27</v>
      </c>
      <c r="AO3" s="6" t="s">
        <v>28</v>
      </c>
      <c r="AP3" s="6" t="s">
        <v>28</v>
      </c>
      <c r="AQ3" s="7">
        <f>DATE(2025,1,27)+TIME(14,23,58)</f>
        <v>45684.59997685185</v>
      </c>
    </row>
    <row r="4" spans="1:43" ht="11.25">
      <c r="A4" s="2" t="s">
        <v>29</v>
      </c>
      <c r="B4" s="3"/>
      <c r="C4" s="3" t="s">
        <v>1</v>
      </c>
      <c r="D4" s="3" t="s">
        <v>30</v>
      </c>
      <c r="E4" s="3"/>
      <c r="F4" s="3" t="s">
        <v>3</v>
      </c>
      <c r="G4" s="3" t="s">
        <v>20</v>
      </c>
      <c r="H4" s="3" t="s">
        <v>3</v>
      </c>
      <c r="I4" s="3" t="s">
        <v>3</v>
      </c>
      <c r="J4" s="3" t="s">
        <v>5</v>
      </c>
      <c r="K4" s="3" t="s">
        <v>7</v>
      </c>
      <c r="L4" s="3" t="s">
        <v>6</v>
      </c>
      <c r="M4" s="3" t="s">
        <v>6</v>
      </c>
      <c r="N4" s="3" t="s">
        <v>7</v>
      </c>
      <c r="O4" s="3" t="s">
        <v>6</v>
      </c>
      <c r="P4" s="3" t="s">
        <v>7</v>
      </c>
      <c r="Q4" s="3" t="s">
        <v>7</v>
      </c>
      <c r="R4" s="3" t="s">
        <v>7</v>
      </c>
      <c r="S4" s="3" t="s">
        <v>6</v>
      </c>
      <c r="T4" s="3" t="s">
        <v>6</v>
      </c>
      <c r="U4" s="3" t="s">
        <v>7</v>
      </c>
      <c r="V4" s="3" t="s">
        <v>6</v>
      </c>
      <c r="W4" s="3" t="s">
        <v>6</v>
      </c>
      <c r="X4" s="3" t="s">
        <v>6</v>
      </c>
      <c r="Y4" s="3" t="s">
        <v>6</v>
      </c>
      <c r="Z4" s="3"/>
      <c r="AA4" s="3" t="s">
        <v>22</v>
      </c>
      <c r="AB4" s="3"/>
      <c r="AC4" s="3" t="s">
        <v>4</v>
      </c>
      <c r="AD4" s="3" t="s">
        <v>31</v>
      </c>
      <c r="AE4" s="3"/>
      <c r="AF4" s="3" t="s">
        <v>25</v>
      </c>
      <c r="AG4" s="3" t="s">
        <v>12</v>
      </c>
      <c r="AH4" s="3" t="s">
        <v>13</v>
      </c>
      <c r="AI4" s="3" t="s">
        <v>14</v>
      </c>
      <c r="AJ4" s="3" t="s">
        <v>15</v>
      </c>
      <c r="AK4" s="3" t="s">
        <v>26</v>
      </c>
      <c r="AL4" s="3" t="s">
        <v>17</v>
      </c>
      <c r="AM4" s="3" t="s">
        <v>14</v>
      </c>
      <c r="AN4" s="3" t="s">
        <v>27</v>
      </c>
      <c r="AO4" s="3" t="s">
        <v>27</v>
      </c>
      <c r="AP4" s="3" t="s">
        <v>28</v>
      </c>
      <c r="AQ4" s="4">
        <f>DATE(2025,1,27)+TIME(18,1,1)</f>
        <v>45684.750706018516</v>
      </c>
    </row>
    <row r="5" spans="1:43" ht="11.25">
      <c r="A5" s="5" t="s">
        <v>32</v>
      </c>
      <c r="B5" s="6"/>
      <c r="C5" s="6" t="s">
        <v>33</v>
      </c>
      <c r="D5" s="6" t="s">
        <v>34</v>
      </c>
      <c r="E5" s="6"/>
      <c r="F5" s="6" t="s">
        <v>20</v>
      </c>
      <c r="G5" s="6" t="s">
        <v>4</v>
      </c>
      <c r="H5" s="6" t="s">
        <v>4</v>
      </c>
      <c r="I5" s="6" t="s">
        <v>3</v>
      </c>
      <c r="J5" s="6" t="s">
        <v>5</v>
      </c>
      <c r="K5" s="6" t="s">
        <v>35</v>
      </c>
      <c r="L5" s="6" t="s">
        <v>35</v>
      </c>
      <c r="M5" s="6" t="s">
        <v>7</v>
      </c>
      <c r="N5" s="6" t="s">
        <v>7</v>
      </c>
      <c r="O5" s="6" t="s">
        <v>7</v>
      </c>
      <c r="P5" s="6" t="s">
        <v>7</v>
      </c>
      <c r="Q5" s="6" t="s">
        <v>7</v>
      </c>
      <c r="R5" s="6" t="s">
        <v>7</v>
      </c>
      <c r="S5" s="6" t="s">
        <v>7</v>
      </c>
      <c r="T5" s="6" t="s">
        <v>36</v>
      </c>
      <c r="U5" s="6" t="s">
        <v>6</v>
      </c>
      <c r="V5" s="6" t="s">
        <v>36</v>
      </c>
      <c r="W5" s="6" t="s">
        <v>7</v>
      </c>
      <c r="X5" s="6" t="s">
        <v>7</v>
      </c>
      <c r="Y5" s="6" t="s">
        <v>7</v>
      </c>
      <c r="Z5" s="6"/>
      <c r="AA5" s="6" t="s">
        <v>8</v>
      </c>
      <c r="AB5" s="6"/>
      <c r="AC5" s="6" t="s">
        <v>4</v>
      </c>
      <c r="AD5" s="6" t="s">
        <v>37</v>
      </c>
      <c r="AE5" s="6"/>
      <c r="AF5" s="6" t="s">
        <v>25</v>
      </c>
      <c r="AG5" s="6" t="s">
        <v>12</v>
      </c>
      <c r="AH5" s="6" t="s">
        <v>13</v>
      </c>
      <c r="AI5" s="6" t="s">
        <v>14</v>
      </c>
      <c r="AJ5" s="6" t="s">
        <v>21</v>
      </c>
      <c r="AK5" s="6" t="s">
        <v>4</v>
      </c>
      <c r="AL5" s="6" t="s">
        <v>17</v>
      </c>
      <c r="AM5" s="6" t="s">
        <v>27</v>
      </c>
      <c r="AN5" s="6" t="s">
        <v>14</v>
      </c>
      <c r="AO5" s="6" t="s">
        <v>27</v>
      </c>
      <c r="AP5" s="6" t="s">
        <v>4</v>
      </c>
      <c r="AQ5" s="7">
        <f>DATE(2025,1,27)+TIME(21,0,51)</f>
        <v>45684.87559027778</v>
      </c>
    </row>
    <row r="6" spans="1:43" ht="11.25">
      <c r="A6" s="2" t="s">
        <v>38</v>
      </c>
      <c r="B6" s="3"/>
      <c r="C6" s="3" t="s">
        <v>39</v>
      </c>
      <c r="D6" s="3" t="s">
        <v>40</v>
      </c>
      <c r="E6" s="3"/>
      <c r="F6" s="3" t="s">
        <v>3</v>
      </c>
      <c r="G6" s="3" t="s">
        <v>41</v>
      </c>
      <c r="H6" s="3" t="s">
        <v>3</v>
      </c>
      <c r="I6" s="3" t="s">
        <v>3</v>
      </c>
      <c r="J6" s="3" t="s">
        <v>5</v>
      </c>
      <c r="K6" s="3" t="s">
        <v>21</v>
      </c>
      <c r="L6" s="3" t="s">
        <v>21</v>
      </c>
      <c r="M6" s="3" t="s">
        <v>7</v>
      </c>
      <c r="N6" s="3" t="s">
        <v>7</v>
      </c>
      <c r="O6" s="3" t="s">
        <v>7</v>
      </c>
      <c r="P6" s="3" t="s">
        <v>7</v>
      </c>
      <c r="Q6" s="3" t="s">
        <v>7</v>
      </c>
      <c r="R6" s="3" t="s">
        <v>21</v>
      </c>
      <c r="S6" s="3" t="s">
        <v>7</v>
      </c>
      <c r="T6" s="3" t="s">
        <v>7</v>
      </c>
      <c r="U6" s="3" t="s">
        <v>7</v>
      </c>
      <c r="V6" s="3" t="s">
        <v>7</v>
      </c>
      <c r="W6" s="3" t="s">
        <v>7</v>
      </c>
      <c r="X6" s="3" t="s">
        <v>7</v>
      </c>
      <c r="Y6" s="3" t="s">
        <v>7</v>
      </c>
      <c r="Z6" s="3" t="s">
        <v>42</v>
      </c>
      <c r="AA6" s="3" t="s">
        <v>8</v>
      </c>
      <c r="AB6" s="3"/>
      <c r="AC6" s="3" t="s">
        <v>43</v>
      </c>
      <c r="AD6" s="3" t="s">
        <v>44</v>
      </c>
      <c r="AE6" s="3" t="s">
        <v>24</v>
      </c>
      <c r="AF6" s="3" t="s">
        <v>25</v>
      </c>
      <c r="AG6" s="3" t="s">
        <v>12</v>
      </c>
      <c r="AH6" s="3" t="s">
        <v>13</v>
      </c>
      <c r="AI6" s="3" t="s">
        <v>14</v>
      </c>
      <c r="AJ6" s="3" t="s">
        <v>25</v>
      </c>
      <c r="AK6" s="3" t="s">
        <v>4</v>
      </c>
      <c r="AL6" s="3" t="s">
        <v>17</v>
      </c>
      <c r="AM6" s="3" t="s">
        <v>4</v>
      </c>
      <c r="AN6" s="3" t="s">
        <v>14</v>
      </c>
      <c r="AO6" s="3" t="s">
        <v>4</v>
      </c>
      <c r="AP6" s="3" t="s">
        <v>4</v>
      </c>
      <c r="AQ6" s="4">
        <f>DATE(2025,2,3)+TIME(15,30,13)</f>
        <v>45691.6459837963</v>
      </c>
    </row>
    <row r="7" spans="1:43" ht="11.25">
      <c r="A7" s="5" t="s">
        <v>45</v>
      </c>
      <c r="B7" s="6"/>
      <c r="C7" s="6" t="s">
        <v>33</v>
      </c>
      <c r="D7" s="6" t="s">
        <v>46</v>
      </c>
      <c r="E7" s="6"/>
      <c r="F7" s="6" t="s">
        <v>20</v>
      </c>
      <c r="G7" s="6" t="s">
        <v>47</v>
      </c>
      <c r="H7" s="6" t="s">
        <v>3</v>
      </c>
      <c r="I7" s="6" t="s">
        <v>20</v>
      </c>
      <c r="J7" s="6" t="s">
        <v>21</v>
      </c>
      <c r="K7" s="6"/>
      <c r="L7" s="6"/>
      <c r="M7" s="6" t="s">
        <v>7</v>
      </c>
      <c r="N7" s="6" t="s">
        <v>7</v>
      </c>
      <c r="O7" s="6" t="s">
        <v>7</v>
      </c>
      <c r="P7" s="6" t="s">
        <v>7</v>
      </c>
      <c r="Q7" s="6" t="s">
        <v>7</v>
      </c>
      <c r="R7" s="6" t="s">
        <v>7</v>
      </c>
      <c r="S7" s="6" t="s">
        <v>7</v>
      </c>
      <c r="T7" s="6" t="s">
        <v>6</v>
      </c>
      <c r="U7" s="6" t="s">
        <v>7</v>
      </c>
      <c r="V7" s="6" t="s">
        <v>7</v>
      </c>
      <c r="W7" s="6" t="s">
        <v>7</v>
      </c>
      <c r="X7" s="6" t="s">
        <v>7</v>
      </c>
      <c r="Y7" s="6" t="s">
        <v>7</v>
      </c>
      <c r="Z7" s="6"/>
      <c r="AA7" s="6" t="s">
        <v>8</v>
      </c>
      <c r="AB7" s="6"/>
      <c r="AC7" s="6" t="s">
        <v>48</v>
      </c>
      <c r="AD7" s="6" t="s">
        <v>49</v>
      </c>
      <c r="AE7" s="6" t="s">
        <v>50</v>
      </c>
      <c r="AF7" s="6" t="s">
        <v>25</v>
      </c>
      <c r="AG7" s="6" t="s">
        <v>12</v>
      </c>
      <c r="AH7" s="6" t="s">
        <v>13</v>
      </c>
      <c r="AI7" s="6" t="s">
        <v>27</v>
      </c>
      <c r="AJ7" s="6" t="s">
        <v>25</v>
      </c>
      <c r="AK7" s="6" t="s">
        <v>51</v>
      </c>
      <c r="AL7" s="6" t="s">
        <v>17</v>
      </c>
      <c r="AM7" s="6" t="s">
        <v>27</v>
      </c>
      <c r="AN7" s="6" t="s">
        <v>14</v>
      </c>
      <c r="AO7" s="6" t="s">
        <v>28</v>
      </c>
      <c r="AP7" s="6" t="s">
        <v>28</v>
      </c>
      <c r="AQ7" s="7">
        <f>DATE(2025,1,19)+TIME(13,12,29)</f>
        <v>45676.55033564815</v>
      </c>
    </row>
    <row r="8" spans="1:43" ht="11.25">
      <c r="A8" s="2" t="s">
        <v>52</v>
      </c>
      <c r="B8" s="3"/>
      <c r="C8" s="3" t="s">
        <v>33</v>
      </c>
      <c r="D8" s="3" t="s">
        <v>53</v>
      </c>
      <c r="E8" s="3"/>
      <c r="F8" s="3" t="s">
        <v>20</v>
      </c>
      <c r="G8" s="3" t="s">
        <v>4</v>
      </c>
      <c r="H8" s="3" t="s">
        <v>3</v>
      </c>
      <c r="I8" s="3" t="s">
        <v>20</v>
      </c>
      <c r="J8" s="3" t="s">
        <v>5</v>
      </c>
      <c r="K8" s="3" t="s">
        <v>7</v>
      </c>
      <c r="L8" s="3" t="s">
        <v>36</v>
      </c>
      <c r="M8" s="3" t="s">
        <v>7</v>
      </c>
      <c r="N8" s="3" t="s">
        <v>7</v>
      </c>
      <c r="O8" s="3" t="s">
        <v>6</v>
      </c>
      <c r="P8" s="3" t="s">
        <v>7</v>
      </c>
      <c r="Q8" s="3" t="s">
        <v>7</v>
      </c>
      <c r="R8" s="3" t="s">
        <v>7</v>
      </c>
      <c r="S8" s="3" t="s">
        <v>7</v>
      </c>
      <c r="T8" s="3" t="s">
        <v>7</v>
      </c>
      <c r="U8" s="3" t="s">
        <v>7</v>
      </c>
      <c r="V8" s="3" t="s">
        <v>7</v>
      </c>
      <c r="W8" s="3" t="s">
        <v>7</v>
      </c>
      <c r="X8" s="3" t="s">
        <v>7</v>
      </c>
      <c r="Y8" s="3" t="s">
        <v>7</v>
      </c>
      <c r="Z8" s="3"/>
      <c r="AA8" s="3" t="s">
        <v>54</v>
      </c>
      <c r="AB8" s="3"/>
      <c r="AC8" s="3" t="s">
        <v>4</v>
      </c>
      <c r="AD8" s="3" t="s">
        <v>49</v>
      </c>
      <c r="AE8" s="3" t="s">
        <v>55</v>
      </c>
      <c r="AF8" s="3" t="s">
        <v>11</v>
      </c>
      <c r="AG8" s="3" t="s">
        <v>12</v>
      </c>
      <c r="AH8" s="3" t="s">
        <v>13</v>
      </c>
      <c r="AI8" s="3" t="s">
        <v>27</v>
      </c>
      <c r="AJ8" s="3" t="s">
        <v>11</v>
      </c>
      <c r="AK8" s="3" t="s">
        <v>16</v>
      </c>
      <c r="AL8" s="3" t="s">
        <v>17</v>
      </c>
      <c r="AM8" s="3" t="s">
        <v>27</v>
      </c>
      <c r="AN8" s="3" t="s">
        <v>14</v>
      </c>
      <c r="AO8" s="3" t="s">
        <v>28</v>
      </c>
      <c r="AP8" s="3" t="s">
        <v>28</v>
      </c>
      <c r="AQ8" s="4">
        <f>DATE(2025,1,28)+TIME(12,1,36)</f>
        <v>45685.50111111111</v>
      </c>
    </row>
    <row r="9" spans="1:43" ht="11.25">
      <c r="A9" s="5" t="s">
        <v>56</v>
      </c>
      <c r="B9" s="6"/>
      <c r="C9" s="6" t="s">
        <v>33</v>
      </c>
      <c r="D9" s="6" t="s">
        <v>57</v>
      </c>
      <c r="E9" s="6"/>
      <c r="F9" s="6" t="s">
        <v>3</v>
      </c>
      <c r="G9" s="6" t="s">
        <v>41</v>
      </c>
      <c r="H9" s="6" t="s">
        <v>20</v>
      </c>
      <c r="I9" s="6" t="s">
        <v>20</v>
      </c>
      <c r="J9" s="6" t="s">
        <v>5</v>
      </c>
      <c r="K9" s="6" t="s">
        <v>7</v>
      </c>
      <c r="L9" s="6" t="s">
        <v>6</v>
      </c>
      <c r="M9" s="6" t="s">
        <v>7</v>
      </c>
      <c r="N9" s="6" t="s">
        <v>7</v>
      </c>
      <c r="O9" s="6" t="s">
        <v>7</v>
      </c>
      <c r="P9" s="6" t="s">
        <v>7</v>
      </c>
      <c r="Q9" s="6" t="s">
        <v>7</v>
      </c>
      <c r="R9" s="6" t="s">
        <v>7</v>
      </c>
      <c r="S9" s="6" t="s">
        <v>7</v>
      </c>
      <c r="T9" s="6" t="s">
        <v>36</v>
      </c>
      <c r="U9" s="6" t="s">
        <v>7</v>
      </c>
      <c r="V9" s="6" t="s">
        <v>7</v>
      </c>
      <c r="W9" s="6" t="s">
        <v>7</v>
      </c>
      <c r="X9" s="6" t="s">
        <v>7</v>
      </c>
      <c r="Y9" s="6" t="s">
        <v>7</v>
      </c>
      <c r="Z9" s="6"/>
      <c r="AA9" s="6" t="s">
        <v>22</v>
      </c>
      <c r="AB9" s="6"/>
      <c r="AC9" s="6" t="s">
        <v>58</v>
      </c>
      <c r="AD9" s="6" t="s">
        <v>59</v>
      </c>
      <c r="AE9" s="6" t="s">
        <v>60</v>
      </c>
      <c r="AF9" s="6" t="s">
        <v>15</v>
      </c>
      <c r="AG9" s="6" t="s">
        <v>12</v>
      </c>
      <c r="AH9" s="6" t="s">
        <v>13</v>
      </c>
      <c r="AI9" s="6" t="s">
        <v>14</v>
      </c>
      <c r="AJ9" s="6" t="s">
        <v>15</v>
      </c>
      <c r="AK9" s="6" t="s">
        <v>51</v>
      </c>
      <c r="AL9" s="6" t="s">
        <v>61</v>
      </c>
      <c r="AM9" s="6" t="s">
        <v>14</v>
      </c>
      <c r="AN9" s="6" t="s">
        <v>14</v>
      </c>
      <c r="AO9" s="6" t="s">
        <v>28</v>
      </c>
      <c r="AP9" s="6" t="s">
        <v>28</v>
      </c>
      <c r="AQ9" s="7">
        <f>DATE(2025,1,20)+TIME(14,29,8)</f>
        <v>45677.60356481482</v>
      </c>
    </row>
    <row r="10" spans="1:43" ht="11.25">
      <c r="A10" s="2" t="s">
        <v>62</v>
      </c>
      <c r="B10" s="3"/>
      <c r="C10" s="3" t="s">
        <v>33</v>
      </c>
      <c r="D10" s="3" t="s">
        <v>63</v>
      </c>
      <c r="E10" s="3"/>
      <c r="F10" s="3" t="s">
        <v>3</v>
      </c>
      <c r="G10" s="3" t="s">
        <v>20</v>
      </c>
      <c r="H10" s="3" t="s">
        <v>3</v>
      </c>
      <c r="I10" s="3" t="s">
        <v>3</v>
      </c>
      <c r="J10" s="3" t="s">
        <v>5</v>
      </c>
      <c r="K10" s="3" t="s">
        <v>7</v>
      </c>
      <c r="L10" s="3" t="s">
        <v>6</v>
      </c>
      <c r="M10" s="3" t="s">
        <v>7</v>
      </c>
      <c r="N10" s="3" t="s">
        <v>7</v>
      </c>
      <c r="O10" s="3" t="s">
        <v>7</v>
      </c>
      <c r="P10" s="3" t="s">
        <v>7</v>
      </c>
      <c r="Q10" s="3" t="s">
        <v>6</v>
      </c>
      <c r="R10" s="3" t="s">
        <v>6</v>
      </c>
      <c r="S10" s="3" t="s">
        <v>7</v>
      </c>
      <c r="T10" s="3" t="s">
        <v>7</v>
      </c>
      <c r="U10" s="3" t="s">
        <v>7</v>
      </c>
      <c r="V10" s="3" t="s">
        <v>7</v>
      </c>
      <c r="W10" s="3" t="s">
        <v>6</v>
      </c>
      <c r="X10" s="3" t="s">
        <v>7</v>
      </c>
      <c r="Y10" s="3" t="s">
        <v>6</v>
      </c>
      <c r="Z10" s="3" t="s">
        <v>64</v>
      </c>
      <c r="AA10" s="3" t="s">
        <v>65</v>
      </c>
      <c r="AB10" s="3"/>
      <c r="AC10" s="3" t="s">
        <v>66</v>
      </c>
      <c r="AD10" s="3" t="s">
        <v>49</v>
      </c>
      <c r="AE10" s="3" t="s">
        <v>67</v>
      </c>
      <c r="AF10" s="3" t="s">
        <v>25</v>
      </c>
      <c r="AG10" s="3" t="s">
        <v>12</v>
      </c>
      <c r="AH10" s="3" t="s">
        <v>13</v>
      </c>
      <c r="AI10" s="3" t="s">
        <v>14</v>
      </c>
      <c r="AJ10" s="3" t="s">
        <v>25</v>
      </c>
      <c r="AK10" s="3" t="s">
        <v>68</v>
      </c>
      <c r="AL10" s="3" t="s">
        <v>61</v>
      </c>
      <c r="AM10" s="3" t="s">
        <v>14</v>
      </c>
      <c r="AN10" s="3" t="s">
        <v>27</v>
      </c>
      <c r="AO10" s="3" t="s">
        <v>28</v>
      </c>
      <c r="AP10" s="3" t="s">
        <v>28</v>
      </c>
      <c r="AQ10" s="4">
        <f>DATE(2025,2,3)+TIME(8,56,41)</f>
        <v>45691.37269675926</v>
      </c>
    </row>
    <row r="11" spans="1:43" ht="11.25">
      <c r="A11" s="5" t="s">
        <v>69</v>
      </c>
      <c r="B11" s="6"/>
      <c r="C11" s="6" t="s">
        <v>39</v>
      </c>
      <c r="D11" s="6" t="s">
        <v>70</v>
      </c>
      <c r="E11" s="6"/>
      <c r="F11" s="6" t="s">
        <v>20</v>
      </c>
      <c r="G11" s="6" t="s">
        <v>4</v>
      </c>
      <c r="H11" s="6" t="s">
        <v>20</v>
      </c>
      <c r="I11" s="6" t="s">
        <v>20</v>
      </c>
      <c r="J11" s="6" t="s">
        <v>5</v>
      </c>
      <c r="K11" s="6" t="s">
        <v>7</v>
      </c>
      <c r="L11" s="6" t="s">
        <v>7</v>
      </c>
      <c r="M11" s="6" t="s">
        <v>7</v>
      </c>
      <c r="N11" s="6" t="s">
        <v>7</v>
      </c>
      <c r="O11" s="6" t="s">
        <v>7</v>
      </c>
      <c r="P11" s="6" t="s">
        <v>7</v>
      </c>
      <c r="Q11" s="6" t="s">
        <v>7</v>
      </c>
      <c r="R11" s="6" t="s">
        <v>7</v>
      </c>
      <c r="S11" s="6" t="s">
        <v>7</v>
      </c>
      <c r="T11" s="6" t="s">
        <v>6</v>
      </c>
      <c r="U11" s="6" t="s">
        <v>7</v>
      </c>
      <c r="V11" s="6" t="s">
        <v>7</v>
      </c>
      <c r="W11" s="6" t="s">
        <v>7</v>
      </c>
      <c r="X11" s="6" t="s">
        <v>7</v>
      </c>
      <c r="Y11" s="6" t="s">
        <v>7</v>
      </c>
      <c r="Z11" s="6"/>
      <c r="AA11" s="6" t="s">
        <v>8</v>
      </c>
      <c r="AB11" s="6"/>
      <c r="AC11" s="6" t="s">
        <v>49</v>
      </c>
      <c r="AD11" s="6" t="s">
        <v>59</v>
      </c>
      <c r="AE11" s="6" t="s">
        <v>71</v>
      </c>
      <c r="AF11" s="6" t="s">
        <v>25</v>
      </c>
      <c r="AG11" s="6" t="s">
        <v>27</v>
      </c>
      <c r="AH11" s="6" t="s">
        <v>27</v>
      </c>
      <c r="AI11" s="6" t="s">
        <v>14</v>
      </c>
      <c r="AJ11" s="6" t="s">
        <v>25</v>
      </c>
      <c r="AK11" s="6" t="s">
        <v>51</v>
      </c>
      <c r="AL11" s="6" t="s">
        <v>17</v>
      </c>
      <c r="AM11" s="6" t="s">
        <v>27</v>
      </c>
      <c r="AN11" s="6" t="s">
        <v>27</v>
      </c>
      <c r="AO11" s="6" t="s">
        <v>27</v>
      </c>
      <c r="AP11" s="6" t="s">
        <v>27</v>
      </c>
      <c r="AQ11" s="7">
        <f>DATE(2025,1,31)+TIME(17,46,35)</f>
        <v>45688.74068287037</v>
      </c>
    </row>
    <row r="12" spans="1:43" ht="11.25">
      <c r="A12" s="2" t="s">
        <v>72</v>
      </c>
      <c r="B12" s="3"/>
      <c r="C12" s="3" t="s">
        <v>39</v>
      </c>
      <c r="D12" s="3" t="s">
        <v>73</v>
      </c>
      <c r="E12" s="3"/>
      <c r="F12" s="3" t="s">
        <v>3</v>
      </c>
      <c r="G12" s="3" t="s">
        <v>41</v>
      </c>
      <c r="H12" s="3" t="s">
        <v>3</v>
      </c>
      <c r="I12" s="3" t="s">
        <v>20</v>
      </c>
      <c r="J12" s="3" t="s">
        <v>5</v>
      </c>
      <c r="K12" s="3" t="s">
        <v>7</v>
      </c>
      <c r="L12" s="3" t="s">
        <v>36</v>
      </c>
      <c r="M12" s="3" t="s">
        <v>6</v>
      </c>
      <c r="N12" s="3" t="s">
        <v>7</v>
      </c>
      <c r="O12" s="3" t="s">
        <v>7</v>
      </c>
      <c r="P12" s="3" t="s">
        <v>6</v>
      </c>
      <c r="Q12" s="3" t="s">
        <v>7</v>
      </c>
      <c r="R12" s="3" t="s">
        <v>7</v>
      </c>
      <c r="S12" s="3" t="s">
        <v>7</v>
      </c>
      <c r="T12" s="3" t="s">
        <v>6</v>
      </c>
      <c r="U12" s="3" t="s">
        <v>7</v>
      </c>
      <c r="V12" s="3" t="s">
        <v>36</v>
      </c>
      <c r="W12" s="3" t="s">
        <v>6</v>
      </c>
      <c r="X12" s="3" t="s">
        <v>7</v>
      </c>
      <c r="Y12" s="3" t="s">
        <v>7</v>
      </c>
      <c r="Z12" s="3"/>
      <c r="AA12" s="3" t="s">
        <v>22</v>
      </c>
      <c r="AB12" s="3"/>
      <c r="AC12" s="3" t="s">
        <v>4</v>
      </c>
      <c r="AD12" s="3" t="s">
        <v>74</v>
      </c>
      <c r="AE12" s="3" t="s">
        <v>24</v>
      </c>
      <c r="AF12" s="3" t="s">
        <v>25</v>
      </c>
      <c r="AG12" s="3" t="s">
        <v>12</v>
      </c>
      <c r="AH12" s="3" t="s">
        <v>13</v>
      </c>
      <c r="AI12" s="3" t="s">
        <v>14</v>
      </c>
      <c r="AJ12" s="3" t="s">
        <v>25</v>
      </c>
      <c r="AK12" s="3" t="s">
        <v>51</v>
      </c>
      <c r="AL12" s="3" t="s">
        <v>61</v>
      </c>
      <c r="AM12" s="3" t="s">
        <v>27</v>
      </c>
      <c r="AN12" s="3" t="s">
        <v>27</v>
      </c>
      <c r="AO12" s="3" t="s">
        <v>28</v>
      </c>
      <c r="AP12" s="3" t="s">
        <v>28</v>
      </c>
      <c r="AQ12" s="4">
        <f>DATE(2025,1,19)+TIME(18,33,59)</f>
        <v>45676.77359953704</v>
      </c>
    </row>
    <row r="13" spans="1:43" ht="11.25">
      <c r="A13" s="5" t="s">
        <v>75</v>
      </c>
      <c r="B13" s="6"/>
      <c r="C13" s="6" t="s">
        <v>33</v>
      </c>
      <c r="D13" s="6" t="s">
        <v>76</v>
      </c>
      <c r="E13" s="6"/>
      <c r="F13" s="6" t="s">
        <v>3</v>
      </c>
      <c r="G13" s="6" t="s">
        <v>4</v>
      </c>
      <c r="H13" s="6" t="s">
        <v>3</v>
      </c>
      <c r="I13" s="6" t="s">
        <v>3</v>
      </c>
      <c r="J13" s="6" t="s">
        <v>5</v>
      </c>
      <c r="K13" s="6" t="s">
        <v>7</v>
      </c>
      <c r="L13" s="6" t="s">
        <v>36</v>
      </c>
      <c r="M13" s="6" t="s">
        <v>7</v>
      </c>
      <c r="N13" s="6" t="s">
        <v>7</v>
      </c>
      <c r="O13" s="6" t="s">
        <v>7</v>
      </c>
      <c r="P13" s="6" t="s">
        <v>7</v>
      </c>
      <c r="Q13" s="6" t="s">
        <v>7</v>
      </c>
      <c r="R13" s="6" t="s">
        <v>7</v>
      </c>
      <c r="S13" s="6" t="s">
        <v>6</v>
      </c>
      <c r="T13" s="6" t="s">
        <v>7</v>
      </c>
      <c r="U13" s="6" t="s">
        <v>7</v>
      </c>
      <c r="V13" s="6" t="s">
        <v>7</v>
      </c>
      <c r="W13" s="6" t="s">
        <v>7</v>
      </c>
      <c r="X13" s="6" t="s">
        <v>7</v>
      </c>
      <c r="Y13" s="6" t="s">
        <v>7</v>
      </c>
      <c r="Z13" s="6"/>
      <c r="AA13" s="6" t="s">
        <v>22</v>
      </c>
      <c r="AB13" s="6"/>
      <c r="AC13" s="6" t="s">
        <v>58</v>
      </c>
      <c r="AD13" s="6" t="s">
        <v>58</v>
      </c>
      <c r="AE13" s="6" t="s">
        <v>55</v>
      </c>
      <c r="AF13" s="6" t="s">
        <v>15</v>
      </c>
      <c r="AG13" s="6" t="s">
        <v>12</v>
      </c>
      <c r="AH13" s="6" t="s">
        <v>13</v>
      </c>
      <c r="AI13" s="6" t="s">
        <v>14</v>
      </c>
      <c r="AJ13" s="6" t="s">
        <v>15</v>
      </c>
      <c r="AK13" s="6" t="s">
        <v>51</v>
      </c>
      <c r="AL13" s="6" t="s">
        <v>77</v>
      </c>
      <c r="AM13" s="6" t="s">
        <v>14</v>
      </c>
      <c r="AN13" s="6" t="s">
        <v>14</v>
      </c>
      <c r="AO13" s="6" t="s">
        <v>27</v>
      </c>
      <c r="AP13" s="6" t="s">
        <v>27</v>
      </c>
      <c r="AQ13" s="7">
        <f>DATE(2025,1,21)+TIME(11,24,4)</f>
        <v>45678.4750462963</v>
      </c>
    </row>
    <row r="14" spans="1:43" ht="11.25">
      <c r="A14" s="2" t="s">
        <v>78</v>
      </c>
      <c r="B14" s="3"/>
      <c r="C14" s="3" t="s">
        <v>33</v>
      </c>
      <c r="D14" s="3" t="s">
        <v>79</v>
      </c>
      <c r="E14" s="3"/>
      <c r="F14" s="3" t="s">
        <v>3</v>
      </c>
      <c r="G14" s="3" t="s">
        <v>4</v>
      </c>
      <c r="H14" s="3" t="s">
        <v>3</v>
      </c>
      <c r="I14" s="3" t="s">
        <v>3</v>
      </c>
      <c r="J14" s="3" t="s">
        <v>5</v>
      </c>
      <c r="K14" s="3" t="s">
        <v>35</v>
      </c>
      <c r="L14" s="3" t="s">
        <v>6</v>
      </c>
      <c r="M14" s="3" t="s">
        <v>7</v>
      </c>
      <c r="N14" s="3" t="s">
        <v>7</v>
      </c>
      <c r="O14" s="3" t="s">
        <v>7</v>
      </c>
      <c r="P14" s="3" t="s">
        <v>7</v>
      </c>
      <c r="Q14" s="3" t="s">
        <v>7</v>
      </c>
      <c r="R14" s="3" t="s">
        <v>7</v>
      </c>
      <c r="S14" s="3" t="s">
        <v>7</v>
      </c>
      <c r="T14" s="3" t="s">
        <v>6</v>
      </c>
      <c r="U14" s="3" t="s">
        <v>7</v>
      </c>
      <c r="V14" s="3" t="s">
        <v>6</v>
      </c>
      <c r="W14" s="3" t="s">
        <v>7</v>
      </c>
      <c r="X14" s="3" t="s">
        <v>7</v>
      </c>
      <c r="Y14" s="3" t="s">
        <v>7</v>
      </c>
      <c r="Z14" s="3"/>
      <c r="AA14" s="3" t="s">
        <v>22</v>
      </c>
      <c r="AB14" s="3"/>
      <c r="AC14" s="3" t="s">
        <v>74</v>
      </c>
      <c r="AD14" s="3" t="s">
        <v>74</v>
      </c>
      <c r="AE14" s="3" t="s">
        <v>60</v>
      </c>
      <c r="AF14" s="3" t="s">
        <v>25</v>
      </c>
      <c r="AG14" s="3" t="s">
        <v>12</v>
      </c>
      <c r="AH14" s="3" t="s">
        <v>13</v>
      </c>
      <c r="AI14" s="3" t="s">
        <v>14</v>
      </c>
      <c r="AJ14" s="3" t="s">
        <v>25</v>
      </c>
      <c r="AK14" s="3" t="s">
        <v>26</v>
      </c>
      <c r="AL14" s="3" t="s">
        <v>17</v>
      </c>
      <c r="AM14" s="3" t="s">
        <v>14</v>
      </c>
      <c r="AN14" s="3" t="s">
        <v>14</v>
      </c>
      <c r="AO14" s="3" t="s">
        <v>28</v>
      </c>
      <c r="AP14" s="3" t="s">
        <v>28</v>
      </c>
      <c r="AQ14" s="4">
        <f>DATE(2025,1,31)+TIME(17,48,20)</f>
        <v>45688.741898148146</v>
      </c>
    </row>
    <row r="15" spans="1:43" ht="11.25">
      <c r="A15" s="5" t="s">
        <v>80</v>
      </c>
      <c r="B15" s="6"/>
      <c r="C15" s="6" t="s">
        <v>39</v>
      </c>
      <c r="D15" s="6" t="s">
        <v>81</v>
      </c>
      <c r="E15" s="6"/>
      <c r="F15" s="6" t="s">
        <v>3</v>
      </c>
      <c r="G15" s="6" t="s">
        <v>4</v>
      </c>
      <c r="H15" s="6" t="s">
        <v>3</v>
      </c>
      <c r="I15" s="6" t="s">
        <v>3</v>
      </c>
      <c r="J15" s="6" t="s">
        <v>5</v>
      </c>
      <c r="K15" s="6" t="s">
        <v>7</v>
      </c>
      <c r="L15" s="6" t="s">
        <v>7</v>
      </c>
      <c r="M15" s="6" t="s">
        <v>6</v>
      </c>
      <c r="N15" s="6" t="s">
        <v>6</v>
      </c>
      <c r="O15" s="6" t="s">
        <v>6</v>
      </c>
      <c r="P15" s="6" t="s">
        <v>6</v>
      </c>
      <c r="Q15" s="6" t="s">
        <v>6</v>
      </c>
      <c r="R15" s="6" t="s">
        <v>6</v>
      </c>
      <c r="S15" s="6" t="s">
        <v>6</v>
      </c>
      <c r="T15" s="6" t="s">
        <v>6</v>
      </c>
      <c r="U15" s="6" t="s">
        <v>6</v>
      </c>
      <c r="V15" s="6" t="s">
        <v>6</v>
      </c>
      <c r="W15" s="6" t="s">
        <v>6</v>
      </c>
      <c r="X15" s="6" t="s">
        <v>6</v>
      </c>
      <c r="Y15" s="6" t="s">
        <v>6</v>
      </c>
      <c r="Z15" s="6" t="s">
        <v>82</v>
      </c>
      <c r="AA15" s="6" t="s">
        <v>83</v>
      </c>
      <c r="AB15" s="6"/>
      <c r="AC15" s="6" t="s">
        <v>84</v>
      </c>
      <c r="AD15" s="6" t="s">
        <v>74</v>
      </c>
      <c r="AE15" s="6" t="s">
        <v>85</v>
      </c>
      <c r="AF15" s="6" t="s">
        <v>25</v>
      </c>
      <c r="AG15" s="6" t="s">
        <v>12</v>
      </c>
      <c r="AH15" s="6" t="s">
        <v>13</v>
      </c>
      <c r="AI15" s="6" t="s">
        <v>14</v>
      </c>
      <c r="AJ15" s="6" t="s">
        <v>25</v>
      </c>
      <c r="AK15" s="6" t="s">
        <v>4</v>
      </c>
      <c r="AL15" s="6" t="s">
        <v>4</v>
      </c>
      <c r="AM15" s="6" t="s">
        <v>14</v>
      </c>
      <c r="AN15" s="6" t="s">
        <v>14</v>
      </c>
      <c r="AO15" s="6" t="s">
        <v>28</v>
      </c>
      <c r="AP15" s="6" t="s">
        <v>14</v>
      </c>
      <c r="AQ15" s="7">
        <f>DATE(2025,1,20)+TIME(14,24,44)</f>
        <v>45677.60050925926</v>
      </c>
    </row>
    <row r="16" spans="1:43" ht="11.25">
      <c r="A16" s="2" t="s">
        <v>86</v>
      </c>
      <c r="B16" s="3"/>
      <c r="C16" s="3" t="s">
        <v>39</v>
      </c>
      <c r="D16" s="3" t="s">
        <v>87</v>
      </c>
      <c r="E16" s="3"/>
      <c r="F16" s="3" t="s">
        <v>3</v>
      </c>
      <c r="G16" s="3" t="s">
        <v>20</v>
      </c>
      <c r="H16" s="3" t="s">
        <v>3</v>
      </c>
      <c r="I16" s="3" t="s">
        <v>3</v>
      </c>
      <c r="J16" s="3" t="s">
        <v>5</v>
      </c>
      <c r="K16" s="3" t="s">
        <v>35</v>
      </c>
      <c r="L16" s="3" t="s">
        <v>35</v>
      </c>
      <c r="M16" s="3" t="s">
        <v>7</v>
      </c>
      <c r="N16" s="3" t="s">
        <v>7</v>
      </c>
      <c r="O16" s="3" t="s">
        <v>7</v>
      </c>
      <c r="P16" s="3" t="s">
        <v>7</v>
      </c>
      <c r="Q16" s="3" t="s">
        <v>7</v>
      </c>
      <c r="R16" s="3" t="s">
        <v>7</v>
      </c>
      <c r="S16" s="3" t="s">
        <v>7</v>
      </c>
      <c r="T16" s="3" t="s">
        <v>7</v>
      </c>
      <c r="U16" s="3" t="s">
        <v>7</v>
      </c>
      <c r="V16" s="3" t="s">
        <v>7</v>
      </c>
      <c r="W16" s="3" t="s">
        <v>7</v>
      </c>
      <c r="X16" s="3" t="s">
        <v>7</v>
      </c>
      <c r="Y16" s="3" t="s">
        <v>7</v>
      </c>
      <c r="Z16" s="3"/>
      <c r="AA16" s="3" t="s">
        <v>8</v>
      </c>
      <c r="AB16" s="3"/>
      <c r="AC16" s="3" t="s">
        <v>88</v>
      </c>
      <c r="AD16" s="3" t="s">
        <v>89</v>
      </c>
      <c r="AE16" s="3"/>
      <c r="AF16" s="3" t="s">
        <v>15</v>
      </c>
      <c r="AG16" s="3" t="s">
        <v>12</v>
      </c>
      <c r="AH16" s="3" t="s">
        <v>13</v>
      </c>
      <c r="AI16" s="3" t="s">
        <v>14</v>
      </c>
      <c r="AJ16" s="3" t="s">
        <v>15</v>
      </c>
      <c r="AK16" s="3" t="s">
        <v>26</v>
      </c>
      <c r="AL16" s="3" t="s">
        <v>17</v>
      </c>
      <c r="AM16" s="3" t="s">
        <v>14</v>
      </c>
      <c r="AN16" s="3" t="s">
        <v>14</v>
      </c>
      <c r="AO16" s="3" t="s">
        <v>28</v>
      </c>
      <c r="AP16" s="3" t="s">
        <v>4</v>
      </c>
      <c r="AQ16" s="4">
        <f>DATE(2025,1,18)+TIME(18,17,27)</f>
        <v>45675.76211805556</v>
      </c>
    </row>
    <row r="17" spans="1:43" ht="11.25">
      <c r="A17" s="5" t="s">
        <v>90</v>
      </c>
      <c r="B17" s="6"/>
      <c r="C17" s="6" t="s">
        <v>33</v>
      </c>
      <c r="D17" s="6" t="s">
        <v>91</v>
      </c>
      <c r="E17" s="6"/>
      <c r="F17" s="6" t="s">
        <v>20</v>
      </c>
      <c r="G17" s="6" t="s">
        <v>41</v>
      </c>
      <c r="H17" s="6" t="s">
        <v>20</v>
      </c>
      <c r="I17" s="6" t="s">
        <v>20</v>
      </c>
      <c r="J17" s="6" t="s">
        <v>5</v>
      </c>
      <c r="K17" s="6" t="s">
        <v>7</v>
      </c>
      <c r="L17" s="6" t="s">
        <v>21</v>
      </c>
      <c r="M17" s="6" t="s">
        <v>7</v>
      </c>
      <c r="N17" s="6" t="s">
        <v>7</v>
      </c>
      <c r="O17" s="6" t="s">
        <v>7</v>
      </c>
      <c r="P17" s="6" t="s">
        <v>7</v>
      </c>
      <c r="Q17" s="6" t="s">
        <v>7</v>
      </c>
      <c r="R17" s="6" t="s">
        <v>7</v>
      </c>
      <c r="S17" s="6" t="s">
        <v>7</v>
      </c>
      <c r="T17" s="6" t="s">
        <v>7</v>
      </c>
      <c r="U17" s="6" t="s">
        <v>7</v>
      </c>
      <c r="V17" s="6" t="s">
        <v>7</v>
      </c>
      <c r="W17" s="6" t="s">
        <v>7</v>
      </c>
      <c r="X17" s="6" t="s">
        <v>7</v>
      </c>
      <c r="Y17" s="6" t="s">
        <v>7</v>
      </c>
      <c r="Z17" s="6"/>
      <c r="AA17" s="6" t="s">
        <v>8</v>
      </c>
      <c r="AB17" s="6"/>
      <c r="AC17" s="6" t="s">
        <v>92</v>
      </c>
      <c r="AD17" s="6" t="s">
        <v>93</v>
      </c>
      <c r="AE17" s="6" t="s">
        <v>94</v>
      </c>
      <c r="AF17" s="6" t="s">
        <v>15</v>
      </c>
      <c r="AG17" s="6" t="s">
        <v>12</v>
      </c>
      <c r="AH17" s="6" t="s">
        <v>13</v>
      </c>
      <c r="AI17" s="6" t="s">
        <v>14</v>
      </c>
      <c r="AJ17" s="6" t="s">
        <v>15</v>
      </c>
      <c r="AK17" s="6" t="s">
        <v>51</v>
      </c>
      <c r="AL17" s="6" t="s">
        <v>95</v>
      </c>
      <c r="AM17" s="6" t="s">
        <v>14</v>
      </c>
      <c r="AN17" s="6" t="s">
        <v>14</v>
      </c>
      <c r="AO17" s="6" t="s">
        <v>28</v>
      </c>
      <c r="AP17" s="6" t="s">
        <v>28</v>
      </c>
      <c r="AQ17" s="7">
        <f>DATE(2025,1,21)+TIME(12,1,50)</f>
        <v>45678.50127314815</v>
      </c>
    </row>
    <row r="18" spans="1:43" ht="11.25">
      <c r="A18" s="2" t="s">
        <v>96</v>
      </c>
      <c r="B18" s="3"/>
      <c r="C18" s="3" t="s">
        <v>39</v>
      </c>
      <c r="D18" s="3" t="s">
        <v>97</v>
      </c>
      <c r="E18" s="3"/>
      <c r="F18" s="3" t="s">
        <v>3</v>
      </c>
      <c r="G18" s="3" t="s">
        <v>20</v>
      </c>
      <c r="H18" s="3" t="s">
        <v>3</v>
      </c>
      <c r="I18" s="3" t="s">
        <v>3</v>
      </c>
      <c r="J18" s="3" t="s">
        <v>5</v>
      </c>
      <c r="K18" s="3" t="s">
        <v>7</v>
      </c>
      <c r="L18" s="3" t="s">
        <v>21</v>
      </c>
      <c r="M18" s="3" t="s">
        <v>7</v>
      </c>
      <c r="N18" s="3" t="s">
        <v>7</v>
      </c>
      <c r="O18" s="3" t="s">
        <v>7</v>
      </c>
      <c r="P18" s="3" t="s">
        <v>7</v>
      </c>
      <c r="Q18" s="3" t="s">
        <v>7</v>
      </c>
      <c r="R18" s="3" t="s">
        <v>7</v>
      </c>
      <c r="S18" s="3" t="s">
        <v>7</v>
      </c>
      <c r="T18" s="3" t="s">
        <v>7</v>
      </c>
      <c r="U18" s="3" t="s">
        <v>7</v>
      </c>
      <c r="V18" s="3" t="s">
        <v>7</v>
      </c>
      <c r="W18" s="3" t="s">
        <v>7</v>
      </c>
      <c r="X18" s="3" t="s">
        <v>7</v>
      </c>
      <c r="Y18" s="3" t="s">
        <v>7</v>
      </c>
      <c r="Z18" s="3"/>
      <c r="AA18" s="3" t="s">
        <v>22</v>
      </c>
      <c r="AB18" s="3"/>
      <c r="AC18" s="3" t="s">
        <v>98</v>
      </c>
      <c r="AD18" s="3" t="s">
        <v>99</v>
      </c>
      <c r="AE18" s="3" t="s">
        <v>85</v>
      </c>
      <c r="AF18" s="3" t="s">
        <v>11</v>
      </c>
      <c r="AG18" s="3" t="s">
        <v>12</v>
      </c>
      <c r="AH18" s="3" t="s">
        <v>13</v>
      </c>
      <c r="AI18" s="3" t="s">
        <v>27</v>
      </c>
      <c r="AJ18" s="3" t="s">
        <v>11</v>
      </c>
      <c r="AK18" s="3" t="s">
        <v>51</v>
      </c>
      <c r="AL18" s="3" t="s">
        <v>77</v>
      </c>
      <c r="AM18" s="3" t="s">
        <v>14</v>
      </c>
      <c r="AN18" s="3" t="s">
        <v>14</v>
      </c>
      <c r="AO18" s="3" t="s">
        <v>27</v>
      </c>
      <c r="AP18" s="3" t="s">
        <v>27</v>
      </c>
      <c r="AQ18" s="4">
        <f>DATE(2025,1,23)+TIME(15,51,54)</f>
        <v>45680.661041666666</v>
      </c>
    </row>
    <row r="19" spans="1:43" ht="11.25">
      <c r="A19" s="5" t="s">
        <v>100</v>
      </c>
      <c r="B19" s="6"/>
      <c r="C19" s="6" t="s">
        <v>33</v>
      </c>
      <c r="D19" s="6" t="s">
        <v>101</v>
      </c>
      <c r="E19" s="6"/>
      <c r="F19" s="6" t="s">
        <v>4</v>
      </c>
      <c r="G19" s="6" t="s">
        <v>4</v>
      </c>
      <c r="H19" s="6" t="s">
        <v>3</v>
      </c>
      <c r="I19" s="6" t="s">
        <v>3</v>
      </c>
      <c r="J19" s="6" t="s">
        <v>102</v>
      </c>
      <c r="K19" s="6" t="s">
        <v>7</v>
      </c>
      <c r="L19" s="6" t="s">
        <v>6</v>
      </c>
      <c r="M19" s="6" t="s">
        <v>7</v>
      </c>
      <c r="N19" s="6" t="s">
        <v>7</v>
      </c>
      <c r="O19" s="6" t="s">
        <v>7</v>
      </c>
      <c r="P19" s="6" t="s">
        <v>6</v>
      </c>
      <c r="Q19" s="6" t="s">
        <v>7</v>
      </c>
      <c r="R19" s="6" t="s">
        <v>7</v>
      </c>
      <c r="S19" s="6" t="s">
        <v>7</v>
      </c>
      <c r="T19" s="6" t="s">
        <v>6</v>
      </c>
      <c r="U19" s="6" t="s">
        <v>7</v>
      </c>
      <c r="V19" s="6" t="s">
        <v>36</v>
      </c>
      <c r="W19" s="6" t="s">
        <v>6</v>
      </c>
      <c r="X19" s="6" t="s">
        <v>6</v>
      </c>
      <c r="Y19" s="6" t="s">
        <v>7</v>
      </c>
      <c r="Z19" s="6"/>
      <c r="AA19" s="6" t="s">
        <v>22</v>
      </c>
      <c r="AB19" s="6"/>
      <c r="AC19" s="6" t="s">
        <v>4</v>
      </c>
      <c r="AD19" s="6" t="s">
        <v>103</v>
      </c>
      <c r="AE19" s="6" t="s">
        <v>60</v>
      </c>
      <c r="AF19" s="6" t="s">
        <v>25</v>
      </c>
      <c r="AG19" s="6" t="s">
        <v>12</v>
      </c>
      <c r="AH19" s="6" t="s">
        <v>13</v>
      </c>
      <c r="AI19" s="6" t="s">
        <v>27</v>
      </c>
      <c r="AJ19" s="6" t="s">
        <v>25</v>
      </c>
      <c r="AK19" s="6" t="s">
        <v>51</v>
      </c>
      <c r="AL19" s="6" t="s">
        <v>61</v>
      </c>
      <c r="AM19" s="6" t="s">
        <v>14</v>
      </c>
      <c r="AN19" s="6" t="s">
        <v>14</v>
      </c>
      <c r="AO19" s="6" t="s">
        <v>14</v>
      </c>
      <c r="AP19" s="6" t="s">
        <v>14</v>
      </c>
      <c r="AQ19" s="7">
        <f>DATE(2025,1,27)+TIME(12,0,56)</f>
        <v>45684.50064814815</v>
      </c>
    </row>
    <row r="20" spans="1:43" ht="11.25">
      <c r="A20" s="2" t="s">
        <v>104</v>
      </c>
      <c r="B20" s="3"/>
      <c r="C20" s="3" t="s">
        <v>33</v>
      </c>
      <c r="D20" s="3" t="s">
        <v>105</v>
      </c>
      <c r="E20" s="3"/>
      <c r="F20" s="3" t="s">
        <v>3</v>
      </c>
      <c r="G20" s="3" t="s">
        <v>4</v>
      </c>
      <c r="H20" s="3" t="s">
        <v>3</v>
      </c>
      <c r="I20" s="3" t="s">
        <v>3</v>
      </c>
      <c r="J20" s="3" t="s">
        <v>106</v>
      </c>
      <c r="K20" s="3"/>
      <c r="L20" s="3"/>
      <c r="M20" s="3" t="s">
        <v>7</v>
      </c>
      <c r="N20" s="3" t="s">
        <v>7</v>
      </c>
      <c r="O20" s="3" t="s">
        <v>7</v>
      </c>
      <c r="P20" s="3" t="s">
        <v>7</v>
      </c>
      <c r="Q20" s="3" t="s">
        <v>7</v>
      </c>
      <c r="R20" s="3" t="s">
        <v>7</v>
      </c>
      <c r="S20" s="3" t="s">
        <v>7</v>
      </c>
      <c r="T20" s="3" t="s">
        <v>7</v>
      </c>
      <c r="U20" s="3" t="s">
        <v>7</v>
      </c>
      <c r="V20" s="3" t="s">
        <v>7</v>
      </c>
      <c r="W20" s="3" t="s">
        <v>7</v>
      </c>
      <c r="X20" s="3" t="s">
        <v>7</v>
      </c>
      <c r="Y20" s="3" t="s">
        <v>7</v>
      </c>
      <c r="Z20" s="3"/>
      <c r="AA20" s="3" t="s">
        <v>22</v>
      </c>
      <c r="AB20" s="3"/>
      <c r="AC20" s="3" t="s">
        <v>49</v>
      </c>
      <c r="AD20" s="3" t="s">
        <v>58</v>
      </c>
      <c r="AE20" s="3" t="s">
        <v>107</v>
      </c>
      <c r="AF20" s="3" t="s">
        <v>25</v>
      </c>
      <c r="AG20" s="3" t="s">
        <v>12</v>
      </c>
      <c r="AH20" s="3" t="s">
        <v>13</v>
      </c>
      <c r="AI20" s="3" t="s">
        <v>14</v>
      </c>
      <c r="AJ20" s="3" t="s">
        <v>25</v>
      </c>
      <c r="AK20" s="3" t="s">
        <v>51</v>
      </c>
      <c r="AL20" s="3" t="s">
        <v>77</v>
      </c>
      <c r="AM20" s="3" t="s">
        <v>14</v>
      </c>
      <c r="AN20" s="3" t="s">
        <v>28</v>
      </c>
      <c r="AO20" s="3" t="s">
        <v>28</v>
      </c>
      <c r="AP20" s="3" t="s">
        <v>28</v>
      </c>
      <c r="AQ20" s="4">
        <f>DATE(2024,11,12)+TIME(17,4,34)</f>
        <v>45608.71150462963</v>
      </c>
    </row>
    <row r="21" spans="1:43" ht="11.25">
      <c r="A21" s="5" t="s">
        <v>108</v>
      </c>
      <c r="B21" s="6"/>
      <c r="C21" s="6" t="s">
        <v>1</v>
      </c>
      <c r="D21" s="6" t="s">
        <v>109</v>
      </c>
      <c r="E21" s="6"/>
      <c r="F21" s="6" t="s">
        <v>3</v>
      </c>
      <c r="G21" s="6" t="s">
        <v>4</v>
      </c>
      <c r="H21" s="6" t="s">
        <v>3</v>
      </c>
      <c r="I21" s="6" t="s">
        <v>4</v>
      </c>
      <c r="J21" s="6" t="s">
        <v>21</v>
      </c>
      <c r="K21" s="6"/>
      <c r="L21" s="6"/>
      <c r="M21" s="6" t="s">
        <v>7</v>
      </c>
      <c r="N21" s="6" t="s">
        <v>7</v>
      </c>
      <c r="O21" s="6" t="s">
        <v>7</v>
      </c>
      <c r="P21" s="6" t="s">
        <v>6</v>
      </c>
      <c r="Q21" s="6" t="s">
        <v>7</v>
      </c>
      <c r="R21" s="6" t="s">
        <v>7</v>
      </c>
      <c r="S21" s="6" t="s">
        <v>7</v>
      </c>
      <c r="T21" s="6" t="s">
        <v>7</v>
      </c>
      <c r="U21" s="6" t="s">
        <v>7</v>
      </c>
      <c r="V21" s="6" t="s">
        <v>7</v>
      </c>
      <c r="W21" s="6" t="s">
        <v>7</v>
      </c>
      <c r="X21" s="6" t="s">
        <v>7</v>
      </c>
      <c r="Y21" s="6" t="s">
        <v>7</v>
      </c>
      <c r="Z21" s="6"/>
      <c r="AA21" s="6" t="s">
        <v>110</v>
      </c>
      <c r="AB21" s="6"/>
      <c r="AC21" s="6" t="s">
        <v>111</v>
      </c>
      <c r="AD21" s="6" t="s">
        <v>58</v>
      </c>
      <c r="AE21" s="6" t="s">
        <v>55</v>
      </c>
      <c r="AF21" s="6" t="s">
        <v>25</v>
      </c>
      <c r="AG21" s="6" t="s">
        <v>12</v>
      </c>
      <c r="AH21" s="6" t="s">
        <v>13</v>
      </c>
      <c r="AI21" s="6" t="s">
        <v>14</v>
      </c>
      <c r="AJ21" s="6" t="s">
        <v>25</v>
      </c>
      <c r="AK21" s="6" t="s">
        <v>51</v>
      </c>
      <c r="AL21" s="6" t="s">
        <v>61</v>
      </c>
      <c r="AM21" s="6" t="s">
        <v>14</v>
      </c>
      <c r="AN21" s="6" t="s">
        <v>28</v>
      </c>
      <c r="AO21" s="6" t="s">
        <v>28</v>
      </c>
      <c r="AP21" s="6" t="s">
        <v>27</v>
      </c>
      <c r="AQ21" s="7">
        <f>DATE(2024,11,4)+TIME(12,6,14)</f>
        <v>45600.504328703704</v>
      </c>
    </row>
    <row r="22" spans="1:43" ht="11.25">
      <c r="A22" s="2" t="s">
        <v>112</v>
      </c>
      <c r="B22" s="3"/>
      <c r="C22" s="3" t="s">
        <v>1</v>
      </c>
      <c r="D22" s="3" t="s">
        <v>113</v>
      </c>
      <c r="E22" s="3"/>
      <c r="F22" s="3" t="s">
        <v>20</v>
      </c>
      <c r="G22" s="3" t="s">
        <v>4</v>
      </c>
      <c r="H22" s="3" t="s">
        <v>20</v>
      </c>
      <c r="I22" s="3" t="s">
        <v>20</v>
      </c>
      <c r="J22" s="3" t="s">
        <v>102</v>
      </c>
      <c r="K22" s="3" t="s">
        <v>35</v>
      </c>
      <c r="L22" s="3" t="s">
        <v>35</v>
      </c>
      <c r="M22" s="3" t="s">
        <v>7</v>
      </c>
      <c r="N22" s="3" t="s">
        <v>7</v>
      </c>
      <c r="O22" s="3" t="s">
        <v>7</v>
      </c>
      <c r="P22" s="3" t="s">
        <v>7</v>
      </c>
      <c r="Q22" s="3" t="s">
        <v>7</v>
      </c>
      <c r="R22" s="3" t="s">
        <v>7</v>
      </c>
      <c r="S22" s="3" t="s">
        <v>7</v>
      </c>
      <c r="T22" s="3" t="s">
        <v>7</v>
      </c>
      <c r="U22" s="3" t="s">
        <v>7</v>
      </c>
      <c r="V22" s="3" t="s">
        <v>7</v>
      </c>
      <c r="W22" s="3" t="s">
        <v>7</v>
      </c>
      <c r="X22" s="3" t="s">
        <v>7</v>
      </c>
      <c r="Y22" s="3" t="s">
        <v>7</v>
      </c>
      <c r="Z22" s="3"/>
      <c r="AA22" s="3" t="s">
        <v>8</v>
      </c>
      <c r="AB22" s="3"/>
      <c r="AC22" s="3" t="s">
        <v>114</v>
      </c>
      <c r="AD22" s="3" t="s">
        <v>115</v>
      </c>
      <c r="AE22" s="3" t="s">
        <v>116</v>
      </c>
      <c r="AF22" s="3" t="s">
        <v>25</v>
      </c>
      <c r="AG22" s="3" t="s">
        <v>12</v>
      </c>
      <c r="AH22" s="3" t="s">
        <v>13</v>
      </c>
      <c r="AI22" s="3" t="s">
        <v>27</v>
      </c>
      <c r="AJ22" s="3" t="s">
        <v>25</v>
      </c>
      <c r="AK22" s="3" t="s">
        <v>51</v>
      </c>
      <c r="AL22" s="3" t="s">
        <v>17</v>
      </c>
      <c r="AM22" s="3" t="s">
        <v>27</v>
      </c>
      <c r="AN22" s="3" t="s">
        <v>27</v>
      </c>
      <c r="AO22" s="3" t="s">
        <v>28</v>
      </c>
      <c r="AP22" s="3" t="s">
        <v>14</v>
      </c>
      <c r="AQ22" s="4">
        <f>DATE(2024,12,12)+TIME(15,33,33)</f>
        <v>45638.64829861111</v>
      </c>
    </row>
    <row r="23" spans="1:43" ht="11.25">
      <c r="A23" s="5" t="s">
        <v>117</v>
      </c>
      <c r="B23" s="6"/>
      <c r="C23" s="6" t="s">
        <v>1</v>
      </c>
      <c r="D23" s="6" t="s">
        <v>118</v>
      </c>
      <c r="E23" s="6"/>
      <c r="F23" s="6" t="s">
        <v>3</v>
      </c>
      <c r="G23" s="6" t="s">
        <v>4</v>
      </c>
      <c r="H23" s="6" t="s">
        <v>3</v>
      </c>
      <c r="I23" s="6" t="s">
        <v>3</v>
      </c>
      <c r="J23" s="6" t="s">
        <v>102</v>
      </c>
      <c r="K23" s="6" t="s">
        <v>6</v>
      </c>
      <c r="L23" s="6" t="s">
        <v>6</v>
      </c>
      <c r="M23" s="6" t="s">
        <v>6</v>
      </c>
      <c r="N23" s="6" t="s">
        <v>7</v>
      </c>
      <c r="O23" s="6" t="s">
        <v>7</v>
      </c>
      <c r="P23" s="6" t="s">
        <v>6</v>
      </c>
      <c r="Q23" s="6" t="s">
        <v>6</v>
      </c>
      <c r="R23" s="6" t="s">
        <v>6</v>
      </c>
      <c r="S23" s="6" t="s">
        <v>6</v>
      </c>
      <c r="T23" s="6" t="s">
        <v>6</v>
      </c>
      <c r="U23" s="6" t="s">
        <v>7</v>
      </c>
      <c r="V23" s="6" t="s">
        <v>6</v>
      </c>
      <c r="W23" s="6" t="s">
        <v>6</v>
      </c>
      <c r="X23" s="6" t="s">
        <v>7</v>
      </c>
      <c r="Y23" s="6" t="s">
        <v>6</v>
      </c>
      <c r="Z23" s="6" t="s">
        <v>119</v>
      </c>
      <c r="AA23" s="6" t="s">
        <v>8</v>
      </c>
      <c r="AB23" s="6"/>
      <c r="AC23" s="6" t="s">
        <v>120</v>
      </c>
      <c r="AD23" s="6" t="s">
        <v>121</v>
      </c>
      <c r="AE23" s="6" t="s">
        <v>116</v>
      </c>
      <c r="AF23" s="6"/>
      <c r="AG23" s="6" t="s">
        <v>12</v>
      </c>
      <c r="AH23" s="6" t="s">
        <v>13</v>
      </c>
      <c r="AI23" s="6" t="s">
        <v>27</v>
      </c>
      <c r="AJ23" s="6" t="s">
        <v>25</v>
      </c>
      <c r="AK23" s="6" t="s">
        <v>51</v>
      </c>
      <c r="AL23" s="6" t="s">
        <v>17</v>
      </c>
      <c r="AM23" s="6" t="s">
        <v>27</v>
      </c>
      <c r="AN23" s="6" t="s">
        <v>27</v>
      </c>
      <c r="AO23" s="6" t="s">
        <v>28</v>
      </c>
      <c r="AP23" s="6" t="s">
        <v>14</v>
      </c>
      <c r="AQ23" s="7">
        <f>DATE(2024,11,13)+TIME(17,0,33)</f>
        <v>45609.708715277775</v>
      </c>
    </row>
    <row r="24" spans="1:43" ht="11.25">
      <c r="A24" s="2" t="s">
        <v>122</v>
      </c>
      <c r="B24" s="3"/>
      <c r="C24" s="3" t="s">
        <v>33</v>
      </c>
      <c r="D24" s="3" t="s">
        <v>123</v>
      </c>
      <c r="E24" s="3"/>
      <c r="F24" s="3" t="s">
        <v>3</v>
      </c>
      <c r="G24" s="3" t="s">
        <v>41</v>
      </c>
      <c r="H24" s="3" t="s">
        <v>3</v>
      </c>
      <c r="I24" s="3" t="s">
        <v>3</v>
      </c>
      <c r="J24" s="3" t="s">
        <v>5</v>
      </c>
      <c r="K24" s="3" t="s">
        <v>6</v>
      </c>
      <c r="L24" s="3" t="s">
        <v>6</v>
      </c>
      <c r="M24" s="3" t="s">
        <v>6</v>
      </c>
      <c r="N24" s="3" t="s">
        <v>6</v>
      </c>
      <c r="O24" s="3" t="s">
        <v>6</v>
      </c>
      <c r="P24" s="3" t="s">
        <v>6</v>
      </c>
      <c r="Q24" s="3" t="s">
        <v>6</v>
      </c>
      <c r="R24" s="3" t="s">
        <v>6</v>
      </c>
      <c r="S24" s="3" t="s">
        <v>6</v>
      </c>
      <c r="T24" s="3" t="s">
        <v>6</v>
      </c>
      <c r="U24" s="3" t="s">
        <v>6</v>
      </c>
      <c r="V24" s="3" t="s">
        <v>36</v>
      </c>
      <c r="W24" s="3" t="s">
        <v>36</v>
      </c>
      <c r="X24" s="3" t="s">
        <v>7</v>
      </c>
      <c r="Y24" s="3" t="s">
        <v>7</v>
      </c>
      <c r="Z24" s="3"/>
      <c r="AA24" s="3" t="s">
        <v>8</v>
      </c>
      <c r="AB24" s="3"/>
      <c r="AC24" s="3" t="s">
        <v>124</v>
      </c>
      <c r="AD24" s="3" t="s">
        <v>124</v>
      </c>
      <c r="AE24" s="3"/>
      <c r="AF24" s="3" t="s">
        <v>25</v>
      </c>
      <c r="AG24" s="3" t="s">
        <v>12</v>
      </c>
      <c r="AH24" s="3" t="s">
        <v>27</v>
      </c>
      <c r="AI24" s="3" t="s">
        <v>14</v>
      </c>
      <c r="AJ24" s="3" t="s">
        <v>25</v>
      </c>
      <c r="AK24" s="3" t="s">
        <v>16</v>
      </c>
      <c r="AL24" s="3" t="s">
        <v>17</v>
      </c>
      <c r="AM24" s="3" t="s">
        <v>27</v>
      </c>
      <c r="AN24" s="3" t="s">
        <v>14</v>
      </c>
      <c r="AO24" s="3" t="s">
        <v>27</v>
      </c>
      <c r="AP24" s="3" t="s">
        <v>14</v>
      </c>
      <c r="AQ24" s="4">
        <f>DATE(2024,11,6)+TIME(10,7,41)</f>
        <v>45602.422002314815</v>
      </c>
    </row>
    <row r="25" spans="1:43" ht="11.25">
      <c r="A25" s="5" t="s">
        <v>125</v>
      </c>
      <c r="B25" s="6"/>
      <c r="C25" s="6" t="s">
        <v>33</v>
      </c>
      <c r="D25" s="6" t="s">
        <v>126</v>
      </c>
      <c r="E25" s="6"/>
      <c r="F25" s="6" t="s">
        <v>3</v>
      </c>
      <c r="G25" s="6" t="s">
        <v>4</v>
      </c>
      <c r="H25" s="6" t="s">
        <v>3</v>
      </c>
      <c r="I25" s="6" t="s">
        <v>20</v>
      </c>
      <c r="J25" s="6" t="s">
        <v>102</v>
      </c>
      <c r="K25" s="6" t="s">
        <v>7</v>
      </c>
      <c r="L25" s="6" t="s">
        <v>6</v>
      </c>
      <c r="M25" s="6" t="s">
        <v>7</v>
      </c>
      <c r="N25" s="6" t="s">
        <v>7</v>
      </c>
      <c r="O25" s="6" t="s">
        <v>7</v>
      </c>
      <c r="P25" s="6" t="s">
        <v>6</v>
      </c>
      <c r="Q25" s="6" t="s">
        <v>7</v>
      </c>
      <c r="R25" s="6" t="s">
        <v>7</v>
      </c>
      <c r="S25" s="6" t="s">
        <v>6</v>
      </c>
      <c r="T25" s="6" t="s">
        <v>6</v>
      </c>
      <c r="U25" s="6" t="s">
        <v>7</v>
      </c>
      <c r="V25" s="6" t="s">
        <v>6</v>
      </c>
      <c r="W25" s="6" t="s">
        <v>6</v>
      </c>
      <c r="X25" s="6" t="s">
        <v>7</v>
      </c>
      <c r="Y25" s="6" t="s">
        <v>7</v>
      </c>
      <c r="Z25" s="6"/>
      <c r="AA25" s="6" t="s">
        <v>22</v>
      </c>
      <c r="AB25" s="6"/>
      <c r="AC25" s="6" t="s">
        <v>31</v>
      </c>
      <c r="AD25" s="6" t="s">
        <v>127</v>
      </c>
      <c r="AE25" s="6" t="s">
        <v>128</v>
      </c>
      <c r="AF25" s="6" t="s">
        <v>25</v>
      </c>
      <c r="AG25" s="6" t="s">
        <v>12</v>
      </c>
      <c r="AH25" s="6" t="s">
        <v>13</v>
      </c>
      <c r="AI25" s="6" t="s">
        <v>27</v>
      </c>
      <c r="AJ25" s="6" t="s">
        <v>25</v>
      </c>
      <c r="AK25" s="6" t="s">
        <v>51</v>
      </c>
      <c r="AL25" s="6" t="s">
        <v>61</v>
      </c>
      <c r="AM25" s="6" t="s">
        <v>14</v>
      </c>
      <c r="AN25" s="6" t="s">
        <v>27</v>
      </c>
      <c r="AO25" s="6" t="s">
        <v>27</v>
      </c>
      <c r="AP25" s="6" t="s">
        <v>14</v>
      </c>
      <c r="AQ25" s="7">
        <f>DATE(2024,11,6)+TIME(20,33,33)</f>
        <v>45602.85663194444</v>
      </c>
    </row>
    <row r="26" spans="1:43" ht="11.25">
      <c r="A26" s="2" t="s">
        <v>129</v>
      </c>
      <c r="B26" s="3"/>
      <c r="C26" s="3" t="s">
        <v>33</v>
      </c>
      <c r="D26" s="3" t="s">
        <v>130</v>
      </c>
      <c r="E26" s="3"/>
      <c r="F26" s="3" t="s">
        <v>3</v>
      </c>
      <c r="G26" s="3" t="s">
        <v>4</v>
      </c>
      <c r="H26" s="3" t="s">
        <v>41</v>
      </c>
      <c r="I26" s="3" t="s">
        <v>41</v>
      </c>
      <c r="J26" s="3" t="s">
        <v>5</v>
      </c>
      <c r="K26" s="3" t="s">
        <v>7</v>
      </c>
      <c r="L26" s="3" t="s">
        <v>35</v>
      </c>
      <c r="M26" s="3" t="s">
        <v>7</v>
      </c>
      <c r="N26" s="3" t="s">
        <v>7</v>
      </c>
      <c r="O26" s="3" t="s">
        <v>7</v>
      </c>
      <c r="P26" s="3" t="s">
        <v>7</v>
      </c>
      <c r="Q26" s="3" t="s">
        <v>7</v>
      </c>
      <c r="R26" s="3" t="s">
        <v>36</v>
      </c>
      <c r="S26" s="3" t="s">
        <v>7</v>
      </c>
      <c r="T26" s="3" t="s">
        <v>7</v>
      </c>
      <c r="U26" s="3" t="s">
        <v>7</v>
      </c>
      <c r="V26" s="3" t="s">
        <v>6</v>
      </c>
      <c r="W26" s="3" t="s">
        <v>35</v>
      </c>
      <c r="X26" s="3" t="s">
        <v>7</v>
      </c>
      <c r="Y26" s="3" t="s">
        <v>7</v>
      </c>
      <c r="Z26" s="3"/>
      <c r="AA26" s="3" t="s">
        <v>22</v>
      </c>
      <c r="AB26" s="3"/>
      <c r="AC26" s="3" t="s">
        <v>4</v>
      </c>
      <c r="AD26" s="3" t="s">
        <v>131</v>
      </c>
      <c r="AE26" s="3"/>
      <c r="AF26" s="3" t="s">
        <v>25</v>
      </c>
      <c r="AG26" s="3" t="s">
        <v>12</v>
      </c>
      <c r="AH26" s="3" t="s">
        <v>13</v>
      </c>
      <c r="AI26" s="3" t="s">
        <v>14</v>
      </c>
      <c r="AJ26" s="3" t="s">
        <v>15</v>
      </c>
      <c r="AK26" s="3" t="s">
        <v>51</v>
      </c>
      <c r="AL26" s="3" t="s">
        <v>77</v>
      </c>
      <c r="AM26" s="3" t="s">
        <v>14</v>
      </c>
      <c r="AN26" s="3" t="s">
        <v>28</v>
      </c>
      <c r="AO26" s="3" t="s">
        <v>28</v>
      </c>
      <c r="AP26" s="3" t="s">
        <v>28</v>
      </c>
      <c r="AQ26" s="4">
        <f>DATE(2024,11,6)+TIME(10,13,14)</f>
        <v>45602.42585648148</v>
      </c>
    </row>
    <row r="27" spans="1:43" ht="11.25">
      <c r="A27" s="5" t="s">
        <v>132</v>
      </c>
      <c r="B27" s="6"/>
      <c r="C27" s="6" t="s">
        <v>33</v>
      </c>
      <c r="D27" s="6" t="s">
        <v>133</v>
      </c>
      <c r="E27" s="6"/>
      <c r="F27" s="6" t="s">
        <v>3</v>
      </c>
      <c r="G27" s="6" t="s">
        <v>3</v>
      </c>
      <c r="H27" s="6" t="s">
        <v>3</v>
      </c>
      <c r="I27" s="6" t="s">
        <v>3</v>
      </c>
      <c r="J27" s="6" t="s">
        <v>102</v>
      </c>
      <c r="K27" s="6" t="s">
        <v>7</v>
      </c>
      <c r="L27" s="6" t="s">
        <v>7</v>
      </c>
      <c r="M27" s="6" t="s">
        <v>7</v>
      </c>
      <c r="N27" s="6" t="s">
        <v>7</v>
      </c>
      <c r="O27" s="6" t="s">
        <v>7</v>
      </c>
      <c r="P27" s="6" t="s">
        <v>7</v>
      </c>
      <c r="Q27" s="6" t="s">
        <v>7</v>
      </c>
      <c r="R27" s="6" t="s">
        <v>7</v>
      </c>
      <c r="S27" s="6" t="s">
        <v>7</v>
      </c>
      <c r="T27" s="6" t="s">
        <v>7</v>
      </c>
      <c r="U27" s="6" t="s">
        <v>7</v>
      </c>
      <c r="V27" s="6" t="s">
        <v>7</v>
      </c>
      <c r="W27" s="6" t="s">
        <v>7</v>
      </c>
      <c r="X27" s="6" t="s">
        <v>7</v>
      </c>
      <c r="Y27" s="6" t="s">
        <v>7</v>
      </c>
      <c r="Z27" s="6"/>
      <c r="AA27" s="6" t="s">
        <v>134</v>
      </c>
      <c r="AB27" s="6"/>
      <c r="AC27" s="6" t="s">
        <v>59</v>
      </c>
      <c r="AD27" s="6" t="s">
        <v>135</v>
      </c>
      <c r="AE27" s="6" t="s">
        <v>136</v>
      </c>
      <c r="AF27" s="6" t="s">
        <v>25</v>
      </c>
      <c r="AG27" s="6" t="s">
        <v>12</v>
      </c>
      <c r="AH27" s="6" t="s">
        <v>27</v>
      </c>
      <c r="AI27" s="6" t="s">
        <v>27</v>
      </c>
      <c r="AJ27" s="6" t="s">
        <v>11</v>
      </c>
      <c r="AK27" s="6" t="s">
        <v>51</v>
      </c>
      <c r="AL27" s="6" t="s">
        <v>17</v>
      </c>
      <c r="AM27" s="6" t="s">
        <v>14</v>
      </c>
      <c r="AN27" s="6" t="s">
        <v>14</v>
      </c>
      <c r="AO27" s="6" t="s">
        <v>27</v>
      </c>
      <c r="AP27" s="6" t="s">
        <v>14</v>
      </c>
      <c r="AQ27" s="7">
        <f>DATE(2024,10,18)+TIME(11,47,53)</f>
        <v>45583.491585648146</v>
      </c>
    </row>
    <row r="28" spans="1:43" ht="11.25">
      <c r="A28" s="2" t="s">
        <v>137</v>
      </c>
      <c r="B28" s="3"/>
      <c r="C28" s="3" t="s">
        <v>1</v>
      </c>
      <c r="D28" s="3" t="s">
        <v>138</v>
      </c>
      <c r="E28" s="3"/>
      <c r="F28" s="3" t="s">
        <v>3</v>
      </c>
      <c r="G28" s="3" t="s">
        <v>47</v>
      </c>
      <c r="H28" s="3" t="s">
        <v>20</v>
      </c>
      <c r="I28" s="3" t="s">
        <v>20</v>
      </c>
      <c r="J28" s="3" t="s">
        <v>5</v>
      </c>
      <c r="K28" s="3" t="s">
        <v>35</v>
      </c>
      <c r="L28" s="3" t="s">
        <v>35</v>
      </c>
      <c r="M28" s="3" t="s">
        <v>7</v>
      </c>
      <c r="N28" s="3" t="s">
        <v>7</v>
      </c>
      <c r="O28" s="3" t="s">
        <v>7</v>
      </c>
      <c r="P28" s="3" t="s">
        <v>7</v>
      </c>
      <c r="Q28" s="3" t="s">
        <v>7</v>
      </c>
      <c r="R28" s="3" t="s">
        <v>7</v>
      </c>
      <c r="S28" s="3" t="s">
        <v>7</v>
      </c>
      <c r="T28" s="3" t="s">
        <v>7</v>
      </c>
      <c r="U28" s="3" t="s">
        <v>7</v>
      </c>
      <c r="V28" s="3" t="s">
        <v>6</v>
      </c>
      <c r="W28" s="3" t="s">
        <v>6</v>
      </c>
      <c r="X28" s="3" t="s">
        <v>7</v>
      </c>
      <c r="Y28" s="3" t="s">
        <v>7</v>
      </c>
      <c r="Z28" s="3"/>
      <c r="AA28" s="3" t="s">
        <v>22</v>
      </c>
      <c r="AB28" s="3"/>
      <c r="AC28" s="3" t="s">
        <v>74</v>
      </c>
      <c r="AD28" s="3" t="s">
        <v>74</v>
      </c>
      <c r="AE28" s="3" t="s">
        <v>50</v>
      </c>
      <c r="AF28" s="3" t="s">
        <v>25</v>
      </c>
      <c r="AG28" s="3" t="s">
        <v>12</v>
      </c>
      <c r="AH28" s="3" t="s">
        <v>13</v>
      </c>
      <c r="AI28" s="3" t="s">
        <v>14</v>
      </c>
      <c r="AJ28" s="3" t="s">
        <v>25</v>
      </c>
      <c r="AK28" s="3" t="s">
        <v>26</v>
      </c>
      <c r="AL28" s="3" t="s">
        <v>17</v>
      </c>
      <c r="AM28" s="3" t="s">
        <v>14</v>
      </c>
      <c r="AN28" s="3" t="s">
        <v>28</v>
      </c>
      <c r="AO28" s="3" t="s">
        <v>28</v>
      </c>
      <c r="AP28" s="3" t="s">
        <v>28</v>
      </c>
      <c r="AQ28" s="4">
        <f>DATE(2025,1,27)+TIME(16,30,3)</f>
        <v>45684.68753472222</v>
      </c>
    </row>
    <row r="29" spans="1:43" ht="11.25">
      <c r="A29" s="5" t="s">
        <v>139</v>
      </c>
      <c r="B29" s="6"/>
      <c r="C29" s="6" t="s">
        <v>33</v>
      </c>
      <c r="D29" s="6" t="s">
        <v>140</v>
      </c>
      <c r="E29" s="6"/>
      <c r="F29" s="6" t="s">
        <v>3</v>
      </c>
      <c r="G29" s="6" t="s">
        <v>20</v>
      </c>
      <c r="H29" s="6" t="s">
        <v>3</v>
      </c>
      <c r="I29" s="6" t="s">
        <v>20</v>
      </c>
      <c r="J29" s="6" t="s">
        <v>102</v>
      </c>
      <c r="K29" s="6" t="s">
        <v>35</v>
      </c>
      <c r="L29" s="6" t="s">
        <v>35</v>
      </c>
      <c r="M29" s="6" t="s">
        <v>6</v>
      </c>
      <c r="N29" s="6" t="s">
        <v>6</v>
      </c>
      <c r="O29" s="6" t="s">
        <v>6</v>
      </c>
      <c r="P29" s="6" t="s">
        <v>6</v>
      </c>
      <c r="Q29" s="6" t="s">
        <v>6</v>
      </c>
      <c r="R29" s="6" t="s">
        <v>6</v>
      </c>
      <c r="S29" s="6" t="s">
        <v>6</v>
      </c>
      <c r="T29" s="6" t="s">
        <v>6</v>
      </c>
      <c r="U29" s="6" t="s">
        <v>6</v>
      </c>
      <c r="V29" s="6" t="s">
        <v>6</v>
      </c>
      <c r="W29" s="6" t="s">
        <v>6</v>
      </c>
      <c r="X29" s="6" t="s">
        <v>6</v>
      </c>
      <c r="Y29" s="6" t="s">
        <v>6</v>
      </c>
      <c r="Z29" s="6"/>
      <c r="AA29" s="6" t="s">
        <v>141</v>
      </c>
      <c r="AB29" s="6"/>
      <c r="AC29" s="6" t="s">
        <v>142</v>
      </c>
      <c r="AD29" s="6" t="s">
        <v>131</v>
      </c>
      <c r="AE29" s="6"/>
      <c r="AF29" s="6" t="s">
        <v>25</v>
      </c>
      <c r="AG29" s="6" t="s">
        <v>12</v>
      </c>
      <c r="AH29" s="6" t="s">
        <v>13</v>
      </c>
      <c r="AI29" s="6" t="s">
        <v>27</v>
      </c>
      <c r="AJ29" s="6" t="s">
        <v>25</v>
      </c>
      <c r="AK29" s="6" t="s">
        <v>4</v>
      </c>
      <c r="AL29" s="6" t="s">
        <v>17</v>
      </c>
      <c r="AM29" s="6" t="s">
        <v>14</v>
      </c>
      <c r="AN29" s="6" t="s">
        <v>28</v>
      </c>
      <c r="AO29" s="6" t="s">
        <v>28</v>
      </c>
      <c r="AP29" s="6" t="s">
        <v>27</v>
      </c>
      <c r="AQ29" s="7">
        <f>DATE(2024,10,17)+TIME(17,12,32)</f>
        <v>45582.71703703704</v>
      </c>
    </row>
    <row r="30" spans="1:43" ht="11.25">
      <c r="A30" s="2" t="s">
        <v>143</v>
      </c>
      <c r="B30" s="3"/>
      <c r="C30" s="3" t="s">
        <v>33</v>
      </c>
      <c r="D30" s="3" t="s">
        <v>144</v>
      </c>
      <c r="E30" s="3"/>
      <c r="F30" s="3" t="s">
        <v>4</v>
      </c>
      <c r="G30" s="3" t="s">
        <v>4</v>
      </c>
      <c r="H30" s="3" t="s">
        <v>4</v>
      </c>
      <c r="I30" s="3" t="s">
        <v>4</v>
      </c>
      <c r="J30" s="3" t="s">
        <v>5</v>
      </c>
      <c r="K30" s="3" t="s">
        <v>35</v>
      </c>
      <c r="L30" s="3" t="s">
        <v>35</v>
      </c>
      <c r="M30" s="3" t="s">
        <v>35</v>
      </c>
      <c r="N30" s="3" t="s">
        <v>35</v>
      </c>
      <c r="O30" s="3" t="s">
        <v>35</v>
      </c>
      <c r="P30" s="3" t="s">
        <v>35</v>
      </c>
      <c r="Q30" s="3" t="s">
        <v>35</v>
      </c>
      <c r="R30" s="3" t="s">
        <v>35</v>
      </c>
      <c r="S30" s="3" t="s">
        <v>35</v>
      </c>
      <c r="T30" s="3" t="s">
        <v>35</v>
      </c>
      <c r="U30" s="3" t="s">
        <v>35</v>
      </c>
      <c r="V30" s="3" t="s">
        <v>35</v>
      </c>
      <c r="W30" s="3" t="s">
        <v>35</v>
      </c>
      <c r="X30" s="3" t="s">
        <v>35</v>
      </c>
      <c r="Y30" s="3" t="s">
        <v>35</v>
      </c>
      <c r="Z30" s="3"/>
      <c r="AA30" s="3" t="s">
        <v>35</v>
      </c>
      <c r="AB30" s="3"/>
      <c r="AC30" s="3" t="s">
        <v>47</v>
      </c>
      <c r="AD30" s="3" t="s">
        <v>47</v>
      </c>
      <c r="AE30" s="3"/>
      <c r="AF30" s="3" t="s">
        <v>47</v>
      </c>
      <c r="AG30" s="3" t="s">
        <v>12</v>
      </c>
      <c r="AH30" s="3" t="s">
        <v>13</v>
      </c>
      <c r="AI30" s="3" t="s">
        <v>47</v>
      </c>
      <c r="AJ30" s="3" t="s">
        <v>15</v>
      </c>
      <c r="AK30" s="3" t="s">
        <v>51</v>
      </c>
      <c r="AL30" s="3" t="s">
        <v>77</v>
      </c>
      <c r="AM30" s="3" t="s">
        <v>14</v>
      </c>
      <c r="AN30" s="3" t="s">
        <v>27</v>
      </c>
      <c r="AO30" s="3" t="s">
        <v>28</v>
      </c>
      <c r="AP30" s="3" t="s">
        <v>14</v>
      </c>
      <c r="AQ30" s="4">
        <f>DATE(2024,10,29)+TIME(11,54,6)</f>
        <v>45594.49590277778</v>
      </c>
    </row>
    <row r="31" spans="1:43" ht="11.25">
      <c r="A31" s="5" t="s">
        <v>145</v>
      </c>
      <c r="B31" s="6"/>
      <c r="C31" s="6" t="s">
        <v>33</v>
      </c>
      <c r="D31" s="6" t="s">
        <v>146</v>
      </c>
      <c r="E31" s="6"/>
      <c r="F31" s="6" t="s">
        <v>3</v>
      </c>
      <c r="G31" s="6" t="s">
        <v>4</v>
      </c>
      <c r="H31" s="6" t="s">
        <v>3</v>
      </c>
      <c r="I31" s="6" t="s">
        <v>20</v>
      </c>
      <c r="J31" s="6" t="s">
        <v>5</v>
      </c>
      <c r="K31" s="6" t="s">
        <v>6</v>
      </c>
      <c r="L31" s="6" t="s">
        <v>7</v>
      </c>
      <c r="M31" s="6" t="s">
        <v>7</v>
      </c>
      <c r="N31" s="6" t="s">
        <v>7</v>
      </c>
      <c r="O31" s="6" t="s">
        <v>7</v>
      </c>
      <c r="P31" s="6" t="s">
        <v>7</v>
      </c>
      <c r="Q31" s="6" t="s">
        <v>7</v>
      </c>
      <c r="R31" s="6" t="s">
        <v>7</v>
      </c>
      <c r="S31" s="6" t="s">
        <v>36</v>
      </c>
      <c r="T31" s="6" t="s">
        <v>7</v>
      </c>
      <c r="U31" s="6" t="s">
        <v>7</v>
      </c>
      <c r="V31" s="6" t="s">
        <v>6</v>
      </c>
      <c r="W31" s="6" t="s">
        <v>7</v>
      </c>
      <c r="X31" s="6" t="s">
        <v>7</v>
      </c>
      <c r="Y31" s="6" t="s">
        <v>7</v>
      </c>
      <c r="Z31" s="6"/>
      <c r="AA31" s="6" t="s">
        <v>65</v>
      </c>
      <c r="AB31" s="6"/>
      <c r="AC31" s="6" t="s">
        <v>147</v>
      </c>
      <c r="AD31" s="6" t="s">
        <v>148</v>
      </c>
      <c r="AE31" s="6" t="s">
        <v>50</v>
      </c>
      <c r="AF31" s="6" t="s">
        <v>15</v>
      </c>
      <c r="AG31" s="6" t="s">
        <v>12</v>
      </c>
      <c r="AH31" s="6" t="s">
        <v>13</v>
      </c>
      <c r="AI31" s="6" t="s">
        <v>14</v>
      </c>
      <c r="AJ31" s="6" t="s">
        <v>15</v>
      </c>
      <c r="AK31" s="6" t="s">
        <v>51</v>
      </c>
      <c r="AL31" s="6" t="s">
        <v>77</v>
      </c>
      <c r="AM31" s="6" t="s">
        <v>27</v>
      </c>
      <c r="AN31" s="6" t="s">
        <v>27</v>
      </c>
      <c r="AO31" s="6" t="s">
        <v>28</v>
      </c>
      <c r="AP31" s="6" t="s">
        <v>14</v>
      </c>
      <c r="AQ31" s="7">
        <f>DATE(2024,11,13)+TIME(18,15,9)</f>
        <v>45609.76052083333</v>
      </c>
    </row>
    <row r="32" spans="1:43" ht="11.25">
      <c r="A32" s="2" t="s">
        <v>149</v>
      </c>
      <c r="B32" s="3"/>
      <c r="C32" s="3" t="s">
        <v>1</v>
      </c>
      <c r="D32" s="3" t="s">
        <v>150</v>
      </c>
      <c r="E32" s="3"/>
      <c r="F32" s="3" t="s">
        <v>3</v>
      </c>
      <c r="G32" s="3" t="s">
        <v>20</v>
      </c>
      <c r="H32" s="3" t="s">
        <v>4</v>
      </c>
      <c r="I32" s="3" t="s">
        <v>4</v>
      </c>
      <c r="J32" s="3" t="s">
        <v>5</v>
      </c>
      <c r="K32" s="3" t="s">
        <v>7</v>
      </c>
      <c r="L32" s="3" t="s">
        <v>7</v>
      </c>
      <c r="M32" s="3" t="s">
        <v>7</v>
      </c>
      <c r="N32" s="3" t="s">
        <v>7</v>
      </c>
      <c r="O32" s="3" t="s">
        <v>7</v>
      </c>
      <c r="P32" s="3" t="s">
        <v>6</v>
      </c>
      <c r="Q32" s="3" t="s">
        <v>7</v>
      </c>
      <c r="R32" s="3" t="s">
        <v>7</v>
      </c>
      <c r="S32" s="3" t="s">
        <v>7</v>
      </c>
      <c r="T32" s="3" t="s">
        <v>7</v>
      </c>
      <c r="U32" s="3" t="s">
        <v>7</v>
      </c>
      <c r="V32" s="3" t="s">
        <v>6</v>
      </c>
      <c r="W32" s="3" t="s">
        <v>35</v>
      </c>
      <c r="X32" s="3" t="s">
        <v>7</v>
      </c>
      <c r="Y32" s="3" t="s">
        <v>7</v>
      </c>
      <c r="Z32" s="3"/>
      <c r="AA32" s="3" t="s">
        <v>22</v>
      </c>
      <c r="AB32" s="3"/>
      <c r="AC32" s="3" t="s">
        <v>74</v>
      </c>
      <c r="AD32" s="3" t="s">
        <v>74</v>
      </c>
      <c r="AE32" s="3" t="s">
        <v>151</v>
      </c>
      <c r="AF32" s="3" t="s">
        <v>25</v>
      </c>
      <c r="AG32" s="3" t="s">
        <v>12</v>
      </c>
      <c r="AH32" s="3" t="s">
        <v>13</v>
      </c>
      <c r="AI32" s="3" t="s">
        <v>27</v>
      </c>
      <c r="AJ32" s="3" t="s">
        <v>25</v>
      </c>
      <c r="AK32" s="3" t="s">
        <v>4</v>
      </c>
      <c r="AL32" s="3" t="s">
        <v>4</v>
      </c>
      <c r="AM32" s="3" t="s">
        <v>27</v>
      </c>
      <c r="AN32" s="3" t="s">
        <v>27</v>
      </c>
      <c r="AO32" s="3" t="s">
        <v>27</v>
      </c>
      <c r="AP32" s="3" t="s">
        <v>27</v>
      </c>
      <c r="AQ32" s="4">
        <f>DATE(2024,9,30)+TIME(9,56,19)</f>
        <v>45565.4141087963</v>
      </c>
    </row>
    <row r="33" spans="1:43" ht="11.25">
      <c r="A33" s="5" t="s">
        <v>152</v>
      </c>
      <c r="B33" s="6"/>
      <c r="C33" s="6" t="s">
        <v>33</v>
      </c>
      <c r="D33" s="6" t="s">
        <v>153</v>
      </c>
      <c r="E33" s="6"/>
      <c r="F33" s="6" t="s">
        <v>4</v>
      </c>
      <c r="G33" s="6" t="s">
        <v>4</v>
      </c>
      <c r="H33" s="6" t="s">
        <v>20</v>
      </c>
      <c r="I33" s="6" t="s">
        <v>20</v>
      </c>
      <c r="J33" s="6" t="s">
        <v>5</v>
      </c>
      <c r="K33" s="6" t="s">
        <v>7</v>
      </c>
      <c r="L33" s="6" t="s">
        <v>36</v>
      </c>
      <c r="M33" s="6" t="s">
        <v>7</v>
      </c>
      <c r="N33" s="6" t="s">
        <v>7</v>
      </c>
      <c r="O33" s="6" t="s">
        <v>7</v>
      </c>
      <c r="P33" s="6" t="s">
        <v>7</v>
      </c>
      <c r="Q33" s="6" t="s">
        <v>6</v>
      </c>
      <c r="R33" s="6" t="s">
        <v>6</v>
      </c>
      <c r="S33" s="6" t="s">
        <v>7</v>
      </c>
      <c r="T33" s="6" t="s">
        <v>7</v>
      </c>
      <c r="U33" s="6" t="s">
        <v>7</v>
      </c>
      <c r="V33" s="6" t="s">
        <v>7</v>
      </c>
      <c r="W33" s="6" t="s">
        <v>6</v>
      </c>
      <c r="X33" s="6" t="s">
        <v>7</v>
      </c>
      <c r="Y33" s="6" t="s">
        <v>7</v>
      </c>
      <c r="Z33" s="6"/>
      <c r="AA33" s="6" t="s">
        <v>8</v>
      </c>
      <c r="AB33" s="6"/>
      <c r="AC33" s="6" t="s">
        <v>154</v>
      </c>
      <c r="AD33" s="6" t="s">
        <v>4</v>
      </c>
      <c r="AE33" s="6" t="s">
        <v>155</v>
      </c>
      <c r="AF33" s="6" t="s">
        <v>25</v>
      </c>
      <c r="AG33" s="6" t="s">
        <v>12</v>
      </c>
      <c r="AH33" s="6" t="s">
        <v>13</v>
      </c>
      <c r="AI33" s="6" t="s">
        <v>14</v>
      </c>
      <c r="AJ33" s="6" t="s">
        <v>25</v>
      </c>
      <c r="AK33" s="6" t="s">
        <v>51</v>
      </c>
      <c r="AL33" s="6" t="s">
        <v>77</v>
      </c>
      <c r="AM33" s="6" t="s">
        <v>14</v>
      </c>
      <c r="AN33" s="6" t="s">
        <v>28</v>
      </c>
      <c r="AO33" s="6" t="s">
        <v>14</v>
      </c>
      <c r="AP33" s="6" t="s">
        <v>28</v>
      </c>
      <c r="AQ33" s="7">
        <f>DATE(2024,11,6)+TIME(9,40,31)</f>
        <v>45602.403136574074</v>
      </c>
    </row>
    <row r="34" spans="1:43" ht="11.25">
      <c r="A34" s="2" t="s">
        <v>156</v>
      </c>
      <c r="B34" s="3"/>
      <c r="C34" s="3" t="s">
        <v>1</v>
      </c>
      <c r="D34" s="3" t="s">
        <v>157</v>
      </c>
      <c r="E34" s="3"/>
      <c r="F34" s="3" t="s">
        <v>20</v>
      </c>
      <c r="G34" s="3" t="s">
        <v>41</v>
      </c>
      <c r="H34" s="3" t="s">
        <v>20</v>
      </c>
      <c r="I34" s="3" t="s">
        <v>20</v>
      </c>
      <c r="J34" s="3" t="s">
        <v>102</v>
      </c>
      <c r="K34" s="3" t="s">
        <v>6</v>
      </c>
      <c r="L34" s="3" t="s">
        <v>7</v>
      </c>
      <c r="M34" s="3" t="s">
        <v>6</v>
      </c>
      <c r="N34" s="3" t="s">
        <v>6</v>
      </c>
      <c r="O34" s="3" t="s">
        <v>6</v>
      </c>
      <c r="P34" s="3" t="s">
        <v>7</v>
      </c>
      <c r="Q34" s="3" t="s">
        <v>6</v>
      </c>
      <c r="R34" s="3" t="s">
        <v>6</v>
      </c>
      <c r="S34" s="3" t="s">
        <v>7</v>
      </c>
      <c r="T34" s="3" t="s">
        <v>6</v>
      </c>
      <c r="U34" s="3" t="s">
        <v>6</v>
      </c>
      <c r="V34" s="3" t="s">
        <v>6</v>
      </c>
      <c r="W34" s="3" t="s">
        <v>7</v>
      </c>
      <c r="X34" s="3" t="s">
        <v>35</v>
      </c>
      <c r="Y34" s="3" t="s">
        <v>7</v>
      </c>
      <c r="Z34" s="3"/>
      <c r="AA34" s="3" t="s">
        <v>158</v>
      </c>
      <c r="AB34" s="3"/>
      <c r="AC34" s="3" t="s">
        <v>159</v>
      </c>
      <c r="AD34" s="3" t="s">
        <v>160</v>
      </c>
      <c r="AE34" s="3" t="s">
        <v>136</v>
      </c>
      <c r="AF34" s="3" t="s">
        <v>25</v>
      </c>
      <c r="AG34" s="3" t="s">
        <v>27</v>
      </c>
      <c r="AH34" s="3" t="s">
        <v>13</v>
      </c>
      <c r="AI34" s="3" t="s">
        <v>14</v>
      </c>
      <c r="AJ34" s="3" t="s">
        <v>25</v>
      </c>
      <c r="AK34" s="3" t="s">
        <v>51</v>
      </c>
      <c r="AL34" s="3" t="s">
        <v>17</v>
      </c>
      <c r="AM34" s="3" t="s">
        <v>14</v>
      </c>
      <c r="AN34" s="3" t="s">
        <v>27</v>
      </c>
      <c r="AO34" s="3" t="s">
        <v>27</v>
      </c>
      <c r="AP34" s="3" t="s">
        <v>27</v>
      </c>
      <c r="AQ34" s="4">
        <f>DATE(2024,10,17)+TIME(16,35,1)</f>
        <v>45582.690983796296</v>
      </c>
    </row>
    <row r="35" spans="1:43" ht="11.25">
      <c r="A35" s="5" t="s">
        <v>161</v>
      </c>
      <c r="B35" s="6"/>
      <c r="C35" s="6" t="s">
        <v>1</v>
      </c>
      <c r="D35" s="6" t="s">
        <v>162</v>
      </c>
      <c r="E35" s="6"/>
      <c r="F35" s="6" t="s">
        <v>3</v>
      </c>
      <c r="G35" s="6" t="s">
        <v>3</v>
      </c>
      <c r="H35" s="6" t="s">
        <v>3</v>
      </c>
      <c r="I35" s="6" t="s">
        <v>3</v>
      </c>
      <c r="J35" s="6" t="s">
        <v>5</v>
      </c>
      <c r="K35" s="6" t="s">
        <v>35</v>
      </c>
      <c r="L35" s="6" t="s">
        <v>7</v>
      </c>
      <c r="M35" s="6" t="s">
        <v>7</v>
      </c>
      <c r="N35" s="6" t="s">
        <v>7</v>
      </c>
      <c r="O35" s="6" t="s">
        <v>7</v>
      </c>
      <c r="P35" s="6" t="s">
        <v>7</v>
      </c>
      <c r="Q35" s="6" t="s">
        <v>7</v>
      </c>
      <c r="R35" s="6" t="s">
        <v>7</v>
      </c>
      <c r="S35" s="6" t="s">
        <v>7</v>
      </c>
      <c r="T35" s="6" t="s">
        <v>7</v>
      </c>
      <c r="U35" s="6" t="s">
        <v>7</v>
      </c>
      <c r="V35" s="6" t="s">
        <v>7</v>
      </c>
      <c r="W35" s="6" t="s">
        <v>7</v>
      </c>
      <c r="X35" s="6" t="s">
        <v>7</v>
      </c>
      <c r="Y35" s="6" t="s">
        <v>7</v>
      </c>
      <c r="Z35" s="6"/>
      <c r="AA35" s="6" t="s">
        <v>163</v>
      </c>
      <c r="AB35" s="6"/>
      <c r="AC35" s="6" t="s">
        <v>164</v>
      </c>
      <c r="AD35" s="6" t="s">
        <v>164</v>
      </c>
      <c r="AE35" s="6" t="s">
        <v>165</v>
      </c>
      <c r="AF35" s="6" t="s">
        <v>15</v>
      </c>
      <c r="AG35" s="6" t="s">
        <v>12</v>
      </c>
      <c r="AH35" s="6" t="s">
        <v>13</v>
      </c>
      <c r="AI35" s="6" t="s">
        <v>14</v>
      </c>
      <c r="AJ35" s="6" t="s">
        <v>15</v>
      </c>
      <c r="AK35" s="6" t="s">
        <v>51</v>
      </c>
      <c r="AL35" s="6" t="s">
        <v>17</v>
      </c>
      <c r="AM35" s="6" t="s">
        <v>14</v>
      </c>
      <c r="AN35" s="6" t="s">
        <v>14</v>
      </c>
      <c r="AO35" s="6" t="s">
        <v>27</v>
      </c>
      <c r="AP35" s="6" t="s">
        <v>14</v>
      </c>
      <c r="AQ35" s="7">
        <f>DATE(2024,11,11)+TIME(15,39,48)</f>
        <v>45607.65263888889</v>
      </c>
    </row>
    <row r="36" spans="1:43" ht="11.25">
      <c r="A36" s="2" t="s">
        <v>166</v>
      </c>
      <c r="B36" s="3"/>
      <c r="C36" s="3" t="s">
        <v>33</v>
      </c>
      <c r="D36" s="3" t="s">
        <v>167</v>
      </c>
      <c r="E36" s="3"/>
      <c r="F36" s="3" t="s">
        <v>3</v>
      </c>
      <c r="G36" s="3" t="s">
        <v>3</v>
      </c>
      <c r="H36" s="3" t="s">
        <v>3</v>
      </c>
      <c r="I36" s="3" t="s">
        <v>3</v>
      </c>
      <c r="J36" s="3" t="s">
        <v>21</v>
      </c>
      <c r="K36" s="3"/>
      <c r="L36" s="3"/>
      <c r="M36" s="3" t="s">
        <v>6</v>
      </c>
      <c r="N36" s="3" t="s">
        <v>7</v>
      </c>
      <c r="O36" s="3" t="s">
        <v>6</v>
      </c>
      <c r="P36" s="3" t="s">
        <v>36</v>
      </c>
      <c r="Q36" s="3" t="s">
        <v>7</v>
      </c>
      <c r="R36" s="3" t="s">
        <v>7</v>
      </c>
      <c r="S36" s="3" t="s">
        <v>7</v>
      </c>
      <c r="T36" s="3" t="s">
        <v>7</v>
      </c>
      <c r="U36" s="3" t="s">
        <v>7</v>
      </c>
      <c r="V36" s="3" t="s">
        <v>7</v>
      </c>
      <c r="W36" s="3" t="s">
        <v>6</v>
      </c>
      <c r="X36" s="3" t="s">
        <v>36</v>
      </c>
      <c r="Y36" s="3" t="s">
        <v>6</v>
      </c>
      <c r="Z36" s="3"/>
      <c r="AA36" s="3" t="s">
        <v>22</v>
      </c>
      <c r="AB36" s="3"/>
      <c r="AC36" s="3" t="s">
        <v>168</v>
      </c>
      <c r="AD36" s="3" t="s">
        <v>169</v>
      </c>
      <c r="AE36" s="3"/>
      <c r="AF36" s="3" t="s">
        <v>21</v>
      </c>
      <c r="AG36" s="3" t="s">
        <v>12</v>
      </c>
      <c r="AH36" s="3" t="s">
        <v>13</v>
      </c>
      <c r="AI36" s="3" t="s">
        <v>14</v>
      </c>
      <c r="AJ36" s="3" t="s">
        <v>21</v>
      </c>
      <c r="AK36" s="3" t="s">
        <v>51</v>
      </c>
      <c r="AL36" s="3" t="s">
        <v>77</v>
      </c>
      <c r="AM36" s="3" t="s">
        <v>14</v>
      </c>
      <c r="AN36" s="3" t="s">
        <v>4</v>
      </c>
      <c r="AO36" s="3" t="s">
        <v>4</v>
      </c>
      <c r="AP36" s="3" t="s">
        <v>14</v>
      </c>
      <c r="AQ36" s="4">
        <f>DATE(2024,10,29)+TIME(11,54,22)</f>
        <v>45594.496087962965</v>
      </c>
    </row>
    <row r="37" spans="1:43" ht="11.25">
      <c r="A37" s="5" t="s">
        <v>170</v>
      </c>
      <c r="B37" s="6"/>
      <c r="C37" s="6" t="s">
        <v>1</v>
      </c>
      <c r="D37" s="6" t="s">
        <v>171</v>
      </c>
      <c r="E37" s="6"/>
      <c r="F37" s="6" t="s">
        <v>20</v>
      </c>
      <c r="G37" s="6" t="s">
        <v>20</v>
      </c>
      <c r="H37" s="6" t="s">
        <v>3</v>
      </c>
      <c r="I37" s="6" t="s">
        <v>3</v>
      </c>
      <c r="J37" s="6" t="s">
        <v>5</v>
      </c>
      <c r="K37" s="6" t="s">
        <v>7</v>
      </c>
      <c r="L37" s="6" t="s">
        <v>35</v>
      </c>
      <c r="M37" s="6" t="s">
        <v>7</v>
      </c>
      <c r="N37" s="6" t="s">
        <v>7</v>
      </c>
      <c r="O37" s="6" t="s">
        <v>7</v>
      </c>
      <c r="P37" s="6" t="s">
        <v>6</v>
      </c>
      <c r="Q37" s="6" t="s">
        <v>7</v>
      </c>
      <c r="R37" s="6" t="s">
        <v>7</v>
      </c>
      <c r="S37" s="6" t="s">
        <v>7</v>
      </c>
      <c r="T37" s="6" t="s">
        <v>7</v>
      </c>
      <c r="U37" s="6" t="s">
        <v>7</v>
      </c>
      <c r="V37" s="6" t="s">
        <v>7</v>
      </c>
      <c r="W37" s="6" t="s">
        <v>7</v>
      </c>
      <c r="X37" s="6" t="s">
        <v>7</v>
      </c>
      <c r="Y37" s="6" t="s">
        <v>7</v>
      </c>
      <c r="Z37" s="6"/>
      <c r="AA37" s="6" t="s">
        <v>158</v>
      </c>
      <c r="AB37" s="6"/>
      <c r="AC37" s="6" t="s">
        <v>172</v>
      </c>
      <c r="AD37" s="6" t="s">
        <v>172</v>
      </c>
      <c r="AE37" s="6" t="s">
        <v>136</v>
      </c>
      <c r="AF37" s="6" t="s">
        <v>25</v>
      </c>
      <c r="AG37" s="6" t="s">
        <v>12</v>
      </c>
      <c r="AH37" s="6" t="s">
        <v>13</v>
      </c>
      <c r="AI37" s="6" t="s">
        <v>27</v>
      </c>
      <c r="AJ37" s="6" t="s">
        <v>25</v>
      </c>
      <c r="AK37" s="6" t="s">
        <v>16</v>
      </c>
      <c r="AL37" s="6" t="s">
        <v>77</v>
      </c>
      <c r="AM37" s="6" t="s">
        <v>14</v>
      </c>
      <c r="AN37" s="6" t="s">
        <v>28</v>
      </c>
      <c r="AO37" s="6" t="s">
        <v>28</v>
      </c>
      <c r="AP37" s="6" t="s">
        <v>27</v>
      </c>
      <c r="AQ37" s="7">
        <f>DATE(2024,11,13)+TIME(14,56,36)</f>
        <v>45609.62263888889</v>
      </c>
    </row>
    <row r="38" spans="1:43" ht="11.25">
      <c r="A38" s="2" t="s">
        <v>173</v>
      </c>
      <c r="B38" s="3"/>
      <c r="C38" s="3" t="s">
        <v>33</v>
      </c>
      <c r="D38" s="3" t="s">
        <v>174</v>
      </c>
      <c r="E38" s="3"/>
      <c r="F38" s="3" t="s">
        <v>3</v>
      </c>
      <c r="G38" s="3" t="s">
        <v>20</v>
      </c>
      <c r="H38" s="3" t="s">
        <v>3</v>
      </c>
      <c r="I38" s="3" t="s">
        <v>20</v>
      </c>
      <c r="J38" s="3" t="s">
        <v>5</v>
      </c>
      <c r="K38" s="3" t="s">
        <v>7</v>
      </c>
      <c r="L38" s="3" t="s">
        <v>6</v>
      </c>
      <c r="M38" s="3" t="s">
        <v>7</v>
      </c>
      <c r="N38" s="3" t="s">
        <v>7</v>
      </c>
      <c r="O38" s="3" t="s">
        <v>7</v>
      </c>
      <c r="P38" s="3" t="s">
        <v>7</v>
      </c>
      <c r="Q38" s="3" t="s">
        <v>7</v>
      </c>
      <c r="R38" s="3" t="s">
        <v>7</v>
      </c>
      <c r="S38" s="3" t="s">
        <v>7</v>
      </c>
      <c r="T38" s="3" t="s">
        <v>7</v>
      </c>
      <c r="U38" s="3" t="s">
        <v>7</v>
      </c>
      <c r="V38" s="3" t="s">
        <v>6</v>
      </c>
      <c r="W38" s="3" t="s">
        <v>6</v>
      </c>
      <c r="X38" s="3" t="s">
        <v>35</v>
      </c>
      <c r="Y38" s="3" t="s">
        <v>7</v>
      </c>
      <c r="Z38" s="3"/>
      <c r="AA38" s="3" t="s">
        <v>134</v>
      </c>
      <c r="AB38" s="3"/>
      <c r="AC38" s="3" t="s">
        <v>175</v>
      </c>
      <c r="AD38" s="3" t="s">
        <v>92</v>
      </c>
      <c r="AE38" s="3" t="s">
        <v>55</v>
      </c>
      <c r="AF38" s="3" t="s">
        <v>11</v>
      </c>
      <c r="AG38" s="3" t="s">
        <v>12</v>
      </c>
      <c r="AH38" s="3" t="s">
        <v>13</v>
      </c>
      <c r="AI38" s="3" t="s">
        <v>14</v>
      </c>
      <c r="AJ38" s="3" t="s">
        <v>15</v>
      </c>
      <c r="AK38" s="3" t="s">
        <v>16</v>
      </c>
      <c r="AL38" s="3" t="s">
        <v>77</v>
      </c>
      <c r="AM38" s="3" t="s">
        <v>14</v>
      </c>
      <c r="AN38" s="3" t="s">
        <v>28</v>
      </c>
      <c r="AO38" s="3" t="s">
        <v>14</v>
      </c>
      <c r="AP38" s="3" t="s">
        <v>27</v>
      </c>
      <c r="AQ38" s="4">
        <f>DATE(2024,11,11)+TIME(14,24,0)</f>
        <v>45607.6</v>
      </c>
    </row>
    <row r="39" spans="1:43" ht="11.25">
      <c r="A39" s="5" t="s">
        <v>176</v>
      </c>
      <c r="B39" s="6"/>
      <c r="C39" s="6" t="s">
        <v>33</v>
      </c>
      <c r="D39" s="6" t="s">
        <v>70</v>
      </c>
      <c r="E39" s="6"/>
      <c r="F39" s="6" t="s">
        <v>3</v>
      </c>
      <c r="G39" s="6" t="s">
        <v>20</v>
      </c>
      <c r="H39" s="6" t="s">
        <v>3</v>
      </c>
      <c r="I39" s="6" t="s">
        <v>20</v>
      </c>
      <c r="J39" s="6" t="s">
        <v>102</v>
      </c>
      <c r="K39" s="6" t="s">
        <v>7</v>
      </c>
      <c r="L39" s="6" t="s">
        <v>7</v>
      </c>
      <c r="M39" s="6" t="s">
        <v>6</v>
      </c>
      <c r="N39" s="6" t="s">
        <v>6</v>
      </c>
      <c r="O39" s="6" t="s">
        <v>6</v>
      </c>
      <c r="P39" s="6" t="s">
        <v>6</v>
      </c>
      <c r="Q39" s="6" t="s">
        <v>6</v>
      </c>
      <c r="R39" s="6" t="s">
        <v>6</v>
      </c>
      <c r="S39" s="6" t="s">
        <v>6</v>
      </c>
      <c r="T39" s="6" t="s">
        <v>6</v>
      </c>
      <c r="U39" s="6" t="s">
        <v>6</v>
      </c>
      <c r="V39" s="6" t="s">
        <v>6</v>
      </c>
      <c r="W39" s="6" t="s">
        <v>6</v>
      </c>
      <c r="X39" s="6" t="s">
        <v>6</v>
      </c>
      <c r="Y39" s="6" t="s">
        <v>6</v>
      </c>
      <c r="Z39" s="6"/>
      <c r="AA39" s="6" t="s">
        <v>22</v>
      </c>
      <c r="AB39" s="6"/>
      <c r="AC39" s="6" t="s">
        <v>31</v>
      </c>
      <c r="AD39" s="6" t="s">
        <v>177</v>
      </c>
      <c r="AE39" s="6" t="s">
        <v>107</v>
      </c>
      <c r="AF39" s="6" t="s">
        <v>25</v>
      </c>
      <c r="AG39" s="6" t="s">
        <v>12</v>
      </c>
      <c r="AH39" s="6" t="s">
        <v>13</v>
      </c>
      <c r="AI39" s="6" t="s">
        <v>14</v>
      </c>
      <c r="AJ39" s="6" t="s">
        <v>25</v>
      </c>
      <c r="AK39" s="6" t="s">
        <v>51</v>
      </c>
      <c r="AL39" s="6" t="s">
        <v>61</v>
      </c>
      <c r="AM39" s="6" t="s">
        <v>14</v>
      </c>
      <c r="AN39" s="6" t="s">
        <v>14</v>
      </c>
      <c r="AO39" s="6" t="s">
        <v>27</v>
      </c>
      <c r="AP39" s="6" t="s">
        <v>27</v>
      </c>
      <c r="AQ39" s="7">
        <f>DATE(2024,12,12)+TIME(13,9,14)</f>
        <v>45638.5480787037</v>
      </c>
    </row>
    <row r="40" spans="1:43" ht="11.25">
      <c r="A40" s="2" t="s">
        <v>178</v>
      </c>
      <c r="B40" s="3"/>
      <c r="C40" s="3" t="s">
        <v>33</v>
      </c>
      <c r="D40" s="3" t="s">
        <v>179</v>
      </c>
      <c r="E40" s="3"/>
      <c r="F40" s="3" t="s">
        <v>3</v>
      </c>
      <c r="G40" s="3" t="s">
        <v>3</v>
      </c>
      <c r="H40" s="3" t="s">
        <v>3</v>
      </c>
      <c r="I40" s="3" t="s">
        <v>3</v>
      </c>
      <c r="J40" s="3" t="s">
        <v>5</v>
      </c>
      <c r="K40" s="3" t="s">
        <v>21</v>
      </c>
      <c r="L40" s="3" t="s">
        <v>21</v>
      </c>
      <c r="M40" s="3" t="s">
        <v>7</v>
      </c>
      <c r="N40" s="3" t="s">
        <v>7</v>
      </c>
      <c r="O40" s="3" t="s">
        <v>7</v>
      </c>
      <c r="P40" s="3" t="s">
        <v>7</v>
      </c>
      <c r="Q40" s="3" t="s">
        <v>7</v>
      </c>
      <c r="R40" s="3" t="s">
        <v>7</v>
      </c>
      <c r="S40" s="3" t="s">
        <v>36</v>
      </c>
      <c r="T40" s="3" t="s">
        <v>7</v>
      </c>
      <c r="U40" s="3" t="s">
        <v>7</v>
      </c>
      <c r="V40" s="3" t="s">
        <v>7</v>
      </c>
      <c r="W40" s="3" t="s">
        <v>7</v>
      </c>
      <c r="X40" s="3" t="s">
        <v>7</v>
      </c>
      <c r="Y40" s="3" t="s">
        <v>7</v>
      </c>
      <c r="Z40" s="3"/>
      <c r="AA40" s="3" t="s">
        <v>180</v>
      </c>
      <c r="AB40" s="3"/>
      <c r="AC40" s="3" t="s">
        <v>49</v>
      </c>
      <c r="AD40" s="3" t="s">
        <v>49</v>
      </c>
      <c r="AE40" s="3" t="s">
        <v>181</v>
      </c>
      <c r="AF40" s="3" t="s">
        <v>25</v>
      </c>
      <c r="AG40" s="3" t="s">
        <v>12</v>
      </c>
      <c r="AH40" s="3" t="s">
        <v>13</v>
      </c>
      <c r="AI40" s="3" t="s">
        <v>14</v>
      </c>
      <c r="AJ40" s="3" t="s">
        <v>25</v>
      </c>
      <c r="AK40" s="3" t="s">
        <v>51</v>
      </c>
      <c r="AL40" s="3" t="s">
        <v>77</v>
      </c>
      <c r="AM40" s="3" t="s">
        <v>14</v>
      </c>
      <c r="AN40" s="3" t="s">
        <v>27</v>
      </c>
      <c r="AO40" s="3" t="s">
        <v>28</v>
      </c>
      <c r="AP40" s="3" t="s">
        <v>27</v>
      </c>
      <c r="AQ40" s="4">
        <f>DATE(2024,9,30)+TIME(21,15,22)</f>
        <v>45565.885671296295</v>
      </c>
    </row>
    <row r="41" spans="1:43" ht="11.25">
      <c r="A41" s="5" t="s">
        <v>182</v>
      </c>
      <c r="B41" s="6"/>
      <c r="C41" s="6" t="s">
        <v>39</v>
      </c>
      <c r="D41" s="6" t="s">
        <v>183</v>
      </c>
      <c r="E41" s="6"/>
      <c r="F41" s="6" t="s">
        <v>3</v>
      </c>
      <c r="G41" s="6" t="s">
        <v>4</v>
      </c>
      <c r="H41" s="6" t="s">
        <v>3</v>
      </c>
      <c r="I41" s="6" t="s">
        <v>3</v>
      </c>
      <c r="J41" s="6" t="s">
        <v>5</v>
      </c>
      <c r="K41" s="6" t="s">
        <v>7</v>
      </c>
      <c r="L41" s="6" t="s">
        <v>21</v>
      </c>
      <c r="M41" s="6" t="s">
        <v>7</v>
      </c>
      <c r="N41" s="6" t="s">
        <v>7</v>
      </c>
      <c r="O41" s="6" t="s">
        <v>7</v>
      </c>
      <c r="P41" s="6" t="s">
        <v>7</v>
      </c>
      <c r="Q41" s="6" t="s">
        <v>7</v>
      </c>
      <c r="R41" s="6" t="s">
        <v>7</v>
      </c>
      <c r="S41" s="6" t="s">
        <v>7</v>
      </c>
      <c r="T41" s="6" t="s">
        <v>7</v>
      </c>
      <c r="U41" s="6" t="s">
        <v>7</v>
      </c>
      <c r="V41" s="6" t="s">
        <v>7</v>
      </c>
      <c r="W41" s="6" t="s">
        <v>7</v>
      </c>
      <c r="X41" s="6" t="s">
        <v>7</v>
      </c>
      <c r="Y41" s="6" t="s">
        <v>7</v>
      </c>
      <c r="Z41" s="6"/>
      <c r="AA41" s="6" t="s">
        <v>184</v>
      </c>
      <c r="AB41" s="6"/>
      <c r="AC41" s="6" t="s">
        <v>185</v>
      </c>
      <c r="AD41" s="6" t="s">
        <v>185</v>
      </c>
      <c r="AE41" s="6" t="s">
        <v>181</v>
      </c>
      <c r="AF41" s="6" t="s">
        <v>25</v>
      </c>
      <c r="AG41" s="6" t="s">
        <v>12</v>
      </c>
      <c r="AH41" s="6" t="s">
        <v>13</v>
      </c>
      <c r="AI41" s="6" t="s">
        <v>14</v>
      </c>
      <c r="AJ41" s="6" t="s">
        <v>25</v>
      </c>
      <c r="AK41" s="6" t="s">
        <v>51</v>
      </c>
      <c r="AL41" s="6" t="s">
        <v>77</v>
      </c>
      <c r="AM41" s="6" t="s">
        <v>14</v>
      </c>
      <c r="AN41" s="6" t="s">
        <v>14</v>
      </c>
      <c r="AO41" s="6" t="s">
        <v>27</v>
      </c>
      <c r="AP41" s="6" t="s">
        <v>27</v>
      </c>
      <c r="AQ41" s="7">
        <f>DATE(2024,12,12)+TIME(11,4,19)</f>
        <v>45638.461331018516</v>
      </c>
    </row>
    <row r="42" spans="1:43" ht="11.25">
      <c r="A42" s="2" t="s">
        <v>186</v>
      </c>
      <c r="B42" s="3"/>
      <c r="C42" s="3" t="s">
        <v>33</v>
      </c>
      <c r="D42" s="3" t="s">
        <v>187</v>
      </c>
      <c r="E42" s="3"/>
      <c r="F42" s="3" t="s">
        <v>3</v>
      </c>
      <c r="G42" s="3" t="s">
        <v>4</v>
      </c>
      <c r="H42" s="3" t="s">
        <v>3</v>
      </c>
      <c r="I42" s="3" t="s">
        <v>20</v>
      </c>
      <c r="J42" s="3" t="s">
        <v>102</v>
      </c>
      <c r="K42" s="3" t="s">
        <v>7</v>
      </c>
      <c r="L42" s="3" t="s">
        <v>7</v>
      </c>
      <c r="M42" s="3" t="s">
        <v>6</v>
      </c>
      <c r="N42" s="3" t="s">
        <v>7</v>
      </c>
      <c r="O42" s="3" t="s">
        <v>6</v>
      </c>
      <c r="P42" s="3" t="s">
        <v>6</v>
      </c>
      <c r="Q42" s="3" t="s">
        <v>6</v>
      </c>
      <c r="R42" s="3" t="s">
        <v>7</v>
      </c>
      <c r="S42" s="3" t="s">
        <v>6</v>
      </c>
      <c r="T42" s="3" t="s">
        <v>7</v>
      </c>
      <c r="U42" s="3" t="s">
        <v>7</v>
      </c>
      <c r="V42" s="3" t="s">
        <v>7</v>
      </c>
      <c r="W42" s="3" t="s">
        <v>6</v>
      </c>
      <c r="X42" s="3" t="s">
        <v>6</v>
      </c>
      <c r="Y42" s="3" t="s">
        <v>6</v>
      </c>
      <c r="Z42" s="3"/>
      <c r="AA42" s="3" t="s">
        <v>141</v>
      </c>
      <c r="AB42" s="3"/>
      <c r="AC42" s="3" t="s">
        <v>188</v>
      </c>
      <c r="AD42" s="3" t="s">
        <v>189</v>
      </c>
      <c r="AE42" s="3"/>
      <c r="AF42" s="3" t="s">
        <v>25</v>
      </c>
      <c r="AG42" s="3" t="s">
        <v>12</v>
      </c>
      <c r="AH42" s="3" t="s">
        <v>13</v>
      </c>
      <c r="AI42" s="3" t="s">
        <v>14</v>
      </c>
      <c r="AJ42" s="3" t="s">
        <v>25</v>
      </c>
      <c r="AK42" s="3" t="s">
        <v>51</v>
      </c>
      <c r="AL42" s="3" t="s">
        <v>17</v>
      </c>
      <c r="AM42" s="3" t="s">
        <v>14</v>
      </c>
      <c r="AN42" s="3" t="s">
        <v>28</v>
      </c>
      <c r="AO42" s="3" t="s">
        <v>14</v>
      </c>
      <c r="AP42" s="3" t="s">
        <v>28</v>
      </c>
      <c r="AQ42" s="4">
        <f>DATE(2024,11,12)+TIME(17,54,8)</f>
        <v>45608.74592592593</v>
      </c>
    </row>
    <row r="43" spans="1:43" ht="11.25">
      <c r="A43" s="5" t="s">
        <v>190</v>
      </c>
      <c r="B43" s="6"/>
      <c r="C43" s="6" t="s">
        <v>1</v>
      </c>
      <c r="D43" s="6" t="s">
        <v>191</v>
      </c>
      <c r="E43" s="6"/>
      <c r="F43" s="6" t="s">
        <v>3</v>
      </c>
      <c r="G43" s="6" t="s">
        <v>20</v>
      </c>
      <c r="H43" s="6" t="s">
        <v>3</v>
      </c>
      <c r="I43" s="6" t="s">
        <v>3</v>
      </c>
      <c r="J43" s="6" t="s">
        <v>102</v>
      </c>
      <c r="K43" s="6" t="s">
        <v>35</v>
      </c>
      <c r="L43" s="6" t="s">
        <v>35</v>
      </c>
      <c r="M43" s="6" t="s">
        <v>6</v>
      </c>
      <c r="N43" s="6" t="s">
        <v>7</v>
      </c>
      <c r="O43" s="6" t="s">
        <v>6</v>
      </c>
      <c r="P43" s="6" t="s">
        <v>6</v>
      </c>
      <c r="Q43" s="6" t="s">
        <v>6</v>
      </c>
      <c r="R43" s="6" t="s">
        <v>7</v>
      </c>
      <c r="S43" s="6" t="s">
        <v>6</v>
      </c>
      <c r="T43" s="6" t="s">
        <v>6</v>
      </c>
      <c r="U43" s="6" t="s">
        <v>7</v>
      </c>
      <c r="V43" s="6" t="s">
        <v>6</v>
      </c>
      <c r="W43" s="6" t="s">
        <v>6</v>
      </c>
      <c r="X43" s="6" t="s">
        <v>6</v>
      </c>
      <c r="Y43" s="6" t="s">
        <v>6</v>
      </c>
      <c r="Z43" s="6"/>
      <c r="AA43" s="6" t="s">
        <v>22</v>
      </c>
      <c r="AB43" s="6"/>
      <c r="AC43" s="6" t="s">
        <v>4</v>
      </c>
      <c r="AD43" s="6" t="s">
        <v>59</v>
      </c>
      <c r="AE43" s="6" t="s">
        <v>192</v>
      </c>
      <c r="AF43" s="6" t="s">
        <v>11</v>
      </c>
      <c r="AG43" s="6" t="s">
        <v>12</v>
      </c>
      <c r="AH43" s="6" t="s">
        <v>13</v>
      </c>
      <c r="AI43" s="6" t="s">
        <v>14</v>
      </c>
      <c r="AJ43" s="6" t="s">
        <v>11</v>
      </c>
      <c r="AK43" s="6" t="s">
        <v>51</v>
      </c>
      <c r="AL43" s="6" t="s">
        <v>77</v>
      </c>
      <c r="AM43" s="6" t="s">
        <v>14</v>
      </c>
      <c r="AN43" s="6" t="s">
        <v>14</v>
      </c>
      <c r="AO43" s="6" t="s">
        <v>14</v>
      </c>
      <c r="AP43" s="6" t="s">
        <v>27</v>
      </c>
      <c r="AQ43" s="7">
        <f>DATE(2024,11,22)+TIME(10,34,4)</f>
        <v>45618.44032407407</v>
      </c>
    </row>
    <row r="44" spans="1:43" ht="11.25">
      <c r="A44" s="2" t="s">
        <v>193</v>
      </c>
      <c r="B44" s="3"/>
      <c r="C44" s="3" t="s">
        <v>33</v>
      </c>
      <c r="D44" s="3" t="s">
        <v>194</v>
      </c>
      <c r="E44" s="3"/>
      <c r="F44" s="3" t="s">
        <v>3</v>
      </c>
      <c r="G44" s="3" t="s">
        <v>41</v>
      </c>
      <c r="H44" s="3" t="s">
        <v>3</v>
      </c>
      <c r="I44" s="3" t="s">
        <v>3</v>
      </c>
      <c r="J44" s="3" t="s">
        <v>5</v>
      </c>
      <c r="K44" s="3" t="s">
        <v>7</v>
      </c>
      <c r="L44" s="3" t="s">
        <v>7</v>
      </c>
      <c r="M44" s="3" t="s">
        <v>7</v>
      </c>
      <c r="N44" s="3" t="s">
        <v>7</v>
      </c>
      <c r="O44" s="3" t="s">
        <v>7</v>
      </c>
      <c r="P44" s="3" t="s">
        <v>7</v>
      </c>
      <c r="Q44" s="3" t="s">
        <v>7</v>
      </c>
      <c r="R44" s="3" t="s">
        <v>7</v>
      </c>
      <c r="S44" s="3" t="s">
        <v>7</v>
      </c>
      <c r="T44" s="3" t="s">
        <v>7</v>
      </c>
      <c r="U44" s="3" t="s">
        <v>7</v>
      </c>
      <c r="V44" s="3" t="s">
        <v>7</v>
      </c>
      <c r="W44" s="3" t="s">
        <v>7</v>
      </c>
      <c r="X44" s="3" t="s">
        <v>7</v>
      </c>
      <c r="Y44" s="3" t="s">
        <v>7</v>
      </c>
      <c r="Z44" s="3"/>
      <c r="AA44" s="3" t="s">
        <v>22</v>
      </c>
      <c r="AB44" s="3"/>
      <c r="AC44" s="3" t="s">
        <v>195</v>
      </c>
      <c r="AD44" s="3" t="s">
        <v>49</v>
      </c>
      <c r="AE44" s="3" t="s">
        <v>60</v>
      </c>
      <c r="AF44" s="3" t="s">
        <v>11</v>
      </c>
      <c r="AG44" s="3" t="s">
        <v>12</v>
      </c>
      <c r="AH44" s="3" t="s">
        <v>13</v>
      </c>
      <c r="AI44" s="3" t="s">
        <v>14</v>
      </c>
      <c r="AJ44" s="3" t="s">
        <v>25</v>
      </c>
      <c r="AK44" s="3" t="s">
        <v>51</v>
      </c>
      <c r="AL44" s="3" t="s">
        <v>17</v>
      </c>
      <c r="AM44" s="3" t="s">
        <v>14</v>
      </c>
      <c r="AN44" s="3" t="s">
        <v>27</v>
      </c>
      <c r="AO44" s="3" t="s">
        <v>27</v>
      </c>
      <c r="AP44" s="3" t="s">
        <v>27</v>
      </c>
      <c r="AQ44" s="4">
        <f>DATE(2024,11,12)+TIME(21,29,52)</f>
        <v>45608.89574074074</v>
      </c>
    </row>
    <row r="45" spans="1:43" ht="11.25">
      <c r="A45" s="5" t="s">
        <v>196</v>
      </c>
      <c r="B45" s="6"/>
      <c r="C45" s="6" t="s">
        <v>33</v>
      </c>
      <c r="D45" s="6" t="s">
        <v>197</v>
      </c>
      <c r="E45" s="6"/>
      <c r="F45" s="6" t="s">
        <v>20</v>
      </c>
      <c r="G45" s="6" t="s">
        <v>41</v>
      </c>
      <c r="H45" s="6" t="s">
        <v>3</v>
      </c>
      <c r="I45" s="6" t="s">
        <v>3</v>
      </c>
      <c r="J45" s="6" t="s">
        <v>102</v>
      </c>
      <c r="K45" s="6" t="s">
        <v>6</v>
      </c>
      <c r="L45" s="6" t="s">
        <v>36</v>
      </c>
      <c r="M45" s="6" t="s">
        <v>7</v>
      </c>
      <c r="N45" s="6" t="s">
        <v>7</v>
      </c>
      <c r="O45" s="6" t="s">
        <v>7</v>
      </c>
      <c r="P45" s="6" t="s">
        <v>7</v>
      </c>
      <c r="Q45" s="6" t="s">
        <v>7</v>
      </c>
      <c r="R45" s="6" t="s">
        <v>6</v>
      </c>
      <c r="S45" s="6" t="s">
        <v>7</v>
      </c>
      <c r="T45" s="6" t="s">
        <v>7</v>
      </c>
      <c r="U45" s="6" t="s">
        <v>7</v>
      </c>
      <c r="V45" s="6" t="s">
        <v>7</v>
      </c>
      <c r="W45" s="6" t="s">
        <v>7</v>
      </c>
      <c r="X45" s="6" t="s">
        <v>7</v>
      </c>
      <c r="Y45" s="6" t="s">
        <v>7</v>
      </c>
      <c r="Z45" s="6"/>
      <c r="AA45" s="6" t="s">
        <v>65</v>
      </c>
      <c r="AB45" s="6"/>
      <c r="AC45" s="6" t="s">
        <v>198</v>
      </c>
      <c r="AD45" s="6" t="s">
        <v>198</v>
      </c>
      <c r="AE45" s="6" t="s">
        <v>199</v>
      </c>
      <c r="AF45" s="6" t="s">
        <v>15</v>
      </c>
      <c r="AG45" s="6" t="s">
        <v>12</v>
      </c>
      <c r="AH45" s="6" t="s">
        <v>13</v>
      </c>
      <c r="AI45" s="6" t="s">
        <v>14</v>
      </c>
      <c r="AJ45" s="6" t="s">
        <v>15</v>
      </c>
      <c r="AK45" s="6" t="s">
        <v>51</v>
      </c>
      <c r="AL45" s="6" t="s">
        <v>77</v>
      </c>
      <c r="AM45" s="6" t="s">
        <v>27</v>
      </c>
      <c r="AN45" s="6" t="s">
        <v>27</v>
      </c>
      <c r="AO45" s="6" t="s">
        <v>27</v>
      </c>
      <c r="AP45" s="6" t="s">
        <v>27</v>
      </c>
      <c r="AQ45" s="7">
        <f>DATE(2024,9,30)+TIME(9,59,4)</f>
        <v>45565.41601851852</v>
      </c>
    </row>
    <row r="46" spans="1:43" ht="11.25">
      <c r="A46" s="2" t="s">
        <v>200</v>
      </c>
      <c r="B46" s="3"/>
      <c r="C46" s="3" t="s">
        <v>1</v>
      </c>
      <c r="D46" s="3" t="s">
        <v>201</v>
      </c>
      <c r="E46" s="3"/>
      <c r="F46" s="3" t="s">
        <v>3</v>
      </c>
      <c r="G46" s="3" t="s">
        <v>4</v>
      </c>
      <c r="H46" s="3" t="s">
        <v>3</v>
      </c>
      <c r="I46" s="3" t="s">
        <v>3</v>
      </c>
      <c r="J46" s="3" t="s">
        <v>102</v>
      </c>
      <c r="K46" s="3" t="s">
        <v>7</v>
      </c>
      <c r="L46" s="3" t="s">
        <v>7</v>
      </c>
      <c r="M46" s="3" t="s">
        <v>7</v>
      </c>
      <c r="N46" s="3" t="s">
        <v>7</v>
      </c>
      <c r="O46" s="3" t="s">
        <v>7</v>
      </c>
      <c r="P46" s="3" t="s">
        <v>7</v>
      </c>
      <c r="Q46" s="3" t="s">
        <v>7</v>
      </c>
      <c r="R46" s="3" t="s">
        <v>7</v>
      </c>
      <c r="S46" s="3" t="s">
        <v>7</v>
      </c>
      <c r="T46" s="3" t="s">
        <v>7</v>
      </c>
      <c r="U46" s="3" t="s">
        <v>7</v>
      </c>
      <c r="V46" s="3" t="s">
        <v>6</v>
      </c>
      <c r="W46" s="3" t="s">
        <v>6</v>
      </c>
      <c r="X46" s="3" t="s">
        <v>35</v>
      </c>
      <c r="Y46" s="3" t="s">
        <v>7</v>
      </c>
      <c r="Z46" s="3"/>
      <c r="AA46" s="3" t="s">
        <v>22</v>
      </c>
      <c r="AB46" s="3"/>
      <c r="AC46" s="3" t="s">
        <v>74</v>
      </c>
      <c r="AD46" s="3" t="s">
        <v>74</v>
      </c>
      <c r="AE46" s="3" t="s">
        <v>151</v>
      </c>
      <c r="AF46" s="3" t="s">
        <v>25</v>
      </c>
      <c r="AG46" s="3" t="s">
        <v>12</v>
      </c>
      <c r="AH46" s="3" t="s">
        <v>13</v>
      </c>
      <c r="AI46" s="3" t="s">
        <v>27</v>
      </c>
      <c r="AJ46" s="3" t="s">
        <v>25</v>
      </c>
      <c r="AK46" s="3" t="s">
        <v>51</v>
      </c>
      <c r="AL46" s="3" t="s">
        <v>17</v>
      </c>
      <c r="AM46" s="3" t="s">
        <v>14</v>
      </c>
      <c r="AN46" s="3" t="s">
        <v>14</v>
      </c>
      <c r="AO46" s="3" t="s">
        <v>4</v>
      </c>
      <c r="AP46" s="3" t="s">
        <v>4</v>
      </c>
      <c r="AQ46" s="4">
        <f>DATE(2024,9,30)+TIME(10,5,3)</f>
        <v>45565.42017361111</v>
      </c>
    </row>
    <row r="47" spans="1:43" ht="11.25">
      <c r="A47" s="5" t="s">
        <v>202</v>
      </c>
      <c r="B47" s="6"/>
      <c r="C47" s="6" t="s">
        <v>1</v>
      </c>
      <c r="D47" s="6" t="s">
        <v>203</v>
      </c>
      <c r="E47" s="6"/>
      <c r="F47" s="6" t="s">
        <v>3</v>
      </c>
      <c r="G47" s="6" t="s">
        <v>47</v>
      </c>
      <c r="H47" s="6" t="s">
        <v>3</v>
      </c>
      <c r="I47" s="6" t="s">
        <v>3</v>
      </c>
      <c r="J47" s="6" t="s">
        <v>5</v>
      </c>
      <c r="K47" s="6" t="s">
        <v>7</v>
      </c>
      <c r="L47" s="6" t="s">
        <v>7</v>
      </c>
      <c r="M47" s="6" t="s">
        <v>7</v>
      </c>
      <c r="N47" s="6" t="s">
        <v>7</v>
      </c>
      <c r="O47" s="6" t="s">
        <v>7</v>
      </c>
      <c r="P47" s="6" t="s">
        <v>7</v>
      </c>
      <c r="Q47" s="6" t="s">
        <v>7</v>
      </c>
      <c r="R47" s="6" t="s">
        <v>7</v>
      </c>
      <c r="S47" s="6" t="s">
        <v>7</v>
      </c>
      <c r="T47" s="6" t="s">
        <v>7</v>
      </c>
      <c r="U47" s="6" t="s">
        <v>7</v>
      </c>
      <c r="V47" s="6" t="s">
        <v>7</v>
      </c>
      <c r="W47" s="6" t="s">
        <v>7</v>
      </c>
      <c r="X47" s="6" t="s">
        <v>7</v>
      </c>
      <c r="Y47" s="6" t="s">
        <v>7</v>
      </c>
      <c r="Z47" s="6"/>
      <c r="AA47" s="6" t="s">
        <v>22</v>
      </c>
      <c r="AB47" s="6"/>
      <c r="AC47" s="6" t="s">
        <v>204</v>
      </c>
      <c r="AD47" s="6" t="s">
        <v>204</v>
      </c>
      <c r="AE47" s="6" t="s">
        <v>67</v>
      </c>
      <c r="AF47" s="6" t="s">
        <v>15</v>
      </c>
      <c r="AG47" s="6" t="s">
        <v>27</v>
      </c>
      <c r="AH47" s="6" t="s">
        <v>13</v>
      </c>
      <c r="AI47" s="6" t="s">
        <v>27</v>
      </c>
      <c r="AJ47" s="6" t="s">
        <v>15</v>
      </c>
      <c r="AK47" s="6" t="s">
        <v>51</v>
      </c>
      <c r="AL47" s="6" t="s">
        <v>17</v>
      </c>
      <c r="AM47" s="6" t="s">
        <v>14</v>
      </c>
      <c r="AN47" s="6" t="s">
        <v>27</v>
      </c>
      <c r="AO47" s="6" t="s">
        <v>28</v>
      </c>
      <c r="AP47" s="6" t="s">
        <v>27</v>
      </c>
      <c r="AQ47" s="7">
        <f>DATE(2024,11,12)+TIME(13,10,11)</f>
        <v>45608.548738425925</v>
      </c>
    </row>
    <row r="48" spans="1:43" ht="11.25">
      <c r="A48" s="2" t="s">
        <v>205</v>
      </c>
      <c r="B48" s="3"/>
      <c r="C48" s="3" t="s">
        <v>1</v>
      </c>
      <c r="D48" s="3" t="s">
        <v>206</v>
      </c>
      <c r="E48" s="3"/>
      <c r="F48" s="3" t="s">
        <v>3</v>
      </c>
      <c r="G48" s="3" t="s">
        <v>41</v>
      </c>
      <c r="H48" s="3" t="s">
        <v>3</v>
      </c>
      <c r="I48" s="3" t="s">
        <v>3</v>
      </c>
      <c r="J48" s="3" t="s">
        <v>102</v>
      </c>
      <c r="K48" s="3" t="s">
        <v>7</v>
      </c>
      <c r="L48" s="3" t="s">
        <v>21</v>
      </c>
      <c r="M48" s="3" t="s">
        <v>7</v>
      </c>
      <c r="N48" s="3" t="s">
        <v>7</v>
      </c>
      <c r="O48" s="3" t="s">
        <v>7</v>
      </c>
      <c r="P48" s="3" t="s">
        <v>7</v>
      </c>
      <c r="Q48" s="3" t="s">
        <v>7</v>
      </c>
      <c r="R48" s="3" t="s">
        <v>7</v>
      </c>
      <c r="S48" s="3" t="s">
        <v>7</v>
      </c>
      <c r="T48" s="3" t="s">
        <v>7</v>
      </c>
      <c r="U48" s="3" t="s">
        <v>7</v>
      </c>
      <c r="V48" s="3" t="s">
        <v>7</v>
      </c>
      <c r="W48" s="3" t="s">
        <v>7</v>
      </c>
      <c r="X48" s="3" t="s">
        <v>7</v>
      </c>
      <c r="Y48" s="3" t="s">
        <v>7</v>
      </c>
      <c r="Z48" s="3" t="s">
        <v>207</v>
      </c>
      <c r="AA48" s="3" t="s">
        <v>22</v>
      </c>
      <c r="AB48" s="3"/>
      <c r="AC48" s="3" t="s">
        <v>4</v>
      </c>
      <c r="AD48" s="3" t="s">
        <v>208</v>
      </c>
      <c r="AE48" s="3" t="s">
        <v>107</v>
      </c>
      <c r="AF48" s="3" t="s">
        <v>15</v>
      </c>
      <c r="AG48" s="3" t="s">
        <v>12</v>
      </c>
      <c r="AH48" s="3" t="s">
        <v>13</v>
      </c>
      <c r="AI48" s="3" t="s">
        <v>14</v>
      </c>
      <c r="AJ48" s="3" t="s">
        <v>15</v>
      </c>
      <c r="AK48" s="3" t="s">
        <v>51</v>
      </c>
      <c r="AL48" s="3" t="s">
        <v>77</v>
      </c>
      <c r="AM48" s="3" t="s">
        <v>14</v>
      </c>
      <c r="AN48" s="3" t="s">
        <v>27</v>
      </c>
      <c r="AO48" s="3" t="s">
        <v>27</v>
      </c>
      <c r="AP48" s="3" t="s">
        <v>27</v>
      </c>
      <c r="AQ48" s="4">
        <f>DATE(2024,11,11)+TIME(14,49,32)</f>
        <v>45607.617731481485</v>
      </c>
    </row>
    <row r="49" spans="1:43" ht="11.25">
      <c r="A49" s="5" t="s">
        <v>209</v>
      </c>
      <c r="B49" s="6"/>
      <c r="C49" s="6" t="s">
        <v>1</v>
      </c>
      <c r="D49" s="6" t="s">
        <v>210</v>
      </c>
      <c r="E49" s="6"/>
      <c r="F49" s="6" t="s">
        <v>20</v>
      </c>
      <c r="G49" s="6" t="s">
        <v>41</v>
      </c>
      <c r="H49" s="6" t="s">
        <v>20</v>
      </c>
      <c r="I49" s="6" t="s">
        <v>41</v>
      </c>
      <c r="J49" s="6" t="s">
        <v>106</v>
      </c>
      <c r="K49" s="6"/>
      <c r="L49" s="6"/>
      <c r="M49" s="6" t="s">
        <v>7</v>
      </c>
      <c r="N49" s="6" t="s">
        <v>7</v>
      </c>
      <c r="O49" s="6" t="s">
        <v>7</v>
      </c>
      <c r="P49" s="6" t="s">
        <v>35</v>
      </c>
      <c r="Q49" s="6" t="s">
        <v>7</v>
      </c>
      <c r="R49" s="6" t="s">
        <v>21</v>
      </c>
      <c r="S49" s="6" t="s">
        <v>7</v>
      </c>
      <c r="T49" s="6" t="s">
        <v>7</v>
      </c>
      <c r="U49" s="6" t="s">
        <v>7</v>
      </c>
      <c r="V49" s="6" t="s">
        <v>7</v>
      </c>
      <c r="W49" s="6" t="s">
        <v>7</v>
      </c>
      <c r="X49" s="6" t="s">
        <v>7</v>
      </c>
      <c r="Y49" s="6" t="s">
        <v>7</v>
      </c>
      <c r="Z49" s="6" t="s">
        <v>211</v>
      </c>
      <c r="AA49" s="6" t="s">
        <v>22</v>
      </c>
      <c r="AB49" s="6"/>
      <c r="AC49" s="6" t="s">
        <v>4</v>
      </c>
      <c r="AD49" s="6" t="s">
        <v>4</v>
      </c>
      <c r="AE49" s="6"/>
      <c r="AF49" s="6" t="s">
        <v>15</v>
      </c>
      <c r="AG49" s="6" t="s">
        <v>27</v>
      </c>
      <c r="AH49" s="6" t="s">
        <v>27</v>
      </c>
      <c r="AI49" s="6" t="s">
        <v>27</v>
      </c>
      <c r="AJ49" s="6" t="s">
        <v>15</v>
      </c>
      <c r="AK49" s="6" t="s">
        <v>16</v>
      </c>
      <c r="AL49" s="6" t="s">
        <v>17</v>
      </c>
      <c r="AM49" s="6" t="s">
        <v>27</v>
      </c>
      <c r="AN49" s="6" t="s">
        <v>28</v>
      </c>
      <c r="AO49" s="6" t="s">
        <v>28</v>
      </c>
      <c r="AP49" s="6" t="s">
        <v>28</v>
      </c>
      <c r="AQ49" s="7">
        <f>DATE(2024,11,13)+TIME(14,30,55)</f>
        <v>45609.60480324074</v>
      </c>
    </row>
    <row r="50" spans="1:43" ht="11.25">
      <c r="A50" s="2" t="s">
        <v>212</v>
      </c>
      <c r="B50" s="3"/>
      <c r="C50" s="3" t="s">
        <v>33</v>
      </c>
      <c r="D50" s="3" t="s">
        <v>213</v>
      </c>
      <c r="E50" s="3"/>
      <c r="F50" s="3" t="s">
        <v>20</v>
      </c>
      <c r="G50" s="3" t="s">
        <v>20</v>
      </c>
      <c r="H50" s="3" t="s">
        <v>3</v>
      </c>
      <c r="I50" s="3" t="s">
        <v>3</v>
      </c>
      <c r="J50" s="3" t="s">
        <v>5</v>
      </c>
      <c r="K50" s="3" t="s">
        <v>7</v>
      </c>
      <c r="L50" s="3" t="s">
        <v>6</v>
      </c>
      <c r="M50" s="3" t="s">
        <v>7</v>
      </c>
      <c r="N50" s="3" t="s">
        <v>7</v>
      </c>
      <c r="O50" s="3" t="s">
        <v>7</v>
      </c>
      <c r="P50" s="3" t="s">
        <v>6</v>
      </c>
      <c r="Q50" s="3" t="s">
        <v>7</v>
      </c>
      <c r="R50" s="3" t="s">
        <v>7</v>
      </c>
      <c r="S50" s="3" t="s">
        <v>6</v>
      </c>
      <c r="T50" s="3" t="s">
        <v>6</v>
      </c>
      <c r="U50" s="3" t="s">
        <v>7</v>
      </c>
      <c r="V50" s="3" t="s">
        <v>6</v>
      </c>
      <c r="W50" s="3" t="s">
        <v>7</v>
      </c>
      <c r="X50" s="3" t="s">
        <v>6</v>
      </c>
      <c r="Y50" s="3" t="s">
        <v>6</v>
      </c>
      <c r="Z50" s="3"/>
      <c r="AA50" s="3" t="s">
        <v>22</v>
      </c>
      <c r="AB50" s="3"/>
      <c r="AC50" s="3" t="s">
        <v>214</v>
      </c>
      <c r="AD50" s="3" t="s">
        <v>215</v>
      </c>
      <c r="AE50" s="3" t="s">
        <v>50</v>
      </c>
      <c r="AF50" s="3" t="s">
        <v>25</v>
      </c>
      <c r="AG50" s="3" t="s">
        <v>27</v>
      </c>
      <c r="AH50" s="3" t="s">
        <v>27</v>
      </c>
      <c r="AI50" s="3" t="s">
        <v>14</v>
      </c>
      <c r="AJ50" s="3" t="s">
        <v>25</v>
      </c>
      <c r="AK50" s="3" t="s">
        <v>16</v>
      </c>
      <c r="AL50" s="3" t="s">
        <v>95</v>
      </c>
      <c r="AM50" s="3" t="s">
        <v>14</v>
      </c>
      <c r="AN50" s="3" t="s">
        <v>28</v>
      </c>
      <c r="AO50" s="3" t="s">
        <v>28</v>
      </c>
      <c r="AP50" s="3" t="s">
        <v>28</v>
      </c>
      <c r="AQ50" s="4">
        <f>DATE(2024,11,13)+TIME(21,58,12)</f>
        <v>45609.91541666666</v>
      </c>
    </row>
    <row r="51" spans="1:43" ht="11.25">
      <c r="A51" s="5" t="s">
        <v>216</v>
      </c>
      <c r="B51" s="6"/>
      <c r="C51" s="6" t="s">
        <v>33</v>
      </c>
      <c r="D51" s="6" t="s">
        <v>217</v>
      </c>
      <c r="E51" s="6"/>
      <c r="F51" s="6" t="s">
        <v>3</v>
      </c>
      <c r="G51" s="6" t="s">
        <v>20</v>
      </c>
      <c r="H51" s="6" t="s">
        <v>3</v>
      </c>
      <c r="I51" s="6" t="s">
        <v>3</v>
      </c>
      <c r="J51" s="6" t="s">
        <v>102</v>
      </c>
      <c r="K51" s="6" t="s">
        <v>35</v>
      </c>
      <c r="L51" s="6" t="s">
        <v>35</v>
      </c>
      <c r="M51" s="6" t="s">
        <v>7</v>
      </c>
      <c r="N51" s="6" t="s">
        <v>7</v>
      </c>
      <c r="O51" s="6" t="s">
        <v>7</v>
      </c>
      <c r="P51" s="6" t="s">
        <v>6</v>
      </c>
      <c r="Q51" s="6" t="s">
        <v>7</v>
      </c>
      <c r="R51" s="6" t="s">
        <v>6</v>
      </c>
      <c r="S51" s="6" t="s">
        <v>6</v>
      </c>
      <c r="T51" s="6" t="s">
        <v>6</v>
      </c>
      <c r="U51" s="6" t="s">
        <v>7</v>
      </c>
      <c r="V51" s="6" t="s">
        <v>6</v>
      </c>
      <c r="W51" s="6" t="s">
        <v>7</v>
      </c>
      <c r="X51" s="6" t="s">
        <v>7</v>
      </c>
      <c r="Y51" s="6" t="s">
        <v>7</v>
      </c>
      <c r="Z51" s="6"/>
      <c r="AA51" s="6" t="s">
        <v>218</v>
      </c>
      <c r="AB51" s="6"/>
      <c r="AC51" s="6" t="s">
        <v>219</v>
      </c>
      <c r="AD51" s="6" t="s">
        <v>74</v>
      </c>
      <c r="AE51" s="6" t="s">
        <v>116</v>
      </c>
      <c r="AF51" s="6" t="s">
        <v>25</v>
      </c>
      <c r="AG51" s="6" t="s">
        <v>12</v>
      </c>
      <c r="AH51" s="6" t="s">
        <v>13</v>
      </c>
      <c r="AI51" s="6" t="s">
        <v>27</v>
      </c>
      <c r="AJ51" s="6" t="s">
        <v>25</v>
      </c>
      <c r="AK51" s="6" t="s">
        <v>51</v>
      </c>
      <c r="AL51" s="6" t="s">
        <v>17</v>
      </c>
      <c r="AM51" s="6" t="s">
        <v>27</v>
      </c>
      <c r="AN51" s="6" t="s">
        <v>27</v>
      </c>
      <c r="AO51" s="6" t="s">
        <v>28</v>
      </c>
      <c r="AP51" s="6" t="s">
        <v>14</v>
      </c>
      <c r="AQ51" s="7">
        <f>DATE(2024,12,19)+TIME(1,36,7)</f>
        <v>45645.06674768519</v>
      </c>
    </row>
    <row r="52" spans="1:43" ht="11.25">
      <c r="A52" s="2" t="s">
        <v>220</v>
      </c>
      <c r="B52" s="3"/>
      <c r="C52" s="3" t="s">
        <v>39</v>
      </c>
      <c r="D52" s="3" t="s">
        <v>221</v>
      </c>
      <c r="E52" s="3"/>
      <c r="F52" s="3" t="s">
        <v>3</v>
      </c>
      <c r="G52" s="3" t="s">
        <v>4</v>
      </c>
      <c r="H52" s="3" t="s">
        <v>3</v>
      </c>
      <c r="I52" s="3" t="s">
        <v>3</v>
      </c>
      <c r="J52" s="3" t="s">
        <v>5</v>
      </c>
      <c r="K52" s="3" t="s">
        <v>7</v>
      </c>
      <c r="L52" s="3" t="s">
        <v>7</v>
      </c>
      <c r="M52" s="3" t="s">
        <v>6</v>
      </c>
      <c r="N52" s="3" t="s">
        <v>7</v>
      </c>
      <c r="O52" s="3" t="s">
        <v>7</v>
      </c>
      <c r="P52" s="3" t="s">
        <v>6</v>
      </c>
      <c r="Q52" s="3" t="s">
        <v>7</v>
      </c>
      <c r="R52" s="3" t="s">
        <v>7</v>
      </c>
      <c r="S52" s="3" t="s">
        <v>7</v>
      </c>
      <c r="T52" s="3" t="s">
        <v>36</v>
      </c>
      <c r="U52" s="3" t="s">
        <v>7</v>
      </c>
      <c r="V52" s="3" t="s">
        <v>6</v>
      </c>
      <c r="W52" s="3" t="s">
        <v>7</v>
      </c>
      <c r="X52" s="3" t="s">
        <v>7</v>
      </c>
      <c r="Y52" s="3" t="s">
        <v>7</v>
      </c>
      <c r="Z52" s="3" t="s">
        <v>222</v>
      </c>
      <c r="AA52" s="3" t="s">
        <v>223</v>
      </c>
      <c r="AB52" s="3"/>
      <c r="AC52" s="3" t="s">
        <v>4</v>
      </c>
      <c r="AD52" s="3" t="s">
        <v>224</v>
      </c>
      <c r="AE52" s="3" t="s">
        <v>50</v>
      </c>
      <c r="AF52" s="3" t="s">
        <v>11</v>
      </c>
      <c r="AG52" s="3" t="s">
        <v>12</v>
      </c>
      <c r="AH52" s="3" t="s">
        <v>13</v>
      </c>
      <c r="AI52" s="3" t="s">
        <v>14</v>
      </c>
      <c r="AJ52" s="3" t="s">
        <v>25</v>
      </c>
      <c r="AK52" s="3" t="s">
        <v>4</v>
      </c>
      <c r="AL52" s="3" t="s">
        <v>17</v>
      </c>
      <c r="AM52" s="3" t="s">
        <v>14</v>
      </c>
      <c r="AN52" s="3" t="s">
        <v>14</v>
      </c>
      <c r="AO52" s="3" t="s">
        <v>28</v>
      </c>
      <c r="AP52" s="3" t="s">
        <v>4</v>
      </c>
      <c r="AQ52" s="4">
        <f>DATE(2025,1,21)+TIME(14,14,14)</f>
        <v>45678.59321759259</v>
      </c>
    </row>
    <row r="53" spans="1:43" ht="11.25">
      <c r="A53" s="5" t="s">
        <v>225</v>
      </c>
      <c r="B53" s="6"/>
      <c r="C53" s="6" t="s">
        <v>1</v>
      </c>
      <c r="D53" s="6" t="s">
        <v>226</v>
      </c>
      <c r="E53" s="6"/>
      <c r="F53" s="6" t="s">
        <v>3</v>
      </c>
      <c r="G53" s="6" t="s">
        <v>41</v>
      </c>
      <c r="H53" s="6" t="s">
        <v>3</v>
      </c>
      <c r="I53" s="6" t="s">
        <v>3</v>
      </c>
      <c r="J53" s="6" t="s">
        <v>5</v>
      </c>
      <c r="K53" s="6" t="s">
        <v>7</v>
      </c>
      <c r="L53" s="6" t="s">
        <v>35</v>
      </c>
      <c r="M53" s="6" t="s">
        <v>7</v>
      </c>
      <c r="N53" s="6" t="s">
        <v>7</v>
      </c>
      <c r="O53" s="6" t="s">
        <v>7</v>
      </c>
      <c r="P53" s="6" t="s">
        <v>7</v>
      </c>
      <c r="Q53" s="6" t="s">
        <v>7</v>
      </c>
      <c r="R53" s="6" t="s">
        <v>7</v>
      </c>
      <c r="S53" s="6" t="s">
        <v>6</v>
      </c>
      <c r="T53" s="6" t="s">
        <v>6</v>
      </c>
      <c r="U53" s="6" t="s">
        <v>7</v>
      </c>
      <c r="V53" s="6" t="s">
        <v>7</v>
      </c>
      <c r="W53" s="6" t="s">
        <v>7</v>
      </c>
      <c r="X53" s="6" t="s">
        <v>35</v>
      </c>
      <c r="Y53" s="6" t="s">
        <v>7</v>
      </c>
      <c r="Z53" s="6" t="s">
        <v>227</v>
      </c>
      <c r="AA53" s="6" t="s">
        <v>228</v>
      </c>
      <c r="AB53" s="6"/>
      <c r="AC53" s="6" t="s">
        <v>229</v>
      </c>
      <c r="AD53" s="6" t="s">
        <v>230</v>
      </c>
      <c r="AE53" s="6"/>
      <c r="AF53" s="6" t="s">
        <v>15</v>
      </c>
      <c r="AG53" s="6" t="s">
        <v>12</v>
      </c>
      <c r="AH53" s="6" t="s">
        <v>13</v>
      </c>
      <c r="AI53" s="6" t="s">
        <v>14</v>
      </c>
      <c r="AJ53" s="6" t="s">
        <v>15</v>
      </c>
      <c r="AK53" s="6" t="s">
        <v>51</v>
      </c>
      <c r="AL53" s="6" t="s">
        <v>77</v>
      </c>
      <c r="AM53" s="6" t="s">
        <v>14</v>
      </c>
      <c r="AN53" s="6" t="s">
        <v>14</v>
      </c>
      <c r="AO53" s="6" t="s">
        <v>27</v>
      </c>
      <c r="AP53" s="6" t="s">
        <v>27</v>
      </c>
      <c r="AQ53" s="7">
        <f>DATE(2024,10,31)+TIME(16,37,38)</f>
        <v>45596.69280092593</v>
      </c>
    </row>
    <row r="54" spans="1:43" ht="11.25">
      <c r="A54" s="2" t="s">
        <v>231</v>
      </c>
      <c r="B54" s="3"/>
      <c r="C54" s="3" t="s">
        <v>33</v>
      </c>
      <c r="D54" s="3" t="s">
        <v>76</v>
      </c>
      <c r="E54" s="3"/>
      <c r="F54" s="3" t="s">
        <v>3</v>
      </c>
      <c r="G54" s="3" t="s">
        <v>41</v>
      </c>
      <c r="H54" s="3" t="s">
        <v>3</v>
      </c>
      <c r="I54" s="3" t="s">
        <v>20</v>
      </c>
      <c r="J54" s="3" t="s">
        <v>5</v>
      </c>
      <c r="K54" s="3" t="s">
        <v>7</v>
      </c>
      <c r="L54" s="3" t="s">
        <v>6</v>
      </c>
      <c r="M54" s="3" t="s">
        <v>7</v>
      </c>
      <c r="N54" s="3" t="s">
        <v>7</v>
      </c>
      <c r="O54" s="3" t="s">
        <v>7</v>
      </c>
      <c r="P54" s="3" t="s">
        <v>7</v>
      </c>
      <c r="Q54" s="3" t="s">
        <v>7</v>
      </c>
      <c r="R54" s="3" t="s">
        <v>6</v>
      </c>
      <c r="S54" s="3" t="s">
        <v>7</v>
      </c>
      <c r="T54" s="3" t="s">
        <v>7</v>
      </c>
      <c r="U54" s="3" t="s">
        <v>7</v>
      </c>
      <c r="V54" s="3" t="s">
        <v>7</v>
      </c>
      <c r="W54" s="3" t="s">
        <v>7</v>
      </c>
      <c r="X54" s="3" t="s">
        <v>35</v>
      </c>
      <c r="Y54" s="3" t="s">
        <v>7</v>
      </c>
      <c r="Z54" s="3"/>
      <c r="AA54" s="3" t="s">
        <v>8</v>
      </c>
      <c r="AB54" s="3"/>
      <c r="AC54" s="3" t="s">
        <v>49</v>
      </c>
      <c r="AD54" s="3" t="s">
        <v>49</v>
      </c>
      <c r="AE54" s="3" t="s">
        <v>55</v>
      </c>
      <c r="AF54" s="3" t="s">
        <v>25</v>
      </c>
      <c r="AG54" s="3" t="s">
        <v>12</v>
      </c>
      <c r="AH54" s="3" t="s">
        <v>27</v>
      </c>
      <c r="AI54" s="3" t="s">
        <v>14</v>
      </c>
      <c r="AJ54" s="3" t="s">
        <v>25</v>
      </c>
      <c r="AK54" s="3" t="s">
        <v>51</v>
      </c>
      <c r="AL54" s="3" t="s">
        <v>61</v>
      </c>
      <c r="AM54" s="3" t="s">
        <v>14</v>
      </c>
      <c r="AN54" s="3" t="s">
        <v>27</v>
      </c>
      <c r="AO54" s="3" t="s">
        <v>27</v>
      </c>
      <c r="AP54" s="3" t="s">
        <v>27</v>
      </c>
      <c r="AQ54" s="4">
        <f>DATE(2024,11,12)+TIME(18,5,50)</f>
        <v>45608.75405092593</v>
      </c>
    </row>
    <row r="55" spans="1:43" ht="11.25">
      <c r="A55" s="5" t="s">
        <v>232</v>
      </c>
      <c r="B55" s="6"/>
      <c r="C55" s="6" t="s">
        <v>33</v>
      </c>
      <c r="D55" s="6" t="s">
        <v>233</v>
      </c>
      <c r="E55" s="6"/>
      <c r="F55" s="6" t="s">
        <v>20</v>
      </c>
      <c r="G55" s="6" t="s">
        <v>41</v>
      </c>
      <c r="H55" s="6" t="s">
        <v>20</v>
      </c>
      <c r="I55" s="6" t="s">
        <v>20</v>
      </c>
      <c r="J55" s="6" t="s">
        <v>102</v>
      </c>
      <c r="K55" s="6" t="s">
        <v>36</v>
      </c>
      <c r="L55" s="6" t="s">
        <v>36</v>
      </c>
      <c r="M55" s="6" t="s">
        <v>7</v>
      </c>
      <c r="N55" s="6" t="s">
        <v>7</v>
      </c>
      <c r="O55" s="6" t="s">
        <v>7</v>
      </c>
      <c r="P55" s="6" t="s">
        <v>7</v>
      </c>
      <c r="Q55" s="6" t="s">
        <v>7</v>
      </c>
      <c r="R55" s="6" t="s">
        <v>7</v>
      </c>
      <c r="S55" s="6" t="s">
        <v>36</v>
      </c>
      <c r="T55" s="6" t="s">
        <v>7</v>
      </c>
      <c r="U55" s="6" t="s">
        <v>7</v>
      </c>
      <c r="V55" s="6" t="s">
        <v>7</v>
      </c>
      <c r="W55" s="6" t="s">
        <v>7</v>
      </c>
      <c r="X55" s="6" t="s">
        <v>7</v>
      </c>
      <c r="Y55" s="6" t="s">
        <v>7</v>
      </c>
      <c r="Z55" s="6" t="s">
        <v>234</v>
      </c>
      <c r="AA55" s="6" t="s">
        <v>65</v>
      </c>
      <c r="AB55" s="6"/>
      <c r="AC55" s="6" t="s">
        <v>4</v>
      </c>
      <c r="AD55" s="6" t="s">
        <v>235</v>
      </c>
      <c r="AE55" s="6" t="s">
        <v>67</v>
      </c>
      <c r="AF55" s="6" t="s">
        <v>15</v>
      </c>
      <c r="AG55" s="6" t="s">
        <v>12</v>
      </c>
      <c r="AH55" s="6" t="s">
        <v>13</v>
      </c>
      <c r="AI55" s="6" t="s">
        <v>14</v>
      </c>
      <c r="AJ55" s="6" t="s">
        <v>15</v>
      </c>
      <c r="AK55" s="6" t="s">
        <v>51</v>
      </c>
      <c r="AL55" s="6" t="s">
        <v>77</v>
      </c>
      <c r="AM55" s="6" t="s">
        <v>14</v>
      </c>
      <c r="AN55" s="6" t="s">
        <v>27</v>
      </c>
      <c r="AO55" s="6" t="s">
        <v>27</v>
      </c>
      <c r="AP55" s="6" t="s">
        <v>27</v>
      </c>
      <c r="AQ55" s="7">
        <f>DATE(2024,10,14)+TIME(23,27,38)</f>
        <v>45579.97752314815</v>
      </c>
    </row>
    <row r="56" spans="1:43" ht="11.25">
      <c r="A56" s="2" t="s">
        <v>236</v>
      </c>
      <c r="B56" s="3"/>
      <c r="C56" s="3" t="s">
        <v>33</v>
      </c>
      <c r="D56" s="3" t="s">
        <v>237</v>
      </c>
      <c r="E56" s="3"/>
      <c r="F56" s="3" t="s">
        <v>20</v>
      </c>
      <c r="G56" s="3" t="s">
        <v>4</v>
      </c>
      <c r="H56" s="3" t="s">
        <v>3</v>
      </c>
      <c r="I56" s="3" t="s">
        <v>3</v>
      </c>
      <c r="J56" s="3" t="s">
        <v>102</v>
      </c>
      <c r="K56" s="3" t="s">
        <v>6</v>
      </c>
      <c r="L56" s="3" t="s">
        <v>6</v>
      </c>
      <c r="M56" s="3" t="s">
        <v>7</v>
      </c>
      <c r="N56" s="3" t="s">
        <v>7</v>
      </c>
      <c r="O56" s="3" t="s">
        <v>6</v>
      </c>
      <c r="P56" s="3" t="s">
        <v>6</v>
      </c>
      <c r="Q56" s="3" t="s">
        <v>6</v>
      </c>
      <c r="R56" s="3" t="s">
        <v>7</v>
      </c>
      <c r="S56" s="3" t="s">
        <v>6</v>
      </c>
      <c r="T56" s="3" t="s">
        <v>7</v>
      </c>
      <c r="U56" s="3" t="s">
        <v>7</v>
      </c>
      <c r="V56" s="3" t="s">
        <v>6</v>
      </c>
      <c r="W56" s="3" t="s">
        <v>6</v>
      </c>
      <c r="X56" s="3" t="s">
        <v>6</v>
      </c>
      <c r="Y56" s="3" t="s">
        <v>6</v>
      </c>
      <c r="Z56" s="3"/>
      <c r="AA56" s="3" t="s">
        <v>8</v>
      </c>
      <c r="AB56" s="3"/>
      <c r="AC56" s="3" t="s">
        <v>238</v>
      </c>
      <c r="AD56" s="3" t="s">
        <v>59</v>
      </c>
      <c r="AE56" s="3" t="s">
        <v>85</v>
      </c>
      <c r="AF56" s="3" t="s">
        <v>25</v>
      </c>
      <c r="AG56" s="3" t="s">
        <v>12</v>
      </c>
      <c r="AH56" s="3" t="s">
        <v>13</v>
      </c>
      <c r="AI56" s="3" t="s">
        <v>14</v>
      </c>
      <c r="AJ56" s="3" t="s">
        <v>25</v>
      </c>
      <c r="AK56" s="3" t="s">
        <v>51</v>
      </c>
      <c r="AL56" s="3" t="s">
        <v>61</v>
      </c>
      <c r="AM56" s="3" t="s">
        <v>14</v>
      </c>
      <c r="AN56" s="3" t="s">
        <v>14</v>
      </c>
      <c r="AO56" s="3" t="s">
        <v>28</v>
      </c>
      <c r="AP56" s="3" t="s">
        <v>27</v>
      </c>
      <c r="AQ56" s="4">
        <f>DATE(2024,12,12)+TIME(13,26,36)</f>
        <v>45638.56013888889</v>
      </c>
    </row>
    <row r="57" spans="1:43" ht="11.25">
      <c r="A57" s="5" t="s">
        <v>239</v>
      </c>
      <c r="B57" s="6"/>
      <c r="C57" s="6" t="s">
        <v>39</v>
      </c>
      <c r="D57" s="6" t="s">
        <v>144</v>
      </c>
      <c r="E57" s="6"/>
      <c r="F57" s="6" t="s">
        <v>4</v>
      </c>
      <c r="G57" s="6" t="s">
        <v>20</v>
      </c>
      <c r="H57" s="6" t="s">
        <v>3</v>
      </c>
      <c r="I57" s="6" t="s">
        <v>3</v>
      </c>
      <c r="J57" s="6" t="s">
        <v>102</v>
      </c>
      <c r="K57" s="6" t="s">
        <v>7</v>
      </c>
      <c r="L57" s="6" t="s">
        <v>7</v>
      </c>
      <c r="M57" s="6" t="s">
        <v>7</v>
      </c>
      <c r="N57" s="6" t="s">
        <v>7</v>
      </c>
      <c r="O57" s="6" t="s">
        <v>7</v>
      </c>
      <c r="P57" s="6" t="s">
        <v>6</v>
      </c>
      <c r="Q57" s="6" t="s">
        <v>7</v>
      </c>
      <c r="R57" s="6" t="s">
        <v>7</v>
      </c>
      <c r="S57" s="6" t="s">
        <v>7</v>
      </c>
      <c r="T57" s="6" t="s">
        <v>7</v>
      </c>
      <c r="U57" s="6" t="s">
        <v>7</v>
      </c>
      <c r="V57" s="6" t="s">
        <v>7</v>
      </c>
      <c r="W57" s="6" t="s">
        <v>7</v>
      </c>
      <c r="X57" s="6" t="s">
        <v>7</v>
      </c>
      <c r="Y57" s="6" t="s">
        <v>7</v>
      </c>
      <c r="Z57" s="6" t="s">
        <v>240</v>
      </c>
      <c r="AA57" s="6" t="s">
        <v>22</v>
      </c>
      <c r="AB57" s="6"/>
      <c r="AC57" s="6" t="s">
        <v>4</v>
      </c>
      <c r="AD57" s="6" t="s">
        <v>241</v>
      </c>
      <c r="AE57" s="6"/>
      <c r="AF57" s="6" t="s">
        <v>25</v>
      </c>
      <c r="AG57" s="6" t="s">
        <v>12</v>
      </c>
      <c r="AH57" s="6" t="s">
        <v>27</v>
      </c>
      <c r="AI57" s="6" t="s">
        <v>14</v>
      </c>
      <c r="AJ57" s="6" t="s">
        <v>25</v>
      </c>
      <c r="AK57" s="6" t="s">
        <v>16</v>
      </c>
      <c r="AL57" s="6" t="s">
        <v>77</v>
      </c>
      <c r="AM57" s="6" t="s">
        <v>14</v>
      </c>
      <c r="AN57" s="6" t="s">
        <v>27</v>
      </c>
      <c r="AO57" s="6" t="s">
        <v>28</v>
      </c>
      <c r="AP57" s="6" t="s">
        <v>27</v>
      </c>
      <c r="AQ57" s="7">
        <f>DATE(2024,9,30)+TIME(9,26,57)</f>
        <v>45565.39371527778</v>
      </c>
    </row>
    <row r="58" spans="1:43" ht="11.25">
      <c r="A58" s="2" t="s">
        <v>242</v>
      </c>
      <c r="B58" s="3"/>
      <c r="C58" s="3" t="s">
        <v>1</v>
      </c>
      <c r="D58" s="3" t="s">
        <v>146</v>
      </c>
      <c r="E58" s="3"/>
      <c r="F58" s="3" t="s">
        <v>3</v>
      </c>
      <c r="G58" s="3" t="s">
        <v>4</v>
      </c>
      <c r="H58" s="3" t="s">
        <v>3</v>
      </c>
      <c r="I58" s="3" t="s">
        <v>3</v>
      </c>
      <c r="J58" s="3" t="s">
        <v>5</v>
      </c>
      <c r="K58" s="3" t="s">
        <v>6</v>
      </c>
      <c r="L58" s="3" t="s">
        <v>36</v>
      </c>
      <c r="M58" s="3" t="s">
        <v>7</v>
      </c>
      <c r="N58" s="3" t="s">
        <v>7</v>
      </c>
      <c r="O58" s="3" t="s">
        <v>6</v>
      </c>
      <c r="P58" s="3" t="s">
        <v>7</v>
      </c>
      <c r="Q58" s="3" t="s">
        <v>7</v>
      </c>
      <c r="R58" s="3" t="s">
        <v>7</v>
      </c>
      <c r="S58" s="3" t="s">
        <v>6</v>
      </c>
      <c r="T58" s="3" t="s">
        <v>6</v>
      </c>
      <c r="U58" s="3" t="s">
        <v>7</v>
      </c>
      <c r="V58" s="3" t="s">
        <v>7</v>
      </c>
      <c r="W58" s="3" t="s">
        <v>6</v>
      </c>
      <c r="X58" s="3" t="s">
        <v>35</v>
      </c>
      <c r="Y58" s="3" t="s">
        <v>7</v>
      </c>
      <c r="Z58" s="3"/>
      <c r="AA58" s="3" t="s">
        <v>243</v>
      </c>
      <c r="AB58" s="3"/>
      <c r="AC58" s="3" t="s">
        <v>49</v>
      </c>
      <c r="AD58" s="3" t="s">
        <v>49</v>
      </c>
      <c r="AE58" s="3" t="s">
        <v>50</v>
      </c>
      <c r="AF58" s="3" t="s">
        <v>25</v>
      </c>
      <c r="AG58" s="3" t="s">
        <v>12</v>
      </c>
      <c r="AH58" s="3" t="s">
        <v>13</v>
      </c>
      <c r="AI58" s="3" t="s">
        <v>27</v>
      </c>
      <c r="AJ58" s="3" t="s">
        <v>15</v>
      </c>
      <c r="AK58" s="3" t="s">
        <v>51</v>
      </c>
      <c r="AL58" s="3" t="s">
        <v>61</v>
      </c>
      <c r="AM58" s="3" t="s">
        <v>14</v>
      </c>
      <c r="AN58" s="3" t="s">
        <v>14</v>
      </c>
      <c r="AO58" s="3" t="s">
        <v>27</v>
      </c>
      <c r="AP58" s="3" t="s">
        <v>14</v>
      </c>
      <c r="AQ58" s="4">
        <f>DATE(2024,11,11)+TIME(15,46,44)</f>
        <v>45607.6574537037</v>
      </c>
    </row>
    <row r="59" spans="1:43" ht="11.25">
      <c r="A59" s="5" t="s">
        <v>244</v>
      </c>
      <c r="B59" s="6"/>
      <c r="C59" s="6" t="s">
        <v>33</v>
      </c>
      <c r="D59" s="6" t="s">
        <v>245</v>
      </c>
      <c r="E59" s="6"/>
      <c r="F59" s="6" t="s">
        <v>20</v>
      </c>
      <c r="G59" s="6" t="s">
        <v>20</v>
      </c>
      <c r="H59" s="6" t="s">
        <v>3</v>
      </c>
      <c r="I59" s="6" t="s">
        <v>20</v>
      </c>
      <c r="J59" s="6" t="s">
        <v>102</v>
      </c>
      <c r="K59" s="6" t="s">
        <v>6</v>
      </c>
      <c r="L59" s="6" t="s">
        <v>6</v>
      </c>
      <c r="M59" s="6" t="s">
        <v>6</v>
      </c>
      <c r="N59" s="6" t="s">
        <v>36</v>
      </c>
      <c r="O59" s="6" t="s">
        <v>6</v>
      </c>
      <c r="P59" s="6" t="s">
        <v>6</v>
      </c>
      <c r="Q59" s="6" t="s">
        <v>6</v>
      </c>
      <c r="R59" s="6" t="s">
        <v>6</v>
      </c>
      <c r="S59" s="6" t="s">
        <v>6</v>
      </c>
      <c r="T59" s="6" t="s">
        <v>36</v>
      </c>
      <c r="U59" s="6" t="s">
        <v>6</v>
      </c>
      <c r="V59" s="6" t="s">
        <v>36</v>
      </c>
      <c r="W59" s="6" t="s">
        <v>36</v>
      </c>
      <c r="X59" s="6" t="s">
        <v>36</v>
      </c>
      <c r="Y59" s="6" t="s">
        <v>6</v>
      </c>
      <c r="Z59" s="6"/>
      <c r="AA59" s="6" t="s">
        <v>246</v>
      </c>
      <c r="AB59" s="6"/>
      <c r="AC59" s="6" t="s">
        <v>247</v>
      </c>
      <c r="AD59" s="6" t="s">
        <v>135</v>
      </c>
      <c r="AE59" s="6" t="s">
        <v>71</v>
      </c>
      <c r="AF59" s="6" t="s">
        <v>11</v>
      </c>
      <c r="AG59" s="6" t="s">
        <v>12</v>
      </c>
      <c r="AH59" s="6" t="s">
        <v>13</v>
      </c>
      <c r="AI59" s="6" t="s">
        <v>27</v>
      </c>
      <c r="AJ59" s="6" t="s">
        <v>25</v>
      </c>
      <c r="AK59" s="6" t="s">
        <v>51</v>
      </c>
      <c r="AL59" s="6" t="s">
        <v>77</v>
      </c>
      <c r="AM59" s="6" t="s">
        <v>14</v>
      </c>
      <c r="AN59" s="6" t="s">
        <v>27</v>
      </c>
      <c r="AO59" s="6" t="s">
        <v>28</v>
      </c>
      <c r="AP59" s="6" t="s">
        <v>14</v>
      </c>
      <c r="AQ59" s="7">
        <f>DATE(2024,10,14)+TIME(15,24,19)</f>
        <v>45579.64188657407</v>
      </c>
    </row>
    <row r="60" spans="1:43" ht="11.25">
      <c r="A60" s="2" t="s">
        <v>248</v>
      </c>
      <c r="B60" s="3"/>
      <c r="C60" s="3" t="s">
        <v>33</v>
      </c>
      <c r="D60" s="3" t="s">
        <v>249</v>
      </c>
      <c r="E60" s="3"/>
      <c r="F60" s="3" t="s">
        <v>20</v>
      </c>
      <c r="G60" s="3" t="s">
        <v>4</v>
      </c>
      <c r="H60" s="3" t="s">
        <v>41</v>
      </c>
      <c r="I60" s="3" t="s">
        <v>47</v>
      </c>
      <c r="J60" s="3" t="s">
        <v>106</v>
      </c>
      <c r="K60" s="3"/>
      <c r="L60" s="3"/>
      <c r="M60" s="3" t="s">
        <v>7</v>
      </c>
      <c r="N60" s="3" t="s">
        <v>6</v>
      </c>
      <c r="O60" s="3" t="s">
        <v>6</v>
      </c>
      <c r="P60" s="3" t="s">
        <v>6</v>
      </c>
      <c r="Q60" s="3" t="s">
        <v>7</v>
      </c>
      <c r="R60" s="3" t="s">
        <v>36</v>
      </c>
      <c r="S60" s="3" t="s">
        <v>36</v>
      </c>
      <c r="T60" s="3" t="s">
        <v>36</v>
      </c>
      <c r="U60" s="3" t="s">
        <v>7</v>
      </c>
      <c r="V60" s="3" t="s">
        <v>36</v>
      </c>
      <c r="W60" s="3" t="s">
        <v>6</v>
      </c>
      <c r="X60" s="3" t="s">
        <v>7</v>
      </c>
      <c r="Y60" s="3" t="s">
        <v>7</v>
      </c>
      <c r="Z60" s="3"/>
      <c r="AA60" s="3" t="s">
        <v>250</v>
      </c>
      <c r="AB60" s="3"/>
      <c r="AC60" s="3" t="s">
        <v>215</v>
      </c>
      <c r="AD60" s="3" t="s">
        <v>93</v>
      </c>
      <c r="AE60" s="3" t="s">
        <v>151</v>
      </c>
      <c r="AF60" s="3" t="s">
        <v>25</v>
      </c>
      <c r="AG60" s="3" t="s">
        <v>12</v>
      </c>
      <c r="AH60" s="3" t="s">
        <v>13</v>
      </c>
      <c r="AI60" s="3" t="s">
        <v>14</v>
      </c>
      <c r="AJ60" s="3" t="s">
        <v>25</v>
      </c>
      <c r="AK60" s="3" t="s">
        <v>16</v>
      </c>
      <c r="AL60" s="3" t="s">
        <v>17</v>
      </c>
      <c r="AM60" s="3" t="s">
        <v>27</v>
      </c>
      <c r="AN60" s="3" t="s">
        <v>27</v>
      </c>
      <c r="AO60" s="3" t="s">
        <v>28</v>
      </c>
      <c r="AP60" s="3" t="s">
        <v>27</v>
      </c>
      <c r="AQ60" s="4">
        <f>DATE(2024,11,12)+TIME(18,2,38)</f>
        <v>45608.7518287037</v>
      </c>
    </row>
  </sheetData>
  <hyperlinks>
    <hyperlink ref="A2" r:id="rId1" display="E4J754Z6F"/>
    <hyperlink ref="A3" r:id="rId2" display="4NL5KN4LS"/>
    <hyperlink ref="A4" r:id="rId3" display="GMJ70M7RF"/>
    <hyperlink ref="A5" r:id="rId4" display="6W5L8WN7X"/>
    <hyperlink ref="A6" r:id="rId5" display="292G8R99I"/>
    <hyperlink ref="A7" r:id="rId6" display="0WZJW562M"/>
    <hyperlink ref="A8" r:id="rId7" display="6W57WLZ4R"/>
    <hyperlink ref="A9" r:id="rId8" display="RRLGR217O"/>
    <hyperlink ref="A10" r:id="rId9" display="ZMJ5MK8LE"/>
    <hyperlink ref="A11" r:id="rId10" display="M60O64LYO"/>
    <hyperlink ref="A12" r:id="rId11" display="P6OM62ENH"/>
    <hyperlink ref="A13" r:id="rId12" display="91571E09E"/>
    <hyperlink ref="A14" r:id="rId13" display="8GODGWL0S"/>
    <hyperlink ref="A15" r:id="rId14" display="5E0MEDZDH"/>
    <hyperlink ref="A16" r:id="rId15" display="292G94KGU"/>
    <hyperlink ref="A17" r:id="rId16" display="NW14WP0YI"/>
    <hyperlink ref="A18" r:id="rId17" display="JQD0Q8YMI"/>
    <hyperlink ref="A19" r:id="rId18" display="GMJKM78JI"/>
    <hyperlink ref="A20" r:id="rId19" display="7NNK1NMNY"/>
    <hyperlink ref="A21" r:id="rId20" display="7NNOJGE9Q"/>
    <hyperlink ref="A22" r:id="rId21" display="NWW47LR9F"/>
    <hyperlink ref="A23" r:id="rId22" display="GMMKGZ1DD"/>
    <hyperlink ref="A24" r:id="rId23" display="199KOYM5N"/>
    <hyperlink ref="A25" r:id="rId24" display="ONNG40Q4Y"/>
    <hyperlink ref="A26" r:id="rId25" display="E44YOZE0U"/>
    <hyperlink ref="A27" r:id="rId26" display="WMMOW24NA"/>
    <hyperlink ref="A28" r:id="rId27" display="K66W5Z2RO"/>
    <hyperlink ref="A29" r:id="rId28" display="6WW72DQQU"/>
    <hyperlink ref="A30" r:id="rId29" display="DGG5EZWZC"/>
    <hyperlink ref="A31" r:id="rId30" display="M66O8ZYDW"/>
    <hyperlink ref="A32" r:id="rId31" display="7NN75Y67Y"/>
    <hyperlink ref="A33" r:id="rId32" display="YEE7O0QPU"/>
    <hyperlink ref="A34" r:id="rId33" display="199KOY05J"/>
    <hyperlink ref="A35" r:id="rId34" display="WMMOW2ENJ"/>
    <hyperlink ref="A36" r:id="rId35" display="0WWJE4LNH"/>
    <hyperlink ref="A37" r:id="rId36" display="L22EYZOJC"/>
    <hyperlink ref="A38" r:id="rId37" display="6WW72DGQS"/>
    <hyperlink ref="A39" r:id="rId38" display="DGG5EZPZV"/>
    <hyperlink ref="A40" r:id="rId39" display="M66O8Z1DS"/>
    <hyperlink ref="A41" r:id="rId40" display="P66M9WN7L"/>
    <hyperlink ref="A42" r:id="rId41" display="YEE7O01PP"/>
    <hyperlink ref="A43" r:id="rId42" display="5EEMNY10Z"/>
    <hyperlink ref="A44" r:id="rId43" display="299G16W9O"/>
    <hyperlink ref="A45" r:id="rId44" display="6WW72D8MD"/>
    <hyperlink ref="A46" r:id="rId45" display="DGG5EZ27U"/>
    <hyperlink ref="A47" r:id="rId46" display="4NNGJYKLQ"/>
    <hyperlink ref="A48" r:id="rId47" display="299G166YM"/>
    <hyperlink ref="A49" r:id="rId48" display="JQQ02ZZGQ"/>
    <hyperlink ref="A50" r:id="rId49" display="199KOYY2E"/>
    <hyperlink ref="A51" r:id="rId50" display="E44YOZZ6Q"/>
    <hyperlink ref="A52" r:id="rId51" display="WMMOW22DM"/>
    <hyperlink ref="A53" r:id="rId52" display="L22EYZZOH"/>
    <hyperlink ref="A54" r:id="rId53" display="ZMM51WW8I"/>
    <hyperlink ref="A55" r:id="rId54" display="P66M9WWJL"/>
    <hyperlink ref="A56" r:id="rId55" display="91178YYJZ"/>
    <hyperlink ref="A57" r:id="rId56" display="ONNG40P5E"/>
    <hyperlink ref="A58" r:id="rId57" display="E44YOZK6S"/>
    <hyperlink ref="A59" r:id="rId58" display="L22EYZ6OV"/>
    <hyperlink ref="A60" r:id="rId59" display="K66W5ZPZW"/>
  </hyperlinks>
  <pageMargins left="0.75" right="0.75" top="1" bottom="1" header="0.5" footer="0.5"/>
  <pageSetup orientation="portrait"/>
  <headerFooter alignWithMargins="0"/>
  <tableParts>
    <tablePart r:id="rId60"/>
  </tableParts>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