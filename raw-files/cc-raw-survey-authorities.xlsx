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tlmonetaryfund-my.sharepoint.com/personal/gsoto_imf_org/Documents/IEO/retreat/"/>
    </mc:Choice>
  </mc:AlternateContent>
  <xr:revisionPtr revIDLastSave="6" documentId="8_{1F06B407-39DB-4332-BDB0-E0D321F3BF91}" xr6:coauthVersionLast="47" xr6:coauthVersionMax="47" xr10:uidLastSave="{24C025A1-2191-4928-B110-2B61875911A1}"/>
  <bookViews>
    <workbookView xWindow="-120" yWindow="-120" windowWidth="29040" windowHeight="15720" xr2:uid="{4E8E7F98-BE31-40C6-B16C-A964743F4F61}"/>
  </bookViews>
  <sheets>
    <sheet name="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L139" i="2" l="1"/>
  <c r="GL138" i="2"/>
  <c r="GL137" i="2"/>
  <c r="GL136" i="2"/>
  <c r="GL135" i="2"/>
  <c r="GL134" i="2"/>
  <c r="GL133" i="2"/>
  <c r="GL132" i="2"/>
  <c r="GL131" i="2"/>
  <c r="GL130" i="2"/>
  <c r="GL129" i="2"/>
  <c r="GL128" i="2"/>
  <c r="GL127" i="2"/>
  <c r="GL126" i="2"/>
  <c r="GL125" i="2"/>
  <c r="GL124" i="2"/>
  <c r="GL123" i="2"/>
  <c r="GL122" i="2"/>
  <c r="GL121" i="2"/>
  <c r="GL120" i="2"/>
  <c r="GL119" i="2"/>
  <c r="GL118" i="2"/>
  <c r="GL117" i="2"/>
  <c r="GL116" i="2"/>
  <c r="GL115" i="2"/>
  <c r="GL114" i="2"/>
  <c r="GL113" i="2"/>
  <c r="GL112" i="2"/>
  <c r="GL111" i="2"/>
  <c r="GL110" i="2"/>
  <c r="GL109" i="2"/>
  <c r="GL108" i="2"/>
  <c r="GL107" i="2"/>
  <c r="GL106" i="2"/>
  <c r="GL105" i="2"/>
  <c r="GL104" i="2"/>
  <c r="GL103" i="2"/>
  <c r="GL102" i="2"/>
  <c r="GL101" i="2"/>
  <c r="GL100" i="2"/>
  <c r="GL99" i="2"/>
  <c r="GL98" i="2"/>
  <c r="GL97" i="2"/>
  <c r="GL96" i="2"/>
  <c r="GL95" i="2"/>
  <c r="GL94" i="2"/>
  <c r="GL93" i="2"/>
  <c r="GL92" i="2"/>
  <c r="GL91" i="2"/>
  <c r="GL90" i="2"/>
  <c r="GL89" i="2"/>
  <c r="GL88" i="2"/>
  <c r="GL87" i="2"/>
  <c r="GL86" i="2"/>
  <c r="GL85" i="2"/>
  <c r="GL84" i="2"/>
  <c r="GL83" i="2"/>
  <c r="GL82" i="2"/>
  <c r="GL81" i="2"/>
  <c r="GL80" i="2"/>
  <c r="GL79" i="2"/>
  <c r="GL78" i="2"/>
  <c r="GL77" i="2"/>
  <c r="GL76" i="2"/>
  <c r="GL75" i="2"/>
  <c r="GL74" i="2"/>
  <c r="GL73" i="2"/>
  <c r="GL72" i="2"/>
  <c r="GL71" i="2"/>
  <c r="GL70" i="2"/>
  <c r="GL69" i="2"/>
  <c r="GL68" i="2"/>
  <c r="GL67" i="2"/>
  <c r="GL66" i="2"/>
  <c r="GL65" i="2"/>
  <c r="GL64" i="2"/>
  <c r="GL63" i="2"/>
  <c r="GL62" i="2"/>
  <c r="GL61" i="2"/>
  <c r="GL60" i="2"/>
  <c r="GL59" i="2"/>
  <c r="GL58" i="2"/>
  <c r="GL57" i="2"/>
  <c r="GL56" i="2"/>
  <c r="GL55" i="2"/>
  <c r="GL54" i="2"/>
  <c r="GL53" i="2"/>
  <c r="GL52" i="2"/>
  <c r="GL51" i="2"/>
  <c r="GL50" i="2"/>
  <c r="GL49" i="2"/>
  <c r="GL48" i="2"/>
  <c r="GL47" i="2"/>
  <c r="GL46" i="2"/>
  <c r="GL45" i="2"/>
  <c r="GL44" i="2"/>
  <c r="GL43" i="2"/>
  <c r="GL42" i="2"/>
  <c r="GL41" i="2"/>
  <c r="GL40" i="2"/>
  <c r="GL39" i="2"/>
  <c r="GL38" i="2"/>
  <c r="GL37" i="2"/>
  <c r="GL36" i="2"/>
  <c r="GL35" i="2"/>
  <c r="GL34" i="2"/>
  <c r="GL33" i="2"/>
  <c r="GL32" i="2"/>
  <c r="GL31" i="2"/>
  <c r="GL30" i="2"/>
  <c r="GL29" i="2"/>
  <c r="GL28" i="2"/>
  <c r="GL27" i="2"/>
  <c r="GL26" i="2"/>
  <c r="GL25" i="2"/>
  <c r="GL24" i="2"/>
  <c r="GL23" i="2"/>
  <c r="GL22" i="2"/>
  <c r="GL21" i="2"/>
  <c r="GL20" i="2"/>
  <c r="GL19" i="2"/>
  <c r="GL18" i="2"/>
  <c r="GL17" i="2"/>
  <c r="GL16" i="2"/>
  <c r="GL15" i="2"/>
  <c r="GL14" i="2"/>
  <c r="GL13" i="2"/>
  <c r="GL12" i="2"/>
  <c r="GL11" i="2"/>
  <c r="GL10" i="2"/>
  <c r="GL9" i="2"/>
  <c r="GL8" i="2"/>
  <c r="GL7" i="2"/>
  <c r="GL6" i="2"/>
  <c r="GL5" i="2"/>
  <c r="GL4" i="2"/>
  <c r="GL3" i="2"/>
  <c r="GL2" i="2"/>
</calcChain>
</file>

<file path=xl/sharedStrings.xml><?xml version="1.0" encoding="utf-8"?>
<sst xmlns="http://schemas.openxmlformats.org/spreadsheetml/2006/main" count="14443" uniqueCount="905">
  <si>
    <t>First Name</t>
  </si>
  <si>
    <t>Last Name</t>
  </si>
  <si>
    <t>Email Address</t>
  </si>
  <si>
    <t>Response Code</t>
  </si>
  <si>
    <t>A. Demographics</t>
  </si>
  <si>
    <t>1. Select the OED you represent.</t>
  </si>
  <si>
    <t>1.1. Please select the country you are responding for.</t>
  </si>
  <si>
    <t>1.2. Please select the country you are responding for.</t>
  </si>
  <si>
    <t>1.3. Please select the country you are responding for.</t>
  </si>
  <si>
    <t>1.4. Please select the country you are responding for.</t>
  </si>
  <si>
    <t>1.5. Please select the country you are responding for.</t>
  </si>
  <si>
    <t>1.6. Please select the country you are responding for.</t>
  </si>
  <si>
    <t>1.7. Please select the country you are responding for.</t>
  </si>
  <si>
    <t>1.8. Please select the country you are responding for.</t>
  </si>
  <si>
    <t>1.9. Please select the country you are responding for.</t>
  </si>
  <si>
    <t>1.10. Please select the country you are responding for.</t>
  </si>
  <si>
    <t>1.11. Please select the country you are responding for.</t>
  </si>
  <si>
    <t>1.12. Please select the country you are responding for.</t>
  </si>
  <si>
    <t>1.13. Please select the country you are responding for.</t>
  </si>
  <si>
    <t>1.14. Please select the country you are responding for.</t>
  </si>
  <si>
    <t>1.15. Please select the country you are responding for.</t>
  </si>
  <si>
    <t>1.16. Please select the country you are responding for.</t>
  </si>
  <si>
    <t>1.17. Please select the country you are responding for.</t>
  </si>
  <si>
    <t>1.18. Please select the country you are responding for.</t>
  </si>
  <si>
    <t>1.19. Please select the country you are responding for.</t>
  </si>
  <si>
    <t>1.20. Please select the country you are responding for.</t>
  </si>
  <si>
    <t>1.21. Please select the country you are responding for.</t>
  </si>
  <si>
    <t>1.22. Please select the country you are responding for.</t>
  </si>
  <si>
    <t>1.23. Please select the country you are responding for.</t>
  </si>
  <si>
    <t>1.24. Please select the country you are responding for.</t>
  </si>
  <si>
    <t>1.25. Please select the country you are responding for.</t>
  </si>
  <si>
    <t>Please select the country you are responding for. (Merged)</t>
  </si>
  <si>
    <t>2. Which statement best reflects your country’s view regarding the extent to which the IMF should engage on climate change-related issues going forward, compared to the evaluation period (2021-2025)?</t>
  </si>
  <si>
    <t>3. To what extent does your country believe the following IMF outputs and activities have created value added for your country in the area of climate change?: Article IV consultations and Selected Issues Papers (SIPs)</t>
  </si>
  <si>
    <t>3. To what extent does your country believe the following IMF outputs and activities have created value added for your country in the area of climate change?: Flagship reports (e.g., World Economic Outlook (WEO), Fiscal Monitor (FM), Global Financial Stab</t>
  </si>
  <si>
    <t>3. To what extent does your country believe the following IMF outputs and activities have created value added for your country in the area of climate change?: Financial Sector Assessment Programs (FSAPs)</t>
  </si>
  <si>
    <t>3. To what extent does your country believe the following IMF outputs and activities have created value added for your country in the area of climate change?: Research and analytical work (e.g., working papers, books, and staff climate notes)</t>
  </si>
  <si>
    <t>3. To what extent does your country believe the following IMF outputs and activities have created value added for your country in the area of climate change?: Climate-related models and tools (e.g., Climate Policy Assessment Tool (CPAT), Debt-Investment-G</t>
  </si>
  <si>
    <t>3. To what extent does your country believe the following IMF outputs and activities have created value added for your country in the area of climate change?: Resilience and Sustainability Facility (RSF)</t>
  </si>
  <si>
    <t>3. To what extent does your country believe the following IMF outputs and activities have created value added for your country in the area of climate change?: Climate finance mobilization (e.g., climate finance roundtables)</t>
  </si>
  <si>
    <t>3. To what extent does your country believe the following IMF outputs and activities have created value added for your country in the area of climate change?: Technical assistance (e.g., Climate Policy Diagnostic (CPD) and Climate-module of Public Investm</t>
  </si>
  <si>
    <t>3. To what extent does your country believe the following IMF outputs and activities have created value added for your country in the area of climate change?: Training courses (e.g., The Macroeconomics of Climate Change)</t>
  </si>
  <si>
    <t>3. To what extent does your country believe the following IMF outputs and activities have created value added for your country in the area of climate change?: Climate data (e.g., the Climate Change Indicators Dashboard)</t>
  </si>
  <si>
    <t>3. To what extent does your country believe the following IMF outputs and activities have created value added for your country in the area of climate change?: Climate advocacy efforts at the national, regional, and global levels</t>
  </si>
  <si>
    <t>B. Surveillance</t>
  </si>
  <si>
    <t>4. Based on your country’s experience in the context of Article IV consultations, to what extent has IMF surveillance of climate change-related issues:: Been requested by your country</t>
  </si>
  <si>
    <t>4. Based on your country’s experience in the context of Article IV consultations, to what extent has IMF surveillance of climate change-related issues:: Been integrated within traditional IMF core policy areas (i.e., exchange rate, monetary, fiscal, and f</t>
  </si>
  <si>
    <t>4. Based on your country’s experience in the context of Article IV consultations, to what extent has IMF surveillance of climate change-related issues:: Crowded out other areas of work</t>
  </si>
  <si>
    <t>4. Based on your country’s experience in the context of Article IV consultations, to what extent has IMF surveillance of climate change-related issues:: Enhanced your country’s understanding of the issues</t>
  </si>
  <si>
    <t>4. Based on your country’s experience in the context of Article IV consultations, to what extent has IMF surveillance of climate change-related issues:: Had traction (e.g., contributed to policy formulation)</t>
  </si>
  <si>
    <t>4. Based on your country’s experience in the context of Article IV consultations, to what extent has IMF surveillance of climate change-related issues:: Been conducted in a manner consistent with the principle of uniformity of treatment across countries</t>
  </si>
  <si>
    <t>5. Based on your country’s experience in the context of flagship reports (e.g., World Economic Outlook (WEO), Fiscal Monitor (FM), Global Financial Stability Report (GFSR), Regional Economic Outlook (REO)), to what extent has IMF surveillance of climate c</t>
  </si>
  <si>
    <t>5. Based on your country’s experience in the context of flagship reports (e.g., World Economic Outlook (WEO), Fiscal Monitor (FM), Global Financial Stability Report (GFSR), Regional Economic Outlook (REO)), to what extent has IMF surveillance of clim (2)</t>
  </si>
  <si>
    <t>5. Based on your country’s experience in the context of flagship reports (e.g., World Economic Outlook (WEO), Fiscal Monitor (FM), Global Financial Stability Report (GFSR), Regional Economic Outlook (REO)), to what extent has IMF surveillance of clim (3)</t>
  </si>
  <si>
    <t>5. Based on your country’s experience in the context of flagship reports (e.g., World Economic Outlook (WEO), Fiscal Monitor (FM), Global Financial Stability Report (GFSR), Regional Economic Outlook (REO)), to what extent has IMF surveillance of clim (4)</t>
  </si>
  <si>
    <t>5. Based on your country’s experience in the context of flagship reports (e.g., World Economic Outlook (WEO), Fiscal Monitor (FM), Global Financial Stability Report (GFSR), Regional Economic Outlook (REO)), to what extent has IMF surveillance of clim (5)</t>
  </si>
  <si>
    <t>6. Based on your country’s experience in the context of FSAPs, to what extent has IMF surveillance of climate change-related issues:: Been requested by your country</t>
  </si>
  <si>
    <t>6. Based on your country’s experience in the context of FSAPs, to what extent has IMF surveillance of climate change-related issues:: Crowded out other areas of work</t>
  </si>
  <si>
    <t>6. Based on your country’s experience in the context of FSAPs, to what extent has IMF surveillance of climate change-related issues:: Enhanced your country’s understanding of the issues</t>
  </si>
  <si>
    <t>6. Based on your country’s experience in the context of FSAPs, to what extent has IMF surveillance of climate change-related issues:: Had traction (e.g., contributed to policy formulation)</t>
  </si>
  <si>
    <t>6. Based on your country’s experience in the context of FSAPs, to what extent has IMF surveillance of climate change-related issues:: Been conducted in a manner consistent with the principle of uniformity of treatment across countries</t>
  </si>
  <si>
    <t xml:space="preserve">7. Based on your country’s experience in the context of research and analytical work (e.g., working papers, books, and staff climate notes) to what extent has IMF surveillance of climate change-related issues:: Been integrated within traditional IMF core </t>
  </si>
  <si>
    <t>7. Based on your country’s experience in the context of research and analytical work (e.g., working papers, books, and staff climate notes) to what extent has IMF surveillance of climate change-related issues:: Crowded out other areas of work</t>
  </si>
  <si>
    <t>7. Based on your country’s experience in the context of research and analytical work (e.g., working papers, books, and staff climate notes) to what extent has IMF surveillance of climate change-related issues:: Enhanced your country’s understanding of the</t>
  </si>
  <si>
    <t>7. Based on your country’s experience in the context of research and analytical work (e.g., working papers, books, and staff climate notes) to what extent has IMF surveillance of climate change-related issues:: Had traction (e.g., contributed to policy fo</t>
  </si>
  <si>
    <t>7. Based on your country’s experience in the context of research and analytical work (e.g., working papers, books, and staff climate notes) to what extent has IMF surveillance of climate change-related issues:: Been conducted in a manner consistent with t</t>
  </si>
  <si>
    <t>8. Based on your country’s experience in the context of surveillance (i.e., Article IV consultations, flagship reports, FSAPs, and research and analytical work), to what extent did IMF staff draw on resources or collaborate with staff from the following e</t>
  </si>
  <si>
    <t>8. Based on your country’s experience in the context of surveillance (i.e., Article IV consultations, flagship reports, FSAPs, and research and analytical work), to what extent did IMF staff draw on resources or collaborate with staff from the follow (2)</t>
  </si>
  <si>
    <t>8. Based on your country’s experience in the context of surveillance (i.e., Article IV consultations, flagship reports, FSAPs, and research and analytical work), to what extent did IMF staff draw on resources or collaborate with staff from the follow (3)</t>
  </si>
  <si>
    <t>8. Based on your country’s experience in the context of surveillance (i.e., Article IV consultations, flagship reports, FSAPs, and research and analytical work), to what extent did IMF staff draw on resources or collaborate with staff from the follow (4)</t>
  </si>
  <si>
    <t>8.1. Please specify 'Other' from above.</t>
  </si>
  <si>
    <t>9. Which statement best reflects your country’s view regarding the extent to which the IMF’s resources dedicated to surveillance of climate change-related issues were appropriate during the evaluation period (2021-2025)?</t>
  </si>
  <si>
    <t>10. In your country’s view and looking ahead, to what extent should the IMF cover the following types of climate change-related issues in the following surveillance outputs?: Adaptation issues in Article IV consultations</t>
  </si>
  <si>
    <t>10. In your country’s view and looking ahead, to what extent should the IMF cover the following types of climate change-related issues in the following surveillance outputs?: Mitigation issues in Article IV consultations</t>
  </si>
  <si>
    <t>10. In your country’s view and looking ahead, to what extent should the IMF cover the following types of climate change-related issues in the following surveillance outputs?: Transition issues in Article IV consultations</t>
  </si>
  <si>
    <t>10. In your country’s view and looking ahead, to what extent should the IMF cover the following types of climate change-related issues in the following surveillance outputs?: Adaptation issues in Flagship reports</t>
  </si>
  <si>
    <t>10. In your country’s view and looking ahead, to what extent should the IMF cover the following types of climate change-related issues in the following surveillance outputs?: Mitigation issues in Flagship reports</t>
  </si>
  <si>
    <t>10. In your country’s view and looking ahead, to what extent should the IMF cover the following types of climate change-related issues in the following surveillance outputs?: Transition issues in Flagship reports</t>
  </si>
  <si>
    <t>10. In your country’s view and looking ahead, to what extent should the IMF cover the following types of climate change-related issues in the following surveillance outputs?: Adaptation issues in FSAPs</t>
  </si>
  <si>
    <t>10. In your country’s view and looking ahead, to what extent should the IMF cover the following types of climate change-related issues in the following surveillance outputs?: Mitigation issues in FSAPs</t>
  </si>
  <si>
    <t>10. In your country’s view and looking ahead, to what extent should the IMF cover the following types of climate change-related issues in the following surveillance outputs?: Transition issues in FSAPs</t>
  </si>
  <si>
    <t>10. In your country’s view and looking ahead, to what extent should the IMF cover the following types of climate change-related issues in the following surveillance outputs?: Adaptation issues in Research and analytical work</t>
  </si>
  <si>
    <t>10. In your country’s view and looking ahead, to what extent should the IMF cover the following types of climate change-related issues in the following surveillance outputs?: Mitigation issues in Research and analytical work</t>
  </si>
  <si>
    <t>10. In your country’s view and looking ahead, to what extent should the IMF cover the following types of climate change-related issues in the following surveillance outputs?: Transition issues in Research and analytical work</t>
  </si>
  <si>
    <t>C. Lending</t>
  </si>
  <si>
    <t>11. Did your country receive support from the IMF under any of the following facilities during the evaluation period (2021-2025)?: Resilience and Sustainability Facility (RSF)</t>
  </si>
  <si>
    <t>11. Did your country receive support from the IMF under any of the following facilities during the evaluation period (2021-2025)?: Other IMF Facilities (e.g. ECF, EFF, FCL, PCI, PLL, RCF, RFI, SBA, SCF, SLL, SMP (including PMB))</t>
  </si>
  <si>
    <t>11.1. Based on your country’s experience with an RSF arrangement, to what extent:: Have climate change-related issues been integrated within traditional IMF core policy areas (i.e., exchange rate, monetary, fiscal, and financial sector)</t>
  </si>
  <si>
    <t>11.1. Based on your country’s experience with an RSF arrangement, to what extent:: Have the Reform Measures (RMs) been tailored to your country’s capacity and political economy context</t>
  </si>
  <si>
    <t>11.1. Based on your country’s experience with an RSF arrangement, to what extent:: Have the RMs reflected an adequate level of ambition</t>
  </si>
  <si>
    <t>11.1. Based on your country’s experience with an RSF arrangement, to what extent:: Were the RMs already on your country’s agenda before the RSF</t>
  </si>
  <si>
    <t>11.1. Based on your country’s experience with an RSF arrangement, to what extent:: Did the RMs balance your country’s adaptation, mitigation, and transition priorities</t>
  </si>
  <si>
    <t>11.1. Based on your country’s experience with an RSF arrangement, to what extent:: Did the IMF provide TA to support the RMs</t>
  </si>
  <si>
    <t>11.1. Based on your country’s experience with an RSF arrangement, to what extent:: Were the access levels determined based on clear criteria</t>
  </si>
  <si>
    <t>11.1. Based on your country’s experience with an RSF arrangement, to what extent:: Were access levels determined in accordance with the principle of uniformity of treatment</t>
  </si>
  <si>
    <t>11.1. Based on your country’s experience with an RSF arrangement, to what extent:: Were the financing amounts approved aligned with the criticality, ambition, and depth of the RMs</t>
  </si>
  <si>
    <t>11.1. Based on your country’s experience with an RSF arrangement, to what extent:: Did the RSF arrangement exhibit strong country ownership</t>
  </si>
  <si>
    <t>11.1. Based on your country’s experience with an RSF arrangement, to what extent:: Did IMF staff possess sufficient expertise to support the design and implementation of the RMs</t>
  </si>
  <si>
    <t>11.1. Based on your country’s experience with an RSF arrangement, to what extent:: Did the RSF arrangement have a catalytic effect</t>
  </si>
  <si>
    <t>11.1. Based on your country’s experience with an RSF arrangement, to what extent:: Could the objectives of the RSF arrangement be achieved using alternative IMF facilities and/or through other partners</t>
  </si>
  <si>
    <t>11.1. Based on your country’s experience with an RSF arrangement, to what extent:: Did the RSF arrangement provide value added for your country</t>
  </si>
  <si>
    <t>11.1. Based on your country’s experience with an RSF arrangement, to what extent:: Did the RSF arrangement fulfill your country’s initial expectations and objectives</t>
  </si>
  <si>
    <t>11.1. Based on your country’s experience with an RSF arrangement, to what extent:: Would your country be willing to enter a subsequent arrangement under the RSF</t>
  </si>
  <si>
    <t>11.1. Based on your country’s experience with an RSF arrangement, to what extent:: Was IMF collaboration and coordination with partners (e.g., MDBs) effective in the design and implementation of the arrangement</t>
  </si>
  <si>
    <t>11.1. Based on your country’s experience with an RSF arrangement, to what extent:: Have climate finance roundtables played a role in catalyzing additional resources</t>
  </si>
  <si>
    <t>11.2. Based on your country's experience with an RSF arrangement, please indicate what the financing was used for.: Additional new spending</t>
  </si>
  <si>
    <t>11.2. Based on your country's experience with an RSF arrangement, please indicate what the financing was used for.: Existing planned spending (substituting for other financing)</t>
  </si>
  <si>
    <t>11.2. Based on your country's experience with an RSF arrangement, please indicate what the financing was used for.: Refinancing existing borrowing</t>
  </si>
  <si>
    <t>11.2. Based on your country's experience with an RSF arrangement, please indicate what the financing was used for.: Building reserves</t>
  </si>
  <si>
    <t>11.2. Based on your country's experience with an RSF arrangement, please indicate what the financing was used for.: Climate change-related policies</t>
  </si>
  <si>
    <t>11.2. Based on your country's experience with an RSF arrangement, please indicate what the financing was used for.: Other (please specify)</t>
  </si>
  <si>
    <t>11.3. Based on your country’s experience with an RSF arrangement, and considering the facility’s climate change-focused objectives, to what extent:: Has the arrangement contributed to covering any shorter-term balance of payments (BoP)/ fiscal needs direc</t>
  </si>
  <si>
    <t>11.3. Based on your country’s experience with an RSF arrangement, and considering the facility’s climate change-focused objectives, to what extent:: Has the arrangement increased policy space for fiscal spending and reforms associated with climate change-</t>
  </si>
  <si>
    <t>11.3. Based on your country’s experience with an RSF arrangement, and considering the facility’s climate change-focused objectives, to what extent:: Has the arrangement augmented longer-term buffers to strengthen your country’s ability to face climate cha</t>
  </si>
  <si>
    <t>11.4. Based on your country’s experience with an RSF arrangement, to what extent did IMF staff draw on resources or collaborate with staff from the following external partner organizations when carrying out their work during the evaluation period (2021-20</t>
  </si>
  <si>
    <t>11.4. Based on your country’s experience with an RSF arrangement, to what extent did IMF staff draw on resources or collaborate with staff from the following external partner organizations when carrying out their work during the evaluation period (20 (2)</t>
  </si>
  <si>
    <t>11.4. Based on your country’s experience with an RSF arrangement, to what extent did IMF staff draw on resources or collaborate with staff from the following external partner organizations when carrying out their work during the evaluation period (20 (3)</t>
  </si>
  <si>
    <t>11.4. Based on your country’s experience with an RSF arrangement, to what extent did IMF staff draw on resources or collaborate with staff from the following external partner organizations when carrying out their work during the evaluation period (20 (4)</t>
  </si>
  <si>
    <t>11.4.1. Please specify 'Other' from above.</t>
  </si>
  <si>
    <t>12. Please indicate the reasons why your country has not had an arrangement under the RSF:: My country is not eligible for an RSF arrangement</t>
  </si>
  <si>
    <t>12. Please indicate the reasons why your country has not had an arrangement under the RSF:: Climate change does not pose a major balance of payments risk in my country</t>
  </si>
  <si>
    <t>12. Please indicate the reasons why your country has not had an arrangement under the RSF:: Insufficient administrative capacity to implement an IMF   program concurrent with an RSF arrangement</t>
  </si>
  <si>
    <t>12. Please indicate the reasons why your country has not had an arrangement under the RSF:: More convenient alternative financing options</t>
  </si>
  <si>
    <t>12. Please indicate the reasons why your country has not had an arrangement under the RSF:: My country requested an RSF arrangement but it has not been approved yet or the request did not progress</t>
  </si>
  <si>
    <t>12. Please indicate the reasons why your country has not had an arrangement under the RSF:: An RSF arrangement would have been useful, but my country had no balance of payments issues/did not need/was not willing to commit to the underlying UCT program</t>
  </si>
  <si>
    <t>12. Please indicate the reasons why your country has not had an arrangement under the RSF:: Other (please specify)</t>
  </si>
  <si>
    <t>13. Did your country receive any climate change-related financing from non-IMF sources over the evaluation period (2021-2025)?</t>
  </si>
  <si>
    <t>13.1. Please indicate from which non-IMF sources your country received climate change-related financing.: World Bank Group</t>
  </si>
  <si>
    <t>13.1. Please indicate from which non-IMF sources your country received climate change-related financing.: Regional development banks</t>
  </si>
  <si>
    <t>13.1. Please indicate from which non-IMF sources your country received climate change-related financing.: Bilateral sources</t>
  </si>
  <si>
    <t>13.1. Please indicate from which non-IMF sources your country received climate change-related financing.: Private sources</t>
  </si>
  <si>
    <t>13.1. Please indicate from which non-IMF sources your country received climate change-related financing.: Other (please specify)</t>
  </si>
  <si>
    <t>13.2. Based on your country’s experience with climate change-related financing from non-IMF sources to what extent:: Does the RSF provide better financing terms compared to non-IMF sources</t>
  </si>
  <si>
    <t>13.2. Based on your country’s experience with climate change-related financing from non-IMF sources to what extent:: Is the RSF more accessible in terms of eligibility criteria and application process relative to non-IMF sources</t>
  </si>
  <si>
    <t>13.2. Based on your country’s experience with climate change-related financing from non-IMF sources to what extent:: Is the RSF a more suitable instrument to achieve climate change-related goals than non-IMF sources</t>
  </si>
  <si>
    <t>14. In your country’s view, with regards to the design of the RSF instrument, to what extent:: Is the requirement of an underlying UCT program an adequate feature</t>
  </si>
  <si>
    <t>14. In your country’s view, with regards to the design of the RSF instrument, to what extent:: Does it balance the short duration of the implementation phase and long-term climate change goals</t>
  </si>
  <si>
    <t>14. In your country’s view, with regards to the design of the RSF instrument, to what extent:: Does it incorporate an adequate framework to follow up on RMs’ objectives, and outcomes after program completion</t>
  </si>
  <si>
    <t>14. In your country’s view, with regards to the design of the RSF instrument, to what extent:: Does it provide attractive financing terms</t>
  </si>
  <si>
    <t>15. In your country’s view, with regards to the future of the RSF, to what extent:: Should the cumulative access level cap be raised (from the smaller of 150 percent of quota or SDR 1 billion), enabling countries that have reached the current cap to be el</t>
  </si>
  <si>
    <t>15. In your country’s view, with regards to the future of the RSF, to what extent:: Should the scope be broadened to address longer-term structural challenges beyond climate change-related and pandemic preparedness issues</t>
  </si>
  <si>
    <t>15. In your country’s view, with regards to the future of the RSF, to what extent:: Should the duration of the implementation period be extended to support more ambitious and sustained RMs</t>
  </si>
  <si>
    <t>16. Based on your country’s experience in the context of non-RSF IMF facilities, to what extent: Have climate change-related issues been integrated within traditional core policy areas (i.e., exchange rate, monetary, fiscal, and financial sector)</t>
  </si>
  <si>
    <t>16. Based on your country’s experience in the context of non-RSF IMF facilities, to what extent: Have climate change-related issues crowded out other considerations in program design</t>
  </si>
  <si>
    <t>16. Based on your country’s experience in the context of non-RSF IMF facilities, to what extent: Would it be feasible to achieve climate change-related objectives using non-RSF facilities</t>
  </si>
  <si>
    <t>D. Capacity Development</t>
  </si>
  <si>
    <t>17. Technical Assistance</t>
  </si>
  <si>
    <t>18. Training</t>
  </si>
  <si>
    <t>D. Capacity Development Continued</t>
  </si>
  <si>
    <t>19. Based on your country’s experience, to what extent has IMF climate change-related technical assistance been initiated by:: Your country</t>
  </si>
  <si>
    <t>19. Based on your country’s experience, to what extent has IMF climate change-related technical assistance been initiated by:: An IMF area department</t>
  </si>
  <si>
    <t>19. Based on your country’s experience, to what extent has IMF climate change-related technical assistance been initiated by:: An IMF functional department</t>
  </si>
  <si>
    <t>19. Based on your country’s experience, to what extent has IMF climate change-related technical assistance been initiated by:: Other (please specify below)</t>
  </si>
  <si>
    <t>19.1. Please specify 'other' from above.</t>
  </si>
  <si>
    <t>20. Based on your country’s experience, to what extent has IMF climate change-related technical assistance:: Been integrated within traditional IMF core policy areas (i.e., exchange rate, monetary, fiscal, and financial sector)?</t>
  </si>
  <si>
    <t>20. Based on your country’s experience, to what extent has IMF climate change-related technical assistance:: Crowded out technical assistance on other policy areas</t>
  </si>
  <si>
    <t>20. Based on your country’s experience, to what extent has IMF climate change-related technical assistance:: Been tailored to your country’s specific circumstances</t>
  </si>
  <si>
    <t>20. Based on your country’s experience, to what extent has IMF climate change-related technical assistance:: Been effective in building institutional capacity</t>
  </si>
  <si>
    <t>20. Based on your country’s experience, to what extent has IMF climate change-related technical assistance:: Been mutually reinforcing and well-coordinated with IMF surveillance</t>
  </si>
  <si>
    <t>20. Based on your country’s experience, to what extent has IMF climate change-related technical assistance:: Been mutually reinforcing and well-coordinated with IMF lending</t>
  </si>
  <si>
    <t>20. Based on your country’s experience, to what extent has IMF climate change-related technical assistance:: Been monitored for its results</t>
  </si>
  <si>
    <t>20. Based on your country’s experience, to what extent has IMF climate change-related technical assistance:: Been assessed for its effectiveness</t>
  </si>
  <si>
    <t>20. Based on your country’s experience, to what extent has IMF climate change-related technical assistance:: Had follow-up engagement to support its implementation</t>
  </si>
  <si>
    <t>21. Based on your country’s experience, to what extent has IMF-provided climate change-related training:: Been available to your country</t>
  </si>
  <si>
    <t>21. Based on your country’s experience, to what extent has IMF-provided climate change-related training:: Been integrated within traditional IMF core policy areas (i.e., exchange rate, monetary, fiscal, and financial sector)</t>
  </si>
  <si>
    <t>21. Based on your country’s experience, to what extent has IMF-provided climate change-related training:: Crowded out training on other policy areas</t>
  </si>
  <si>
    <t>21. Based on your country’s experience, to what extent has IMF-provided climate change-related training:: Been tailored to your country’s specific circumstances</t>
  </si>
  <si>
    <t>21. Based on your country’s experience, to what extent has IMF-provided climate change-related training:: Been effective in building institutional capacity</t>
  </si>
  <si>
    <t>21. Based on your country’s experience, to what extent has IMF-provided climate change-related training:: Been mutually reinforcing and well-coordinated with IMF surveillance</t>
  </si>
  <si>
    <t>21. Based on your country’s experience, to what extent has IMF-provided climate change-related training:: Been mutually reinforcing and well-coordinated with IMF lending</t>
  </si>
  <si>
    <t>21. Based on your country’s experience, to what extent has IMF-provided climate change-related training:: Been monitored for its results</t>
  </si>
  <si>
    <t>21. Based on your country’s experience, to what extent has IMF-provided climate change-related training:: Been assessed for its effectiveness</t>
  </si>
  <si>
    <t>21. Based on your country’s experience, to what extent has IMF-provided climate change-related training:: Had follow-up engagement to support its implementation</t>
  </si>
  <si>
    <t>22. Based on your country’s experience in the context of capacity development (i.e., technical assistance and training), to what extent did IMF staff draw on resources or collaborate with staff from the following external partner organizations when carryi</t>
  </si>
  <si>
    <t>22. Based on your country’s experience in the context of capacity development (i.e., technical assistance and training), to what extent did IMF staff draw on resources or collaborate with staff from the following external partner organizations when c (2)</t>
  </si>
  <si>
    <t>22. Based on your country’s experience in the context of capacity development (i.e., technical assistance and training), to what extent did IMF staff draw on resources or collaborate with staff from the following external partner organizations when c (3)</t>
  </si>
  <si>
    <t>22. Based on your country’s experience in the context of capacity development (i.e., technical assistance and training), to what extent did IMF staff draw on resources or collaborate with staff from the following external partner organizations when c (4)</t>
  </si>
  <si>
    <t>22.1. Please specify 'other' from above.</t>
  </si>
  <si>
    <t>23. Which statement best reflects your country’s view regarding the extent to which the IMF’s resources dedicated to climate change-related capacity development were appropriate during the evaluation period (2021-2025)?</t>
  </si>
  <si>
    <t>E. Overall Views</t>
  </si>
  <si>
    <t>24. To what extent does your country believe the IMF has a comparative advantage in the following areas and therefore should work on them in the future?: Mobilizing climate finance, including through the catalytic effect of IMF lending and climate finance</t>
  </si>
  <si>
    <t>24. To what extent does your country believe the IMF has a comparative advantage in the following areas and therefore should work on them in the future?: Contributing to inter-institutional coordination, including through the climate roundtables and clima</t>
  </si>
  <si>
    <t>24. To what extent does your country believe the IMF has a comparative advantage in the following areas and therefore should work on them in the future?: Integrating climate and macroeconomic policy (technical and analytical work)</t>
  </si>
  <si>
    <t>24. To what extent does your country believe the IMF has a comparative advantage in the following areas and therefore should work on them in the future?: Facilitating international climate policy coordination on adaptation, mitigation, and transition mana</t>
  </si>
  <si>
    <t>24. To what extent does your country believe the IMF has a comparative advantage in the following areas and therefore should work on them in the future?: Other (please specify below)</t>
  </si>
  <si>
    <t>24.1. Please specify 'other' from above.</t>
  </si>
  <si>
    <t>25. In your view, to what extent should the IMF prioritize in its work the following newer policy areas?: Artificial Intelligence (AI)</t>
  </si>
  <si>
    <t>25. In your view, to what extent should the IMF prioritize in its work the following newer policy areas?: Climate Change</t>
  </si>
  <si>
    <t>25. In your view, to what extent should the IMF prioritize in its work the following newer policy areas?: Digital Money</t>
  </si>
  <si>
    <t>25. In your view, to what extent should the IMF prioritize in its work the following newer policy areas?: Gender</t>
  </si>
  <si>
    <t>25. In your view, to what extent should the IMF prioritize in its work the following newer policy areas?: Governance</t>
  </si>
  <si>
    <t>25. In your view, to what extent should the IMF prioritize in its work the following newer policy areas?: Social spending</t>
  </si>
  <si>
    <t>26. Please share any other views your country has regarding how the IMF has or should engage on climate change-related issues.</t>
  </si>
  <si>
    <t>Completed Date (GMT-05:00) Eastern [US &amp; Canada]</t>
  </si>
  <si>
    <t>Abdoulaye</t>
  </si>
  <si>
    <t>Tall</t>
  </si>
  <si>
    <t>ATall@imf.org</t>
  </si>
  <si>
    <t>6WNL770QQ</t>
  </si>
  <si>
    <t>OEDAW</t>
  </si>
  <si>
    <t>Guinea-Bissau</t>
  </si>
  <si>
    <t>The IMF should engage less on climate change-related issues</t>
  </si>
  <si>
    <t>To a great extent</t>
  </si>
  <si>
    <t>To a moderate extent</t>
  </si>
  <si>
    <t>To a slight extent</t>
  </si>
  <si>
    <t>Don’t know or not applicable</t>
  </si>
  <si>
    <t>Not at all</t>
  </si>
  <si>
    <t>The IMF dedicated an appropriate amount of resources</t>
  </si>
  <si>
    <t>No</t>
  </si>
  <si>
    <t>Yes</t>
  </si>
  <si>
    <t>Insufficient administrative capacity to implement an IMF   program concurrent with an RSF arrangement</t>
  </si>
  <si>
    <t>The IMF should have dedicated more resources</t>
  </si>
  <si>
    <t>E4M71845I</t>
  </si>
  <si>
    <t>Mali</t>
  </si>
  <si>
    <t>The IMF should engage more on climate change-related issues</t>
  </si>
  <si>
    <t>My country requested an RSF arrangement but it has not been approved yet or the request did not progress</t>
  </si>
  <si>
    <t>L278M191G</t>
  </si>
  <si>
    <t>Niger</t>
  </si>
  <si>
    <t>Climate change-related policies</t>
  </si>
  <si>
    <t>Green Fund; Bilateral donors</t>
  </si>
  <si>
    <t>Bilateral sources</t>
  </si>
  <si>
    <t>Private sources</t>
  </si>
  <si>
    <t>pam</t>
  </si>
  <si>
    <t>irzoda</t>
  </si>
  <si>
    <t>pamirzoda@imf.org</t>
  </si>
  <si>
    <t>RRYW8G0MB</t>
  </si>
  <si>
    <t>OEDSZ</t>
  </si>
  <si>
    <t>Tajikistan</t>
  </si>
  <si>
    <t>Other (please specify) : From 2020 Tajikistan has the RCF and PCI programs with the IMF</t>
  </si>
  <si>
    <t>Don't know</t>
  </si>
  <si>
    <t>Boonrith</t>
  </si>
  <si>
    <t>Pongrasamiroj</t>
  </si>
  <si>
    <t>bpongrasamiroj@imf.org</t>
  </si>
  <si>
    <t>ON8E4JRJU</t>
  </si>
  <si>
    <t>OEDST</t>
  </si>
  <si>
    <t>Thailand</t>
  </si>
  <si>
    <t>The IMF should engage a similar amount on climate change-related issues</t>
  </si>
  <si>
    <t>My country is not eligible for an RSF arrangement</t>
  </si>
  <si>
    <t>Climate change does not pose a major balance of payments risk in my country</t>
  </si>
  <si>
    <t>The IMF dedicated the appropriate amount of resources</t>
  </si>
  <si>
    <t>IMF should continue its work on climate-related and digital money issues.
However, the focus should be mainly on the macroeconomic impacts and
policy implications, while outsourcing the technical aspects to other organizations.</t>
  </si>
  <si>
    <t>Rodrigo</t>
  </si>
  <si>
    <t>Alfaro</t>
  </si>
  <si>
    <t>ralfaro@imf.org</t>
  </si>
  <si>
    <t>WMP1LMPYV</t>
  </si>
  <si>
    <t>OEDAG</t>
  </si>
  <si>
    <t>Chile</t>
  </si>
  <si>
    <t>World Bank Group</t>
  </si>
  <si>
    <t>Regional development banks</t>
  </si>
  <si>
    <t>nstoyanova@imf.org</t>
  </si>
  <si>
    <t>ON8E0YQ7Z</t>
  </si>
  <si>
    <t>OEDNE</t>
  </si>
  <si>
    <t>Cyprus</t>
  </si>
  <si>
    <t>Megan</t>
  </si>
  <si>
    <t>Garner</t>
  </si>
  <si>
    <t>mgarner@imf.org</t>
  </si>
  <si>
    <t>ZM0NNQ4ZF</t>
  </si>
  <si>
    <t>OEDAP</t>
  </si>
  <si>
    <t>Papua New Guinea</t>
  </si>
  <si>
    <t>Existing planned spending (substituting for other financing)</t>
  </si>
  <si>
    <t>Refinancing existing borrowing</t>
  </si>
  <si>
    <t>hmohamedcheik@imf.org</t>
  </si>
  <si>
    <t>197EEJ4JI</t>
  </si>
  <si>
    <t>OEDAS</t>
  </si>
  <si>
    <t>Madagascar</t>
  </si>
  <si>
    <t>Additional new spending</t>
  </si>
  <si>
    <t>Maya Choueiri</t>
  </si>
  <si>
    <t>Choueiri</t>
  </si>
  <si>
    <t>mchoueiri@imf.org</t>
  </si>
  <si>
    <t>19NGD1JMA</t>
  </si>
  <si>
    <t>OEDMI</t>
  </si>
  <si>
    <t>Jordan</t>
  </si>
  <si>
    <t>The IMF should have dedicated less resources</t>
  </si>
  <si>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</si>
  <si>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Eva</t>
  </si>
  <si>
    <t>Mensua</t>
  </si>
  <si>
    <t>EMENSUA@imf.org</t>
  </si>
  <si>
    <t>4NW82502K</t>
  </si>
  <si>
    <t>OEDCE</t>
  </si>
  <si>
    <t>Costa Rica</t>
  </si>
  <si>
    <t>Other (please specify) : We do not have that information to provide the details</t>
  </si>
  <si>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</si>
  <si>
    <t>Dickson</t>
  </si>
  <si>
    <t>Lema</t>
  </si>
  <si>
    <t>dlema@imf.org</t>
  </si>
  <si>
    <t>YEPMZG18Q</t>
  </si>
  <si>
    <t>Tanzania</t>
  </si>
  <si>
    <t>GMNOM9NJE</t>
  </si>
  <si>
    <t>Guatemala</t>
  </si>
  <si>
    <t>More convenient alternative financing options</t>
  </si>
  <si>
    <t>Yati</t>
  </si>
  <si>
    <t>Kurniati</t>
  </si>
  <si>
    <t>YKurniati@imf.org</t>
  </si>
  <si>
    <t>E41PPK26M</t>
  </si>
  <si>
    <t>Philippines</t>
  </si>
  <si>
    <t>An RSF arrangement would have been useful, but my country had no balance of payments issues/did not need/was not willing to commit to the underlying UCT program</t>
  </si>
  <si>
    <t>The IMF should continuously engage with its member countries on climate change-related issues by
leveraging its macroeconomic and financial expertise to support the integration of climate considerations into national policymaking, while adapting its tools and frameworks to address both immediate and long-term climate-related challenges. The Fund may adopt structured, inclusive, and transparent mechanisms that can guide the integration of climate considerations into macroeconomic policy and reform processes.</t>
  </si>
  <si>
    <t>Stijn</t>
  </si>
  <si>
    <t>Verhelst</t>
  </si>
  <si>
    <t>SVerhelst@imf.org</t>
  </si>
  <si>
    <t>GMNDDQQ7L</t>
  </si>
  <si>
    <t>North Macedonia</t>
  </si>
  <si>
    <t>Other (please specify) : the focus shifted to other priorities</t>
  </si>
  <si>
    <t>NW6E4MQ7R</t>
  </si>
  <si>
    <t>Cambodia</t>
  </si>
  <si>
    <t>Fadhila Alfaraj</t>
  </si>
  <si>
    <t>Alfaraj</t>
  </si>
  <si>
    <t>falfaraj@imf.org</t>
  </si>
  <si>
    <t>K6MLDWRRL</t>
  </si>
  <si>
    <t>Bahrain</t>
  </si>
  <si>
    <t>Other (please specify) : does not need financing</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</si>
  <si>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</si>
  <si>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Jeroen</t>
  </si>
  <si>
    <t>Clicq</t>
  </si>
  <si>
    <t>JClicq@imf.org</t>
  </si>
  <si>
    <t>M65MWRODX</t>
  </si>
  <si>
    <t>Bosnia and Herzegovina</t>
  </si>
  <si>
    <t>Other (please specify) : European Commission</t>
  </si>
  <si>
    <t>N?A</t>
  </si>
  <si>
    <t>Fouad</t>
  </si>
  <si>
    <t>Al-Kohlany</t>
  </si>
  <si>
    <t>FALKOHLANY@imf.org</t>
  </si>
  <si>
    <t>E4120WQ6S</t>
  </si>
  <si>
    <t>Kuwait</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</si>
  <si>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</si>
  <si>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P6LRD06YG</t>
  </si>
  <si>
    <t>Indonesia</t>
  </si>
  <si>
    <t>Given the significant exposure of many countries—particularly EMDEs and SDS-LICs—to climate risks, the Fund's engagement in terms of advocacy and assessment on climate-related risks should remain integrated into its policy agenda, surveillance, support programs, and capacity development, where the Fund’s global reach and analytical expertise provide unique value in supporting members' climate resilience and transition efforts. Moreover, the Fund’s continued engagement on climate-related issues is also critical because climate change is a global challenge that demands collective action. As all nations work toward building a more sustainable future, the Fund’s role in promoting coordinated policy responses and supporting members’ climate commitments is indispensable.</t>
  </si>
  <si>
    <t>Ali Abdul Raheem</t>
  </si>
  <si>
    <t>Abdul Raheem</t>
  </si>
  <si>
    <t>aabdulraheem@imf.org</t>
  </si>
  <si>
    <t>K6M924RZK</t>
  </si>
  <si>
    <t>Maldives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</si>
  <si>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 When carried out, the Fund's work on climate change-related issues should pay close attention to adaptation and transition challenges, especially in countries facing heightened vulnerabilities.
- Many advanced climate integration hindered by poor fundamental. Eg: conclusion of C-PIMA 2024 Maldives notes that without progress on PIM procedures climate integration will not be successful
- Addressing macroeconomic stability and debt sustainability as the building blocks for strengthening climate resilience.</t>
  </si>
  <si>
    <t>brecker@imf.org</t>
  </si>
  <si>
    <t>WM0G6Z02M</t>
  </si>
  <si>
    <t>OEDCO</t>
  </si>
  <si>
    <t>Belize</t>
  </si>
  <si>
    <t>Other (please specify) : The eligible RSF amount is too small to be worth the administrative work to implement a UCT program</t>
  </si>
  <si>
    <t>M65MOGWEM</t>
  </si>
  <si>
    <t>Laos People's Democratic Republic (Laos)</t>
  </si>
  <si>
    <t>4NWJ6ZZ2X</t>
  </si>
  <si>
    <t>Tonga</t>
  </si>
  <si>
    <t>Other (please specify) : Green Climate Fund, UNDP</t>
  </si>
  <si>
    <t>We support the Fund's focus on Climate and Gender as macro critical. While we do not necessarily think the Fund should provide Lending facilities to address Climate, we think there is definitely scope for better leveraging of the Fund's convening power and its Surveillance work and Article IV policy recommendations to better crowd in or catalyze funding from other sources of financing, private sector and climate funding from the World Bank and other climate financing agencies like the Green Climate Fund. And, for small developing states how we can link climate with debt restructuring especially in a high debt, slow growth, shock prone world. We think the roundtables, and interagency coordination can be more effective in this regard.</t>
  </si>
  <si>
    <t>Sylvia</t>
  </si>
  <si>
    <t>Gumbs</t>
  </si>
  <si>
    <t>sgumbs@imf.org</t>
  </si>
  <si>
    <t>P6L94DGNC</t>
  </si>
  <si>
    <t>St. Vincent and the Grenadines</t>
  </si>
  <si>
    <t>Getting the Executive Board to better understand the concept of vulnerability should improve future engagements on climate change-related issues.  The authorities view the conditionalities that accompany UCT programs as onerous relative to the low access levels for the RSF.  They suggest that consideration should be given to the World Bank’s CAT DDO model, which links climate-related financing to practical, non-onerous disaster preparedness conditionalities, as a framework for crafting RST conditionalities. Leveraging existing CAT DDO agreements could streamline reform efforts and increase uptake by Caribbean countries.</t>
  </si>
  <si>
    <t>Esso Solim BOUKPESSI</t>
  </si>
  <si>
    <t>Boukpessi</t>
  </si>
  <si>
    <t>EBOUKPESSI@imf.org</t>
  </si>
  <si>
    <t>YEP986MKB</t>
  </si>
  <si>
    <t>Benin</t>
  </si>
  <si>
    <t>Building reserves</t>
  </si>
  <si>
    <t>lpalit@imf.org</t>
  </si>
  <si>
    <t>L2MW2Y1YL</t>
  </si>
  <si>
    <t>Seychelles</t>
  </si>
  <si>
    <t>The country has worked with excellent staff under the RSF where there is not only mutual respect but also an acknowledgment of context. In addition, staff have always presented firm and truthful information and through their bilateral meetings, are also seen as a source of guidance, understanding, help anchor expectations and build policy credibility. However, The RSF adds additional (but mostly warranted) processes to the budget/work cycle at a period where there should be greater emphasis on embedding automation and digitizing processes to improve efficiency, moreso given capacity gaps in SS. Some RMs -albeit with this not being a case unique to SYC- requires some elements of "external catching up" and global standardization in areas where there may not be uniformity in policy guidance/implementation. As an example, the emphasis of Fund work under the RSF should start internally (e.g. standardization of processes/interpretations/definitions in data manuals) beforehand. It would also be ideal to offer more flexibility in adaptation vs mitigation allocation given context.</t>
  </si>
  <si>
    <t>WM0QMW0NZ</t>
  </si>
  <si>
    <t>Samoa</t>
  </si>
  <si>
    <t>Other (please specify) : ADB, GEF</t>
  </si>
  <si>
    <t>Support or assistance by the IMF to GCF-access in any way possible, including country-specific assessments or analysis would be useful. Further, more awareness on any available climate-change data toolkits would be great. 
More specific and tailored trainings for central banks in small island developing countries, particularly in the supervision areas (such as climate-risk assessments, climate stress-testing, risk management relating to climate change issues\ etc.) and macroeconomic policy.  
For the Ministry of Finance other areas that need development and strengthening include fiscal risk quantification of climate change impacts, climate budget tagging and greening of public investment project management would be significantly valuable.</t>
  </si>
  <si>
    <t>Madina</t>
  </si>
  <si>
    <t>Zhunusbekova</t>
  </si>
  <si>
    <t>MZhunusbekova@imf.org</t>
  </si>
  <si>
    <t>L2MKO8R7U</t>
  </si>
  <si>
    <t>Kazakhstan</t>
  </si>
  <si>
    <t>Wickham, Ann Marie Yvette</t>
  </si>
  <si>
    <t>Wickham</t>
  </si>
  <si>
    <t>AWICKHAM@imf.org</t>
  </si>
  <si>
    <t>DGDQP7W9M</t>
  </si>
  <si>
    <t>Barbados</t>
  </si>
  <si>
    <t>Barbados's Prime Minister has consistently supported the IMF's work on climate change and was the first to formally request the Resilience and Sustainability Facility (RSF). Barbados continues to commend the IMF for conceptualizing the RSF. Barbados has been a leading advocate for the IMF to adopt a more proactive and equitable approach in addressing climate change, particularly for vulnerable small island developing states. the authorities continue to emphasize the need for the IMF to integrate climate considerations into its lending frameworks and to allow countries recovering from climate-induced disasters to pause debt payments, facilitating faster recovery and resilience building.</t>
  </si>
  <si>
    <t>Aishah</t>
  </si>
  <si>
    <t>Toure</t>
  </si>
  <si>
    <t>AToure2@imf.org</t>
  </si>
  <si>
    <t>YEPK1JQKS</t>
  </si>
  <si>
    <t>Nigeria</t>
  </si>
  <si>
    <t>Subject matter experts</t>
  </si>
  <si>
    <t>JQMKW8NOG</t>
  </si>
  <si>
    <t>Ivory Coast</t>
  </si>
  <si>
    <t>Nadav</t>
  </si>
  <si>
    <t>Steinberg</t>
  </si>
  <si>
    <t>nsteinberg@imf.org</t>
  </si>
  <si>
    <t>E41697EDL</t>
  </si>
  <si>
    <t>Israel</t>
  </si>
  <si>
    <t>Vladyslav</t>
  </si>
  <si>
    <t>Rashkovan</t>
  </si>
  <si>
    <t>VRashkovan@imf.org</t>
  </si>
  <si>
    <t>91JR2E2NK</t>
  </si>
  <si>
    <t>Ukraine</t>
  </si>
  <si>
    <t>Other (please specify) : my authorities were thinking about the RSF but were discouraged by the IMF staff to apply due to the complexity of the process in parallel with the existing another IMF arrangement</t>
  </si>
  <si>
    <t>Jae Woo</t>
  </si>
  <si>
    <t>Oh</t>
  </si>
  <si>
    <t>joh3@imf.org</t>
  </si>
  <si>
    <t>JQMKW8WOR</t>
  </si>
  <si>
    <t>South Korea</t>
  </si>
  <si>
    <t>Daniel</t>
  </si>
  <si>
    <t>Munevar Sastre</t>
  </si>
  <si>
    <t>dmunevarsastre@imf.org</t>
  </si>
  <si>
    <t>QMQK2R2QT</t>
  </si>
  <si>
    <t>Colombia</t>
  </si>
  <si>
    <t>Pedro</t>
  </si>
  <si>
    <t>Miranda</t>
  </si>
  <si>
    <t>PMIRANDA@imf.org</t>
  </si>
  <si>
    <t>RRWK5259X</t>
  </si>
  <si>
    <t>OEDBR</t>
  </si>
  <si>
    <t>Brazil</t>
  </si>
  <si>
    <t>ZMOLGK6ZR</t>
  </si>
  <si>
    <t>El Salvador</t>
  </si>
  <si>
    <t>Brigitte</t>
  </si>
  <si>
    <t>Mayr</t>
  </si>
  <si>
    <t>BMayr@imf.org</t>
  </si>
  <si>
    <t>M65K14JMG</t>
  </si>
  <si>
    <t>OEDEC</t>
  </si>
  <si>
    <t>Belarus</t>
  </si>
  <si>
    <t>Create its own climate risk rating.</t>
  </si>
  <si>
    <t>Michael</t>
  </si>
  <si>
    <t>Massourakis</t>
  </si>
  <si>
    <t>MMassourakis@imf.org</t>
  </si>
  <si>
    <t>4NWRO5K2T</t>
  </si>
  <si>
    <t>OEDIT</t>
  </si>
  <si>
    <t>Greece</t>
  </si>
  <si>
    <t>JORGE</t>
  </si>
  <si>
    <t>MADCUR</t>
  </si>
  <si>
    <t>jmadcur@imf.org</t>
  </si>
  <si>
    <t>5EJR1D8WI</t>
  </si>
  <si>
    <t>Argentina</t>
  </si>
  <si>
    <t>IMF's approach to climate change should be more selective, driven by macro-criticality and country-specific considerations.</t>
  </si>
  <si>
    <t>Patryk</t>
  </si>
  <si>
    <t>Loszewski</t>
  </si>
  <si>
    <t>ploszewski@imf.org</t>
  </si>
  <si>
    <t>NW6KGPNGK</t>
  </si>
  <si>
    <t>Poland</t>
  </si>
  <si>
    <t>NGOs</t>
  </si>
  <si>
    <t>Other (please specify) : European Union</t>
  </si>
  <si>
    <t>19NR064JF</t>
  </si>
  <si>
    <t>Vietnam</t>
  </si>
  <si>
    <t>Henna</t>
  </si>
  <si>
    <t>Karhapaa</t>
  </si>
  <si>
    <t>hkarhapaa@imf.org</t>
  </si>
  <si>
    <t>WM0KEJ6YO</t>
  </si>
  <si>
    <t>OEDNO</t>
  </si>
  <si>
    <t>Finland</t>
  </si>
  <si>
    <t>The IMF should engage in climate change related issues when it is deemed macrocritical.</t>
  </si>
  <si>
    <t>Nadeem</t>
  </si>
  <si>
    <t>Ilahi</t>
  </si>
  <si>
    <t>NILAHI@imf.org</t>
  </si>
  <si>
    <t>K6MKEQZLG</t>
  </si>
  <si>
    <t>OEDSA</t>
  </si>
  <si>
    <t>Saudi Arabia</t>
  </si>
  <si>
    <t>Maria</t>
  </si>
  <si>
    <t>Flores-Isch</t>
  </si>
  <si>
    <t>MFloresIsch@imf.org</t>
  </si>
  <si>
    <t>YEPK1J06M</t>
  </si>
  <si>
    <t>Bolivia</t>
  </si>
  <si>
    <t>It is not known to what extent IMF staff used resources or collaborated with staff of the following named organizations.</t>
  </si>
  <si>
    <t>There is no knowledge of the IMF's work with other funding agencies or entities.</t>
  </si>
  <si>
    <t>Tanuja</t>
  </si>
  <si>
    <t>Doss</t>
  </si>
  <si>
    <t>TDoss@imf.org</t>
  </si>
  <si>
    <t>ON9KJ608S</t>
  </si>
  <si>
    <t>Solomon Islands</t>
  </si>
  <si>
    <t>Other (please specify) : The amount of financing available through the RSF is insufficient.</t>
  </si>
  <si>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</si>
  <si>
    <t>Guido</t>
  </si>
  <si>
    <t>De Blasio</t>
  </si>
  <si>
    <t>gdeblasio@imf.org</t>
  </si>
  <si>
    <t>6WORGLM9Q</t>
  </si>
  <si>
    <t>San Marino</t>
  </si>
  <si>
    <t>Jorge</t>
  </si>
  <si>
    <t>Corvalan</t>
  </si>
  <si>
    <t>jcorvalan@imf.org</t>
  </si>
  <si>
    <t>M65K14DEW</t>
  </si>
  <si>
    <t>Paraguay</t>
  </si>
  <si>
    <t>7N2RJ046Z</t>
  </si>
  <si>
    <t>Andorra, Principality of</t>
  </si>
  <si>
    <t>Other (please specify) : Does not need IMF financing</t>
  </si>
  <si>
    <t>8GZQNW4NR</t>
  </si>
  <si>
    <t>Lebanon</t>
  </si>
  <si>
    <t>Climate initiatives in Lebanon should prioritize promoting renewable energy production to alleviate the fiscal burden associated with traditional energy production.
More broadly, 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</si>
  <si>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Reza</t>
  </si>
  <si>
    <t>Boostani</t>
  </si>
  <si>
    <t>rboostani@imf.org</t>
  </si>
  <si>
    <t>ON9KJ6P8N</t>
  </si>
  <si>
    <t>OEDMD</t>
  </si>
  <si>
    <t>Iran</t>
  </si>
  <si>
    <t>Mark</t>
  </si>
  <si>
    <t>Blackmore</t>
  </si>
  <si>
    <t>mblackmore@imf.org</t>
  </si>
  <si>
    <t>E41697K1L</t>
  </si>
  <si>
    <t>New Zealand</t>
  </si>
  <si>
    <t>Bahador</t>
  </si>
  <si>
    <t>Bijani</t>
  </si>
  <si>
    <t>bbijani@imf.org</t>
  </si>
  <si>
    <t>0W7RL5GWJ</t>
  </si>
  <si>
    <t>Morocco</t>
  </si>
  <si>
    <t>Arab Monetary Fund (AMF)</t>
  </si>
  <si>
    <t>- Actively involving national autorities, particularly countries highly exposed to climat risks, in the design and implementation of climat related studies.
- Promote more international cooperation an climat finance, particularly in support of mitigation policies, which remain signaficantly underfunded.</t>
  </si>
  <si>
    <t>Raguiata</t>
  </si>
  <si>
    <t>Bah</t>
  </si>
  <si>
    <t>RBah2@imf.org</t>
  </si>
  <si>
    <t>6WORGLJ9K</t>
  </si>
  <si>
    <t>Guinea</t>
  </si>
  <si>
    <t>Felipe</t>
  </si>
  <si>
    <t>Antunes</t>
  </si>
  <si>
    <t>FAntunes@imf.org</t>
  </si>
  <si>
    <t>DGDQP71JO</t>
  </si>
  <si>
    <t>Panama</t>
  </si>
  <si>
    <t>Bernardo</t>
  </si>
  <si>
    <t>Acosta</t>
  </si>
  <si>
    <t>bacosta@imf.org</t>
  </si>
  <si>
    <t>5EJR1DGYH</t>
  </si>
  <si>
    <t>Ecuador</t>
  </si>
  <si>
    <t>Ecuador appreciates the IMF's growing focus on climate issues, particularly the analysis of physical vulnerabilities and technical support for innovative instruments such as debt-for-nature swaps. However, greater flexibility is needed in eligibility criteria for climate-specific facilities such as the RSF, considering that upper-middle-income countries like Ecuador face significant climate vulnerabilities but have limited access to concessional climate finance. We recommend strengthening independent climate-specific technical assistance and trainings and developing more robust climate fiscal and macroeconomic policy frameworks.</t>
  </si>
  <si>
    <t>xmendezbertolo@imf.org</t>
  </si>
  <si>
    <t>GMN697L7T</t>
  </si>
  <si>
    <t>Mexico</t>
  </si>
  <si>
    <t>EChen@imf.org</t>
  </si>
  <si>
    <t>E41697G1O</t>
  </si>
  <si>
    <t>Singapore</t>
  </si>
  <si>
    <t>hthomasen@imf.org</t>
  </si>
  <si>
    <t>WM0KEJ5YE</t>
  </si>
  <si>
    <t>Denmark</t>
  </si>
  <si>
    <t>The Fund should engage in climate change in the same manner as other emerging policy issues, based on the concept of macrocriticality, that is, when and to the extent they explicitly are deemed critical to macroeconomic and financial stability.
Some of the questions in this survey were difficult to answer, as we consider ourselves to be a frontrunner on climate issues. As such, our climate efforts aim not only to benefit our own country but also to influence other countries, international organizations, and broader global efforts. Consequently, the IMF's direct impact on our country in relation to climate issues may be limited. However, this does not mean that we do not value the IMF's work in this area—on the contrary. It is crucial that an organization like the IMF remains among the leading actors on climate issues. Given that climate mitigation is a global public good, we believe it is important for the IMF to continue pushing all countries—particularly the largest emitters—to make substantial efforts to reduce greenhouse gas emissions.</t>
  </si>
  <si>
    <t>6WORGLZ9O</t>
  </si>
  <si>
    <t>Canada</t>
  </si>
  <si>
    <t>5EJR1M8WW</t>
  </si>
  <si>
    <t>The IMF should be more intentional and country specific driven needs to build capacity on climate issues  to help address the rising climate change issues. When capacity is strengthen, funds mobilize will be well utilize and impact evident in the system. Therefore, aside effort to mobilize funds for climate change, capacity development should be prioritize.</t>
  </si>
  <si>
    <t>7N2RJ7Y9K</t>
  </si>
  <si>
    <t>Oman</t>
  </si>
  <si>
    <t>Other (please specify) : Does not need financing</t>
  </si>
  <si>
    <t>Benedikt</t>
  </si>
  <si>
    <t>Stahlhofen</t>
  </si>
  <si>
    <t>BStahlhofen@imf.org</t>
  </si>
  <si>
    <t>29LRWG6MQ</t>
  </si>
  <si>
    <t>OEDGR</t>
  </si>
  <si>
    <t>Germany</t>
  </si>
  <si>
    <t>We highly value IMF’s climate change-related analyses, and have long advocated for mandatory inclusion of macro-critical climate-related aspects in Article IV consultations with large greenhouse gas emitters. We see some need to increase the coverage and include these issues more systematically. This also includes reflecting the implications of climate change in DSAs consistently (e.g. incorporate higher frequency of natural disasters in baseline/macro framework as well as stress tests to account for materialization of risks).</t>
  </si>
  <si>
    <t>0W7RLJ4JE</t>
  </si>
  <si>
    <t>Leary</t>
  </si>
  <si>
    <t>mleary@imf.org</t>
  </si>
  <si>
    <t>6WORG7M9H</t>
  </si>
  <si>
    <t>OEDUS</t>
  </si>
  <si>
    <t>United States</t>
  </si>
  <si>
    <t>The IMF needs to carefully access its climate work and make sure it's rooted in its core mandate to address BOP needs, while also in areas where the IMF has expertise.  IMF climate work should be driven by analysis of financial or macro risks and the Fund should not be providing normative advice on mitigation or other climate-related policies.</t>
  </si>
  <si>
    <t>M65K1ODEC</t>
  </si>
  <si>
    <t>Nathaniel</t>
  </si>
  <si>
    <t>Burkhalter</t>
  </si>
  <si>
    <t>nburkhalter@imf.org</t>
  </si>
  <si>
    <t>91JR276RE</t>
  </si>
  <si>
    <t>Switzerland</t>
  </si>
  <si>
    <t>CFMA</t>
  </si>
  <si>
    <t>Nodirbek</t>
  </si>
  <si>
    <t>Achilov</t>
  </si>
  <si>
    <t>nachilov@imf.org</t>
  </si>
  <si>
    <t>7N2RJ746X</t>
  </si>
  <si>
    <t>Uzbekistan</t>
  </si>
  <si>
    <t>NGO's</t>
  </si>
  <si>
    <t>Other (please specify) : Special funds</t>
  </si>
  <si>
    <t>JVI &amp; CCAMTAC</t>
  </si>
  <si>
    <t>8GZQND4NJ</t>
  </si>
  <si>
    <t>Senegal</t>
  </si>
  <si>
    <t>Other (please specify) : RSF requested, program went off track</t>
  </si>
  <si>
    <t>Oscar A Hendrick</t>
  </si>
  <si>
    <t>Hendrick</t>
  </si>
  <si>
    <t>ohendrick@imf.org</t>
  </si>
  <si>
    <t>NW6KG4ZJJ</t>
  </si>
  <si>
    <t>Peru</t>
  </si>
  <si>
    <t>The IMF should not engage on climate change-related issues</t>
  </si>
  <si>
    <t>The IMF should focus on its traditional core mandate, particularly if at the same time, major shareholders are reluctant to increase the budget envelope and continue mostly with a flat real budget policy.</t>
  </si>
  <si>
    <t>Philippe</t>
  </si>
  <si>
    <t>Zellweger</t>
  </si>
  <si>
    <t>pzellweger@imf.org</t>
  </si>
  <si>
    <t>4NWROG10W</t>
  </si>
  <si>
    <t>Liechtenstein, Principality of</t>
  </si>
  <si>
    <t>Mawek Tesfaye</t>
  </si>
  <si>
    <t>Mengistu</t>
  </si>
  <si>
    <t>MMengistu@imf.org</t>
  </si>
  <si>
    <t>29LRWGEQG</t>
  </si>
  <si>
    <t>OEDAC</t>
  </si>
  <si>
    <t>Ethiopia</t>
  </si>
  <si>
    <t>NW6KG4JJU</t>
  </si>
  <si>
    <t>Pakistan</t>
  </si>
  <si>
    <t>FCDO</t>
  </si>
  <si>
    <t>JQMKW0EYL</t>
  </si>
  <si>
    <t>Italy</t>
  </si>
  <si>
    <t>Other (please specify) : EU budget</t>
  </si>
  <si>
    <t>Ahmad Faisal Bin</t>
  </si>
  <si>
    <t>Rozimi</t>
  </si>
  <si>
    <t>arozimi@imf.org</t>
  </si>
  <si>
    <t>19NR0KWKD</t>
  </si>
  <si>
    <t>Malaysia</t>
  </si>
  <si>
    <t>The Central Bank and Supervisors Network for Greening the Financial System (NGFS), in relation to work on climate scenarios.</t>
  </si>
  <si>
    <t>Other (please specify) : The Malaysian Government does not require any external financing at the moment</t>
  </si>
  <si>
    <t>Other (please specify) : Green Climate Fund, Global Environment Facility, Adaptation Fund</t>
  </si>
  <si>
    <t>Climate risk has increasing significance and there is global urgency to manage this risk to ensure financial and macroeconomic stability. We appreciate the IMF’s commitment and interest in addressing climate risk and would like to propose these actionable recommendations to enhance its efforts:
1. The IMF needs to deepen its support by fostering knowledge exchange and capacity-building initiatives focused on climate risk and climate data-related issues. Given the critical role of technical expertise in shaping effective climate policies and conducting risk assessments, this would help bridge one of the most significant gaps facing policymakers today.
2. By leveraging its extensive cross-country analysis, the IMF needs to offer more targeted policy insights and best practices. The IMF’s global perspective could deliver invaluable contributions to advancing national and regional climate strategies.
3. On climate scenarios, the IMF needs to complement the work of the NGFS by focusing its research on the monetary policy aspects when assessing the impact of the various climate scenarios by the NGFS.
4. Given the increasing importance of nature-related risks such as biodiversity loss and ecosystem degradation, and their impact on macroeconomic and financial stability, the IMF needs to deepen its engagement on this area for completeness.</t>
  </si>
  <si>
    <t>ON9KJG78X</t>
  </si>
  <si>
    <t>Bulgaria</t>
  </si>
  <si>
    <t>Esala</t>
  </si>
  <si>
    <t>Masitabua</t>
  </si>
  <si>
    <t>emasitabua@imf.org</t>
  </si>
  <si>
    <t>M65K1OLEE</t>
  </si>
  <si>
    <t>Fiji</t>
  </si>
  <si>
    <t>More should be done to sharpen the narrative on climate change being macro-critical and therefore within the mandate of the Fund. Many development challenges can be argued to be macrocritical e.g. security in conflicted affected states or human capital development in low income and developing states. However, anyone would be hard pressed to come up with a source of shock that can destabilize macroeconomic stability of an economy in a few hours as category 4 cyclones have done in the Carribean and the Pacific. In 2016 Cyclone Winston inflicted infrastructure damages in Fiji equivalent to one third of the country's GDP. And there is the slow burn of other climate change impact - shoreline erosion due to rising sea levels, soil acidification, floods, droughts etc. 
The disproportionate impact of climate change on SDS necessitates tailored strategies and enhanced support from the Fund. I therefore feel more can be done by the Fund in roundtable discussions or some convening role to provide the catalytical impetus to unlock other climate funding sources (World Bank, Green Climate Fund, private sector based on commitment to reforms and assistance of MDBs, donors, WB) to assist and address climate vulnerabilities specific to Small Developing States (SDS).</t>
  </si>
  <si>
    <t>mira merhi</t>
  </si>
  <si>
    <t>Merhi</t>
  </si>
  <si>
    <t>MMERHI@imf.org</t>
  </si>
  <si>
    <t>91JR270RW</t>
  </si>
  <si>
    <t>Qatar</t>
  </si>
  <si>
    <t>Other (please specify) : doesnt need fund resources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</si>
  <si>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
need to engage on climate issues only when its macrocritical</t>
  </si>
  <si>
    <t>Vuk</t>
  </si>
  <si>
    <t>Djokovic</t>
  </si>
  <si>
    <t>VDJOKOVIC@imf.org</t>
  </si>
  <si>
    <t>YEPK1786I</t>
  </si>
  <si>
    <t>Serbia</t>
  </si>
  <si>
    <t>EU</t>
  </si>
  <si>
    <t>Other (please specify) : Authorities declined RST</t>
  </si>
  <si>
    <t>Regarding the abovementioned IMF's comparative advantage, having comparative advantage does not mean that it should be used. among other things as those might undermine Fund's creditibility. There are more urgent macro priorities at this point.</t>
  </si>
  <si>
    <t>Maja Ivanovic</t>
  </si>
  <si>
    <t>Ivanović</t>
  </si>
  <si>
    <t>mivanovic@imf.org</t>
  </si>
  <si>
    <t>JQMKW0YYI</t>
  </si>
  <si>
    <t>Montenegro</t>
  </si>
  <si>
    <t>Abdulqafar Abdullahi</t>
  </si>
  <si>
    <t>Abdullahi</t>
  </si>
  <si>
    <t>aabdullahi2@imf.org</t>
  </si>
  <si>
    <t>ON9KJGW8X</t>
  </si>
  <si>
    <t>Somalia</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</si>
  <si>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</si>
  <si>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Paul</t>
  </si>
  <si>
    <t>Mansaray</t>
  </si>
  <si>
    <t>pmansaray@imf.org</t>
  </si>
  <si>
    <t>E4169YD1Y</t>
  </si>
  <si>
    <t>Sierra Leone</t>
  </si>
  <si>
    <t>WM0KEO9YF</t>
  </si>
  <si>
    <t>Nepal</t>
  </si>
  <si>
    <t>N/A</t>
  </si>
  <si>
    <t>The Fund’s continued advocacy and efforts on climate-related risks should remain integrated into its policy agenda, surveillance, support programs, and capacity
development, given the significant exposure to climate risks and the high value of its advice to EMDEs and LICs, and especially SDS.</t>
  </si>
  <si>
    <t>gsusic@imf.org</t>
  </si>
  <si>
    <t>0W7RLJ6WG</t>
  </si>
  <si>
    <t>Croatia</t>
  </si>
  <si>
    <t>Other (please specify) : Not considered necessary.</t>
  </si>
  <si>
    <t>Christian</t>
  </si>
  <si>
    <t>Just</t>
  </si>
  <si>
    <t>CJust@imf.org</t>
  </si>
  <si>
    <t>DGDQP57JS</t>
  </si>
  <si>
    <t>Austria</t>
  </si>
  <si>
    <t>Other (please specify) : NGEU</t>
  </si>
  <si>
    <t>Less but more impactful (forecast of GHG, green fiscal space, monitoring of Paris commitments that are within remit of Fund, based on this have standardized para on climate across all Article IVs)</t>
  </si>
  <si>
    <t>Tom</t>
  </si>
  <si>
    <t>Engalaro</t>
  </si>
  <si>
    <t>tenglaro@imf.org</t>
  </si>
  <si>
    <t>M65K1O4EV</t>
  </si>
  <si>
    <t>Luxembourg</t>
  </si>
  <si>
    <t>Seeing as the EU's RRF is a very specific instrument which provides both grants and loans, I felt like a comparison to the RSF's eligibility and financing terms might not be appropriate. Consequently, I picked N/A for the questions that asked for this comparison.</t>
  </si>
  <si>
    <t>P6LQNM2YB</t>
  </si>
  <si>
    <t>Mauritius</t>
  </si>
  <si>
    <t>IMF could step up technical support to central banks in the region to strengthen the climate data framework and develop climate macroeconomic and stress testing models.</t>
  </si>
  <si>
    <t>hdealbert@imf.org</t>
  </si>
  <si>
    <t>91JR27ERH</t>
  </si>
  <si>
    <t>OEDIN</t>
  </si>
  <si>
    <t>Sri Lanka</t>
  </si>
  <si>
    <t>Other (please specify) : Staff assessed that the remaining time under the ongoing EFF arrangement is not adequate.</t>
  </si>
  <si>
    <t>IMF needs to assess more closely how climate change related issues affect trade, monetary policy, government revenue and social spending.  Such assessment should inform the need for timely access to RSF, without being constrained by time available under the existing UCT arrangement.</t>
  </si>
  <si>
    <t>NW6KG4PJK</t>
  </si>
  <si>
    <t>Uruguay</t>
  </si>
  <si>
    <t>JQMKW08YB</t>
  </si>
  <si>
    <t>Jamaica</t>
  </si>
  <si>
    <t>bilateral partners (UK, Canadian govts, EIB)</t>
  </si>
  <si>
    <t>ESMAN</t>
  </si>
  <si>
    <t>NYAMONGO</t>
  </si>
  <si>
    <t>mnyamongo@imf.org</t>
  </si>
  <si>
    <t>ON9KJG68M</t>
  </si>
  <si>
    <t>Kenya</t>
  </si>
  <si>
    <t>E4169Y71L</t>
  </si>
  <si>
    <t>Brunei Darussalam</t>
  </si>
  <si>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</si>
  <si>
    <t>WM0KEOJYS</t>
  </si>
  <si>
    <t>Iraq</t>
  </si>
  <si>
    <t>022 Article iv refrence the IEA and uses projections of the IEA on global demand of oil</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</si>
  <si>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</si>
  <si>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Veronica</t>
  </si>
  <si>
    <t>Volociuc</t>
  </si>
  <si>
    <t>VVolociuc@imf.org</t>
  </si>
  <si>
    <t>0W7RLJ5WL</t>
  </si>
  <si>
    <t>Moldova</t>
  </si>
  <si>
    <t>Gudrun</t>
  </si>
  <si>
    <t>Ogmundsdottir</t>
  </si>
  <si>
    <t>GOgmundsdottir@imf.org</t>
  </si>
  <si>
    <t>0W7RLJJ2H</t>
  </si>
  <si>
    <t>Iceland</t>
  </si>
  <si>
    <t>M65K1OOYJ</t>
  </si>
  <si>
    <t>Vanuatu</t>
  </si>
  <si>
    <t>Other (please specify) : Available financing amount is small.</t>
  </si>
  <si>
    <t>Tara</t>
  </si>
  <si>
    <t>Pandalai</t>
  </si>
  <si>
    <t>tpandalai@imf.org</t>
  </si>
  <si>
    <t>4NWROGGYI</t>
  </si>
  <si>
    <t>OEDUK</t>
  </si>
  <si>
    <t>United Kingdom</t>
  </si>
  <si>
    <t>The IMF's work to support the NGFS workstream on monetary policy has helped to influence the debate on shorter-run impacts of climate change at the horizon relevant for monetary policy.</t>
  </si>
  <si>
    <t>We continue to view climate change and associated policies as central to the IMF's work, and appreciate the efforts to mainstream climate mitigation, adaptation and transition issues into all aspects of the IMF's work. We also believe that the IMF has a key role to play - via the RST - in supporting vulnerable countries to build resilience to longer-term BoP challenges and ensure a strong and sustainable recovery. 
Areas where we've found IMF engagement to be useful include (but are not limited to): 
- laying out analysis of the impacts of climate change in flagships and Article IVs/FSAPs.
- building a rigorous analytical knowledge base to support surveillance and lending (e.g. research on quantifying the impact on sovereign risk, as well as statistical / modelling initiatives such as the Climate Change Indicators Dashboard and the DIGNAD model).
- the contribution to international working groups incl. in the NGFS and G7/G20.
- continuing to improve the analysis of climate challenges in LICs.
- capacity building and training efforts, particularly the specialisation on the macroeconomics of climate change.
Areas where we think the IMF can engage more/add more value include (but again are not limited to):
- integrating climate considerations more rigorously into its macro policy advice (e.g. in fiscal or prudential policy). 
- considering the implications of climate policies on cross-border capital flows.
- weighing up the balance of mitigation vs adaptation reform measures in RSF arrangements. 
- strengthening policy-level coordination in RSF countries.
Finally, we had some comments on the survey itself: 
- Q10. We thought this was strangely worded. We don't think the IMF should "pick winners" between mitigation, adaptation or transition issues in a generic sense. We recognise that each area is inherently complex, but we believe (as with other topics) that staff should look at these issues in an integrated way and then (for e.g. in the context of an Article IV consultation) choose a specific area of focus based on its relevance to a country, amongst other considerations.
- Questions around RSF design (Q14-15). We thought some of the questions on design features were difficult to answer in isolation, as they also impact on the design of the UCT program and will be a focus of the ongoing Review of Conditionality.
- Q25. We did not think this was relevant and so our answer should not be taken as indicative of a preference (or lack thereof). While of course we understand the importance of prioritisation, again, there are several considerations at play and so a simple mapping would not be appropriate.</t>
  </si>
  <si>
    <t>Gundars</t>
  </si>
  <si>
    <t>Davidsons</t>
  </si>
  <si>
    <t>GDavidsons@imf.org</t>
  </si>
  <si>
    <t>YEPK1778R</t>
  </si>
  <si>
    <t>Latvia</t>
  </si>
  <si>
    <t>Regarding the question above, we think that this question is not appropriately formulated and can contribute to misleading conclusions. These areas cannot be looked up separately from core areas and are defined too broadly.
In general, continued coverage of climate policies is important when and to the extent deemed macro-critical. The Fund should also look at how analysis and policy advice in these areas can be better integrated into macroeconomic frameworks.
It should be country-specific and, if deemed macro-critical, adaptation, mitigation and transition policies should all be covered:
1) Climate risk and financial stability—emphasizing the IMF’s core mandate by addressing climate-induced risks to macroeconomic and financial stability.
2) Climate investment and fiscal sustainability—addressing the challenges of integrating substantial climate investment needs within sustainable fiscal frameworks.
3) Building resilience against climate shocks—how the Fund can effectively support members in managing climate risks, building resilience against shocks, and safeguarding macroeconomic stability.</t>
  </si>
  <si>
    <t>Krista</t>
  </si>
  <si>
    <t>Kollo</t>
  </si>
  <si>
    <t>kkollo@imf.org</t>
  </si>
  <si>
    <t>5EJR1MMDE</t>
  </si>
  <si>
    <t>Estonia</t>
  </si>
  <si>
    <t>Other (please specify) : EU funds</t>
  </si>
  <si>
    <t>NGFS</t>
  </si>
  <si>
    <t>The IMF should integrate climate change—alongside other macrocritical issues—into all its core functions, including surveillance, capacity development, and financing. Climate-related factors have significant implications across the IMF’s entire policy spectrum, influencing fiscal, monetary, financial, and structural policies. As such, coverage and policy advice must be country-specific and address the full range of climate challenges: adaptation, mitigation, and transition. To support this, the IMF must embed climate considerations more effectively within its macroeconomic frameworks. Doing so would enhance policy coherence, streamline operations, and reduce the need for additional resources.</t>
  </si>
  <si>
    <t>Peter</t>
  </si>
  <si>
    <t>Wallin</t>
  </si>
  <si>
    <t>pwallin@imf.org</t>
  </si>
  <si>
    <t>NW6KG44YZ</t>
  </si>
  <si>
    <t>Sweden</t>
  </si>
  <si>
    <t>The IMF should identify and provide policy recommendations covering climate change in the intersect with macro criticality and BoP issues.</t>
  </si>
  <si>
    <t>RRWK5GY7J</t>
  </si>
  <si>
    <t>ZMOLG50LL</t>
  </si>
  <si>
    <t>United Arab Emirates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</si>
  <si>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</si>
  <si>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Gabor</t>
  </si>
  <si>
    <t>Meizer</t>
  </si>
  <si>
    <t>GMEIZER@imf.org</t>
  </si>
  <si>
    <t>NW6KG4YYC</t>
  </si>
  <si>
    <t>Hungary</t>
  </si>
  <si>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</si>
  <si>
    <t>Hungary supports the IMF's core mandate to aid macroeconomic and financial stability and to have a balanced approach taking into account energy security, affordability and competitiveness. While individual states should remain the key players to define their energy and climate policies, the IMF could play a very important advisory role to assist climate-related financial risk assessments to maintain resilience.
With the new collective quantified goal (NCQG) adopted at COP29 last year, the IMF can also foster the mobilization of international climate finance sources (especially from the private sector) and play a substantial role in the reform of the IFI-sector.
And also in a broader context, the principle of macro criticality should continue to be observed in the IMF's engagements with newer policy areas.</t>
  </si>
  <si>
    <t>Mtendere Chikonda</t>
  </si>
  <si>
    <t>Chikonda</t>
  </si>
  <si>
    <t>mchikonda@imf.org</t>
  </si>
  <si>
    <t>K6MKEWM4M</t>
  </si>
  <si>
    <t>Malawi</t>
  </si>
  <si>
    <t>Other (please specify) : Insufficient progress in the implementation of an ECF</t>
  </si>
  <si>
    <t>Fatimetou</t>
  </si>
  <si>
    <t>Yahya</t>
  </si>
  <si>
    <t>fyahya@imf.org</t>
  </si>
  <si>
    <t>P6LQNMLNN</t>
  </si>
  <si>
    <t>Mauritania</t>
  </si>
  <si>
    <t>Other (please specify) : United Nations Agencies and Specialized Climate Funds (UNEP, GEF, UNDP, FAO)</t>
  </si>
  <si>
    <t>TA is often linked to planned/ongoing RMs included in the RSF program so discussed with country team and requested by the authorities.</t>
  </si>
  <si>
    <t>The Mauritanian authorities strongly support the IMF’s growing engagement on climate issues. They see climate change as a key macro-critical risk for Mauritania and other vulnerable countries, and welcome the creation of tools like the RSF to help support longer-term resilience-building.
At the same time, the authorities remain concerned that available financing under the RSF remains small in absolute terms, especially for countries like Mauritania with low quotas. While Mauritania has already reached its RSF access limit, the envelope is far from sufficient to meet the scale of its adaptation and mitigation needs. They would therefore encourage the Fund to keep working on ways to enhance catalytic impact, support access to other sources of climate finance, and further leverage partnerships.
Although Mauritania hasn’t yet organized a formal climate roundtable, the authorities hope to do so in the near future, and are counting on the Fund’s support to help make it a meaningful platform for resource mobilization.
Finally, the authorities would also welcome further mainstreaming of climate into surveillance, program design, and capacity development—especially where it helps design sound macro-critical reforms and signal commitment to partners—while keeping the Fund’s macroeconomic focus at the core.</t>
  </si>
  <si>
    <t>Gianmarco</t>
  </si>
  <si>
    <t>Cocozza</t>
  </si>
  <si>
    <t>gcocozza@imf.org</t>
  </si>
  <si>
    <t>7N2RJ724V</t>
  </si>
  <si>
    <t>Albania</t>
  </si>
  <si>
    <t>Additional staff capacity and analytical resources</t>
  </si>
  <si>
    <t>Other (please specify) : Has not been discussed</t>
  </si>
  <si>
    <t>The IMF should engage by providing technical assistance and capacity building, as well as by promoting institutional collaboration and coordination.
We commend the development of tools such as the Climate Policy Assessment Tool (CPAT) and the Climate Change Indicators Dashboard.
In conclusion, the IMF is a valuable partner, and we encourage it to remain ambitious in its climate strategy while remaining attentive to country-specific needs and circumstances.</t>
  </si>
  <si>
    <t>bangrim kibassim madjiyam herv</t>
  </si>
  <si>
    <t>Bangrim Kibassim</t>
  </si>
  <si>
    <t>MBANGRIMKIBASSIM@imf.org</t>
  </si>
  <si>
    <t>NW6KG46YH</t>
  </si>
  <si>
    <t>Chad</t>
  </si>
  <si>
    <t>Other (please specify) : Green Climate Fund</t>
  </si>
  <si>
    <t>Ana Rita</t>
  </si>
  <si>
    <t>Ribeiro Mateus</t>
  </si>
  <si>
    <t>AMateus@imf.org</t>
  </si>
  <si>
    <t>E4169YJLW</t>
  </si>
  <si>
    <t>Portugal</t>
  </si>
  <si>
    <t>Other (please specify) : Recovery and Resilience Facility and the European Investment Bank</t>
  </si>
  <si>
    <t>The IMF should continue to actively engage in climate-related issues from an economic standpoint. Pigou’s insights on externalities and Pigouvian taxation have been part of mainstream public economics for a century and remind us how one cannot consider climate-change related matters as new or “non-core” economics, given that greenhouse gas emissions are a textbook negative
externality, with global costs not borne by emitters. These emissions also cross borders, making climate change a clear case of international externalities that demand coordinated global action. With its macroeconomic mandate and global reach, the IMF is uniquely positioned to promote carbon pricing, green subsidies, climate-informed fiscal frameworks, and proper management of climate-related financial risks. Moreover, climate adaptation is critical for countries disproportionately affected by natural disasters. As with other areas like governance and AI, the IMF’s resource allocation should be guided by the principle of macrocriticality—ensuring focus where climate risks (or other relevant areas) threaten macroeconomic resilience and/or impose significant externalities to others. 
Please note that we responded to Q.8 from the strict perspective of bilateral surveillance. The Portuguese authorities are nonetheless very aware of the cooperation between the Fund and the World Bank on climate-related issues, including for RSF designs. 
Please note that we responded to Q13 considering any climate-related financing that Portugal received from non-private sources during the surveyed period, even if Portugal is not eligible for the RST. By design, all EU countries had to use a significant part of the resources received from the Recovery and Resilience Facility for climate/energy - related purposes.</t>
  </si>
  <si>
    <t>Samir Belhaj</t>
  </si>
  <si>
    <t>Belhaj</t>
  </si>
  <si>
    <t>sbelhaj@imf.org</t>
  </si>
  <si>
    <t>QMQK2917F</t>
  </si>
  <si>
    <t>Tunisia</t>
  </si>
  <si>
    <t>6WORG754F</t>
  </si>
  <si>
    <t>Dominican Republic</t>
  </si>
  <si>
    <t>RRWK5GL7B</t>
  </si>
  <si>
    <t>Burkina Faso</t>
  </si>
  <si>
    <t>Michiel</t>
  </si>
  <si>
    <t>van Aarnhem</t>
  </si>
  <si>
    <t>mvanaarnhem@imf.org</t>
  </si>
  <si>
    <t>ZMOLG5JLG</t>
  </si>
  <si>
    <t>Netherlands</t>
  </si>
  <si>
    <t>Should be demand driven in bilateral surveillance and focus on macro critical aspects of climate.</t>
  </si>
  <si>
    <t>JQMKW0DMR</t>
  </si>
  <si>
    <t>Türkiye</t>
  </si>
  <si>
    <t>ON9KJGMEB</t>
  </si>
  <si>
    <t>Comoros</t>
  </si>
  <si>
    <t>Miha</t>
  </si>
  <si>
    <t>Pucnik</t>
  </si>
  <si>
    <t>MPucnik@imf.org</t>
  </si>
  <si>
    <t>L2MKOE2YM</t>
  </si>
  <si>
    <t>Slovenia</t>
  </si>
  <si>
    <t>Albert Marie Ludmilla</t>
  </si>
  <si>
    <t>Allien</t>
  </si>
  <si>
    <t>aallien@imf.org</t>
  </si>
  <si>
    <t>QMQK29MKP</t>
  </si>
  <si>
    <t>Haiti</t>
  </si>
  <si>
    <t>V20</t>
  </si>
  <si>
    <t>Meghann</t>
  </si>
  <si>
    <t>Puloc'h</t>
  </si>
  <si>
    <t>mpuloch@imf.org</t>
  </si>
  <si>
    <t>91JR2710A</t>
  </si>
  <si>
    <t>OEDFF</t>
  </si>
  <si>
    <t>France</t>
  </si>
  <si>
    <t>European Commission and European Central Bank</t>
  </si>
  <si>
    <t>The Fund should preserve its role on surveillance in the current geopolitical context and ensure that it remains candid and evenhanded in its advice on climate mitigation for the biggest emitters while not triggering strong backlash from them.
The Fund should scale up its ability to (financially) support climate related reforms. The second round of contributions to the RST should allow to respond to increasing demand. Besides, some targeted changes may be needed to avoid discontinuity in the Fund’s engagement on climate with countries (e.g., create room for a successor RSF program, which is not possible currently in countries which got maximum access; or reflect on precautionary RSF).
The Fund should ensure strong coordination with the WB, and possibly other partners. It needs to get it right in RSF countries to avoid duplication. We proposed a joint matrix of reforms and grounding RSF measures in shared diagnostics and country’s strategies (long-term strategies and national adaptation plans).</t>
  </si>
  <si>
    <t>Ingrid</t>
  </si>
  <si>
    <t>Solberg</t>
  </si>
  <si>
    <t>isolberg3@imf.org</t>
  </si>
  <si>
    <t>4NWROGN5I</t>
  </si>
  <si>
    <t>Norway</t>
  </si>
  <si>
    <t>Coverage of climate change issues, along with other issues deemed macro-critical, should be country specific and guided by identification of macro-criticality. The assessment should take into account that emissions from individual countries can be macro-critical at a global level. Moreover, the Fund should look further at how climate related analysis and policy advice can be better integrated into macroeconomic frameworks.</t>
  </si>
  <si>
    <t>Elisa</t>
  </si>
  <si>
    <t>Sales</t>
  </si>
  <si>
    <t>esales@imf.org</t>
  </si>
  <si>
    <t>8GZQNDG2X</t>
  </si>
  <si>
    <t>Malta</t>
  </si>
  <si>
    <t>Early last year, we held a call with IMF Experts on climate studies and to see how this could be adapted to Malta. We organised calls with local experts but data for Malta was unavailable. NGFS</t>
  </si>
  <si>
    <t>Other (please specify) : No current need</t>
  </si>
  <si>
    <t>Manuel Coronel</t>
  </si>
  <si>
    <t>Coronel</t>
  </si>
  <si>
    <t>mcoronel@imf.org</t>
  </si>
  <si>
    <t>YEPK17EPY</t>
  </si>
  <si>
    <t>Nicaragua</t>
  </si>
  <si>
    <t>The IMF should not have dedicated any resources</t>
  </si>
  <si>
    <t>Other (please specify) : unwillingness by management</t>
  </si>
  <si>
    <t>29LRWG99E</t>
  </si>
  <si>
    <t>Suriname</t>
  </si>
  <si>
    <t>During Article IV mission in 2024, IMF Staff visited the National Environmental Authority (NMA) in Suriname.</t>
  </si>
  <si>
    <t>Other (please specify) : Engagement between Suriname and the IMF for a program started in 2021. The RSF was not yet established and Surinamehad no running UCT program at that time.</t>
  </si>
  <si>
    <t>Assist countries in setting up robust climate change frameworks and capacity for policy purposes, but to also enable access to climate financing.</t>
  </si>
  <si>
    <t>Yasuaki Inada</t>
  </si>
  <si>
    <t>Inada</t>
  </si>
  <si>
    <t>yinada@imf.org</t>
  </si>
  <si>
    <t>JQMKW0J5K</t>
  </si>
  <si>
    <t>OEDJA</t>
  </si>
  <si>
    <t>Japan</t>
  </si>
  <si>
    <t>Rashad</t>
  </si>
  <si>
    <t>Hasanov</t>
  </si>
  <si>
    <t>rhasanov@imf.org</t>
  </si>
  <si>
    <t>E4169YW0Q</t>
  </si>
  <si>
    <t>Azerbaijan</t>
  </si>
  <si>
    <t>Gina</t>
  </si>
  <si>
    <t>Fitzgerald</t>
  </si>
  <si>
    <t>gfitzgerald2@imf.org</t>
  </si>
  <si>
    <t>0W7RLJQNI</t>
  </si>
  <si>
    <t>Republic of Ireland</t>
  </si>
  <si>
    <t>Recognize that the IMF has made significant strides in its understanding and expertise in the area of climate change in recent years, with significant value for SDS. Consider that macrocritical aspects of climate change should continue to feature prominently in the IMF's focus going forward, across the bi- and multilateral surveillance, the lending toolkit and CD.</t>
  </si>
  <si>
    <t>Hana</t>
  </si>
  <si>
    <t>hhejlova@imf.org</t>
  </si>
  <si>
    <t>L2MKOEDJS</t>
  </si>
  <si>
    <t>Czech Republic</t>
  </si>
  <si>
    <t>The IMF should only engage in climate issues when they are macro-critical in the individual country cases and result in balance of payments problems. Even in those cases, the IMF should outsource the climate-related analysis, policy advice etc. from other IFIs with comparable advantage in this field.
We caution against drawing conclusions from this survey as the answers may not be consistent across countries.</t>
  </si>
  <si>
    <t>yakben@imf.org</t>
  </si>
  <si>
    <t>RRWK5G95C</t>
  </si>
  <si>
    <t>Other (please specify) : My country has access to international capital markets for climate financing</t>
  </si>
  <si>
    <t>Gregory Basile</t>
  </si>
  <si>
    <t>Basile</t>
  </si>
  <si>
    <t>gbasile@imf.org</t>
  </si>
  <si>
    <t>91JR27Z0G</t>
  </si>
  <si>
    <t>The IMF's work in the climate space has substantially squeezed on the time its staff has to engage with members on issues to which its core mandate applies and which its staff are experts in.  The Fund should radically reduce its workload in this space to only issues that affect balance of payments stability directly, are within the Fund's mandate, and for which its staff has expertise and therefore provide a value add to the member.  Relying on outside experts for IMF advice and conditionality is a further deterioration of the Fund's efforts and should not be seen as a mechanism to get around the last qualifier.  This mission creep has deteriorated the Fund's focus on truly pressing macroeconomic issues, particularly external imbalances.</t>
  </si>
  <si>
    <t>8GZQND52C</t>
  </si>
  <si>
    <t>Togo</t>
  </si>
  <si>
    <t>Eduard Hagara</t>
  </si>
  <si>
    <t>Hagara</t>
  </si>
  <si>
    <t>EHagara@imf.org</t>
  </si>
  <si>
    <t>YEPK17YPP</t>
  </si>
  <si>
    <t>Slovak Republic</t>
  </si>
  <si>
    <t>Other (please specify) : European Union (within Recovery and Resilience Facility)</t>
  </si>
  <si>
    <t>5EJR1M20R</t>
  </si>
  <si>
    <t>Spain</t>
  </si>
  <si>
    <t>NW6KG499C</t>
  </si>
  <si>
    <t>Romania</t>
  </si>
  <si>
    <t>Olga</t>
  </si>
  <si>
    <t>Zubareva</t>
  </si>
  <si>
    <t>OZubareva@imf.org</t>
  </si>
  <si>
    <t>WM0KEP7NC</t>
  </si>
  <si>
    <t>OEDRU</t>
  </si>
  <si>
    <t>Russian Federation</t>
  </si>
  <si>
    <t>Providing advice on monetary and fiscal policy within IMF’s mandate</t>
  </si>
  <si>
    <t>•	The Fund should focus on macroeconomic, fiscal, and monetary aspects of climate change problems in line with its mandate and only when its macrocritical. We are concerned about the existing resources constraints, and, in this regard, we deem that the IMF’s resources should be predominately allocated to the areas central to the Fund’s mandate.
•	Given the growing intensity and frequency of physical climate risks, the Fund should pursue ad-hoc approach and put more efforts in incorporation of climate risks in its work – in capacity building only in countries most at risk.
•	While developing recommendations during the Fund surveillance activities, the Fund should take into account country’s nationally defined climate strategies / NDCs and capabilities. 
•	Regarding the RST, it is important to ensure that RSF programs provide fair treatment of all eligible members. Reform measures under the programs should consider countries’ capacity constraints. We also would like to acknowledge the necessity of contributors’ rights protection and of more robust safeguards for them (corresponding contributions to the Reserve Account and to the Deposit Account).  
•	We consider that the IMF should focus more on adaptation and transition issues in low-income countries, as their input in mitigation is very low.
•	Challenges persist in the Fund’s engagement with external partners in terms of duplication of efforts and creating synergies.
•	Russian Federation is open to collaborate with the IMF on climate-related and other issues, however, the interaction has been suspended by the Fund. In this regard, we are concerned about the evenhandedness issues and the high level of politization of the IMF’s work.</t>
  </si>
  <si>
    <t>Lilia</t>
  </si>
  <si>
    <t>Kadyrberdieva</t>
  </si>
  <si>
    <t>lkadyrberdieva2@imf.org</t>
  </si>
  <si>
    <t>0W7RL9ONG</t>
  </si>
  <si>
    <t>Kyrgyz Republic (Kyrgyzstan)</t>
  </si>
  <si>
    <t>K6MKED8RP</t>
  </si>
  <si>
    <t>Belgium</t>
  </si>
  <si>
    <t>The IMF plays a role in providing macroeconomic advice on how to work towards climate-related objectives in the most cost-effective way. The IMF does not have a role in defining climate-related objectives (e.g. the needed reductions in CO2).</t>
  </si>
  <si>
    <t>ZMOLG0Z6T</t>
  </si>
  <si>
    <t>Egypt</t>
  </si>
  <si>
    <t>Other (please specify) : AIIB (Green Panda Bonds and Climate Based Policy Financing co-financed</t>
  </si>
  <si>
    <t>Vitas</t>
  </si>
  <si>
    <t>Vasiliauskas</t>
  </si>
  <si>
    <t>VVasiliauskas@imf.org</t>
  </si>
  <si>
    <t>P6LQNJK7X</t>
  </si>
  <si>
    <t>Lithuania</t>
  </si>
  <si>
    <t>Other (please specify) : European Union (RRF, Cohesion funds, etc)</t>
  </si>
  <si>
    <t>91JR2MK0G</t>
  </si>
  <si>
    <t>St. Kitts and Nevis</t>
  </si>
  <si>
    <t>The authorities believe that it would be essential for the Executive Board to gain a deeper understanding of how the Fund's climate change initiatives would impact the Caribbean region - a region that is highly vulnerable to climate change. They have expressed concern that the access levels under the RSF are too low to meet their needs.  Moreover, they view the conditionalities associated with a mandatory UCT program as overly burdensome.  A better understanding by the Executive Board of the region's unique vulnerabilities and significant fiscal pressures that climate change imposes on small island economies would help ensure that the Fund's support is adequate and appropriately tailored.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</si>
</sst>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3"/>
      <color theme="1"/>
      <name val="Calibri"/>
      <family val="2"/>
    </font>
    <font>
      <sz val="12"/>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EDEDED"/>
        <bgColor indexed="64"/>
      </patternFill>
    </fill>
    <fill>
      <patternFill patternType="solid">
        <fgColor rgb="FFFFC000"/>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49" fontId="2" fillId="0" borderId="0" xfId="0" applyNumberFormat="1" applyFont="1" applyAlignment="1">
      <alignment wrapText="1"/>
    </xf>
    <xf numFmtId="0" fontId="0" fillId="2" borderId="0" xfId="0" applyFill="1"/>
    <xf numFmtId="22" fontId="2" fillId="0" borderId="0" xfId="0" applyNumberFormat="1" applyFont="1"/>
    <xf numFmtId="49" fontId="2" fillId="3" borderId="0" xfId="0" applyNumberFormat="1" applyFont="1" applyFill="1" applyAlignment="1">
      <alignment wrapText="1"/>
    </xf>
    <xf numFmtId="22" fontId="2" fillId="3" borderId="0" xfId="0" applyNumberFormat="1" applyFont="1" applyFill="1"/>
    <xf numFmtId="49" fontId="2" fillId="4" borderId="0" xfId="0" applyNumberFormat="1" applyFont="1" applyFill="1" applyAlignment="1">
      <alignment wrapText="1"/>
    </xf>
    <xf numFmtId="0" fontId="0" fillId="4" borderId="0" xfId="0" applyFill="1"/>
    <xf numFmtId="22" fontId="2" fillId="4" borderId="0" xfId="0" applyNumberFormat="1" applyFont="1" applyFill="1"/>
    <xf numFmtId="49" fontId="2" fillId="0" borderId="0" xfId="0" quotePrefix="1" applyNumberFormat="1" applyFont="1" applyAlignment="1">
      <alignment wrapText="1"/>
    </xf>
    <xf numFmtId="49" fontId="2" fillId="3" borderId="0" xfId="0" quotePrefix="1" applyNumberFormat="1" applyFont="1" applyFill="1" applyAlignment="1">
      <alignment wrapText="1"/>
    </xf>
  </cellXfs>
  <cellStyles count="1">
    <cellStyle name="Normal" xfId="0" builtinId="0"/>
  </cellStyles>
  <dxfs count="1">
    <dxf>
      <numFmt numFmtId="0" formatCode="General"/>
      <fill>
        <patternFill>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73856-A168-41C7-8B90-87697068EFEC}" name="Table1" displayName="Table1" ref="A1:GL139" totalsRowShown="0">
  <autoFilter ref="A1:GL139" xr:uid="{00000000-000C-0000-FFFF-FFFF00000000}"/>
  <tableColumns count="194">
    <tableColumn id="1" xr3:uid="{36117245-472A-4A49-A81E-8B84529C4460}" name="First Name"/>
    <tableColumn id="2" xr3:uid="{54BB5E49-488A-4690-97B7-633FEF08978A}" name="Last Name"/>
    <tableColumn id="3" xr3:uid="{2B49E176-85AD-4E4D-B9F3-F062BAADF53D}" name="Email Address"/>
    <tableColumn id="4" xr3:uid="{CED54F83-8696-4F2D-845B-AC08ABC7BC9D}" name="Response Code"/>
    <tableColumn id="5" xr3:uid="{05D99400-5C58-4434-B9F8-ABC3112EF5DA}" name="A. Demographics"/>
    <tableColumn id="6" xr3:uid="{088F27F1-ABC9-4504-9523-6A0A50E4DACF}" name="1. Select the OED you represent."/>
    <tableColumn id="7" xr3:uid="{E7008339-C9E0-49B7-8D65-DB32E0C84872}" name="1.1. Please select the country you are responding for."/>
    <tableColumn id="8" xr3:uid="{E7112043-4898-4D52-BDAA-44C103085CED}" name="1.2. Please select the country you are responding for."/>
    <tableColumn id="9" xr3:uid="{4ECE920B-37C7-43F3-A387-3B7E87C12F07}" name="1.3. Please select the country you are responding for."/>
    <tableColumn id="10" xr3:uid="{72E97294-107C-4872-82B1-AC149CFBEBE5}" name="1.4. Please select the country you are responding for."/>
    <tableColumn id="11" xr3:uid="{D8A75752-C232-4B16-93F7-CB99AFAF5787}" name="1.5. Please select the country you are responding for."/>
    <tableColumn id="12" xr3:uid="{ED9EAA5E-ED77-47B0-B334-3BF47361804C}" name="1.6. Please select the country you are responding for."/>
    <tableColumn id="13" xr3:uid="{2613DE24-D2CC-4E71-B8BF-5D79BBFE5195}" name="1.7. Please select the country you are responding for."/>
    <tableColumn id="14" xr3:uid="{5941FFB9-AC32-4EFB-8A1F-CFA67EB034A3}" name="1.8. Please select the country you are responding for."/>
    <tableColumn id="15" xr3:uid="{6F1D1703-C050-4C0A-B664-0520CA1228A9}" name="1.9. Please select the country you are responding for."/>
    <tableColumn id="16" xr3:uid="{C9805A79-7CA8-43FA-BC22-A610CAA34E77}" name="1.10. Please select the country you are responding for."/>
    <tableColumn id="17" xr3:uid="{974AA996-D51B-459F-B2DA-BA270F96F429}" name="1.11. Please select the country you are responding for."/>
    <tableColumn id="18" xr3:uid="{C4E9A295-87A8-4C15-A248-D532DB17559F}" name="1.12. Please select the country you are responding for."/>
    <tableColumn id="19" xr3:uid="{EED72928-395E-4D73-AFF7-FA260D258351}" name="1.13. Please select the country you are responding for."/>
    <tableColumn id="20" xr3:uid="{9685EB3F-9193-4230-9925-009828C61044}" name="1.14. Please select the country you are responding for."/>
    <tableColumn id="21" xr3:uid="{72A376FA-F1CB-4B91-A432-A324D2B91824}" name="1.15. Please select the country you are responding for."/>
    <tableColumn id="22" xr3:uid="{7B388506-C515-4626-8167-7234308E32C4}" name="1.16. Please select the country you are responding for."/>
    <tableColumn id="23" xr3:uid="{A48F3963-2ABD-490C-93D4-C82D4315F69C}" name="1.17. Please select the country you are responding for."/>
    <tableColumn id="24" xr3:uid="{7FFBF3EF-E2C1-481C-B18C-16357325A443}" name="1.18. Please select the country you are responding for."/>
    <tableColumn id="25" xr3:uid="{C7A3E3D8-A05B-4F20-B414-DD9096224CDE}" name="1.19. Please select the country you are responding for."/>
    <tableColumn id="26" xr3:uid="{511D9A5D-F032-4F53-8D9C-8A5D1C8CEF7A}" name="1.20. Please select the country you are responding for."/>
    <tableColumn id="27" xr3:uid="{82B1F78E-DB8D-4E8B-B5A5-E19E5F2E0B2F}" name="1.21. Please select the country you are responding for."/>
    <tableColumn id="28" xr3:uid="{3352716B-1FF2-4DE0-8CB5-92AA454B164E}" name="1.22. Please select the country you are responding for."/>
    <tableColumn id="29" xr3:uid="{7F0FD358-E45B-4886-9B6B-0D1F5FC268E4}" name="1.23. Please select the country you are responding for."/>
    <tableColumn id="30" xr3:uid="{B028AF4E-D11C-45D8-AD07-7A8E9DDFFE4A}" name="1.24. Please select the country you are responding for."/>
    <tableColumn id="31" xr3:uid="{B3160879-5651-4DC9-83AB-3B99D3E5A6AB}" name="1.25. Please select the country you are responding for."/>
    <tableColumn id="195" xr3:uid="{D576C5F6-EE05-457D-9499-B615235B3711}" name="Please select the country you are responding for. (Merged)" dataDxfId="0"/>
    <tableColumn id="32" xr3:uid="{F4A5B824-59E9-48EE-BA33-452F07DF87A2}" name="2. Which statement best reflects your country’s view regarding the extent to which the IMF should engage on climate change-related issues going forward, compared to the evaluation period (2021-2025)?"/>
    <tableColumn id="33" xr3:uid="{DF06E3C0-0B86-46B6-A458-8A0CE81BDC9F}" name="3. To what extent does your country believe the following IMF outputs and activities have created value added for your country in the area of climate change?: Article IV consultations and Selected Issues Papers (SIPs)"/>
    <tableColumn id="34" xr3:uid="{A5C76159-F64D-4AFA-BCC3-89B6BDB8DF04}" name="3. To what extent does your country believe the following IMF outputs and activities have created value added for your country in the area of climate change?: Flagship reports (e.g., World Economic Outlook (WEO), Fiscal Monitor (FM), Global Financial Stab"/>
    <tableColumn id="35" xr3:uid="{75377E41-FE2F-4E71-8A97-3B4748B060E2}" name="3. To what extent does your country believe the following IMF outputs and activities have created value added for your country in the area of climate change?: Financial Sector Assessment Programs (FSAPs)"/>
    <tableColumn id="36" xr3:uid="{7E495BE7-14B7-4AF2-80BE-C3B2B8FF6F50}" name="3. To what extent does your country believe the following IMF outputs and activities have created value added for your country in the area of climate change?: Research and analytical work (e.g., working papers, books, and staff climate notes)"/>
    <tableColumn id="37" xr3:uid="{229BD654-5F7C-4805-A1FD-1CD33D6075BD}" name="3. To what extent does your country believe the following IMF outputs and activities have created value added for your country in the area of climate change?: Climate-related models and tools (e.g., Climate Policy Assessment Tool (CPAT), Debt-Investment-G"/>
    <tableColumn id="38" xr3:uid="{55BD0C01-5DDD-4291-A501-186AD9276286}" name="3. To what extent does your country believe the following IMF outputs and activities have created value added for your country in the area of climate change?: Resilience and Sustainability Facility (RSF)"/>
    <tableColumn id="39" xr3:uid="{D7F33CB0-FD5E-4F44-A71B-1F9B122AB2D5}" name="3. To what extent does your country believe the following IMF outputs and activities have created value added for your country in the area of climate change?: Climate finance mobilization (e.g., climate finance roundtables)"/>
    <tableColumn id="40" xr3:uid="{2BE04D40-7089-44BC-BC1C-34D6AFF120BD}" name="3. To what extent does your country believe the following IMF outputs and activities have created value added for your country in the area of climate change?: Technical assistance (e.g., Climate Policy Diagnostic (CPD) and Climate-module of Public Investm"/>
    <tableColumn id="41" xr3:uid="{B5C5CAB5-F6F7-4978-A77F-A3C807B6E91C}" name="3. To what extent does your country believe the following IMF outputs and activities have created value added for your country in the area of climate change?: Training courses (e.g., The Macroeconomics of Climate Change)"/>
    <tableColumn id="42" xr3:uid="{1B23129E-36DC-4949-9BCE-5DD00618BCF3}" name="3. To what extent does your country believe the following IMF outputs and activities have created value added for your country in the area of climate change?: Climate data (e.g., the Climate Change Indicators Dashboard)"/>
    <tableColumn id="43" xr3:uid="{342C0CA9-F566-4C25-86C4-A9261E9BA6B5}" name="3. To what extent does your country believe the following IMF outputs and activities have created value added for your country in the area of climate change?: Climate advocacy efforts at the national, regional, and global levels"/>
    <tableColumn id="44" xr3:uid="{D2B5B45A-101A-4BD4-8CC3-74D3BE952D1F}" name="B. Surveillance"/>
    <tableColumn id="45" xr3:uid="{6DB92202-244E-4DC0-A2AB-38749522BD10}" name="4. Based on your country’s experience in the context of Article IV consultations, to what extent has IMF surveillance of climate change-related issues:: Been requested by your country"/>
    <tableColumn id="46" xr3:uid="{1CE1B3C9-75FB-49B4-B837-1947D16C1B7A}" name="4. Based on your country’s experience in the context of Article IV consultations, to what extent has IMF surveillance of climate change-related issues:: Been integrated within traditional IMF core policy areas (i.e., exchange rate, monetary, fiscal, and f"/>
    <tableColumn id="47" xr3:uid="{0B89E1D0-1BFA-4CD8-8F5D-1A0C4B1BC4B3}" name="4. Based on your country’s experience in the context of Article IV consultations, to what extent has IMF surveillance of climate change-related issues:: Crowded out other areas of work"/>
    <tableColumn id="48" xr3:uid="{A5656620-BC73-4B54-9E87-D15E2F0A2AF5}" name="4. Based on your country’s experience in the context of Article IV consultations, to what extent has IMF surveillance of climate change-related issues:: Enhanced your country’s understanding of the issues"/>
    <tableColumn id="49" xr3:uid="{A298D72C-A9A7-48E7-A451-4D808FD7F9B3}" name="4. Based on your country’s experience in the context of Article IV consultations, to what extent has IMF surveillance of climate change-related issues:: Had traction (e.g., contributed to policy formulation)"/>
    <tableColumn id="50" xr3:uid="{2AA2A07A-8C61-4B67-AF30-146F1D2E6756}" name="4. Based on your country’s experience in the context of Article IV consultations, to what extent has IMF surveillance of climate change-related issues:: Been conducted in a manner consistent with the principle of uniformity of treatment across countries"/>
    <tableColumn id="51" xr3:uid="{E3468E11-F231-4813-9BF1-D31EE98F021D}" name="5. Based on your country’s experience in the context of flagship reports (e.g., World Economic Outlook (WEO), Fiscal Monitor (FM), Global Financial Stability Report (GFSR), Regional Economic Outlook (REO)), to what extent has IMF surveillance of climate c"/>
    <tableColumn id="52" xr3:uid="{A1D29C63-4B66-40B8-96AF-19BE54AC0967}" name="5. Based on your country’s experience in the context of flagship reports (e.g., World Economic Outlook (WEO), Fiscal Monitor (FM), Global Financial Stability Report (GFSR), Regional Economic Outlook (REO)), to what extent has IMF surveillance of clim (2)"/>
    <tableColumn id="53" xr3:uid="{65402AF6-56A0-4D37-8E7B-6A5C5C9872CB}" name="5. Based on your country’s experience in the context of flagship reports (e.g., World Economic Outlook (WEO), Fiscal Monitor (FM), Global Financial Stability Report (GFSR), Regional Economic Outlook (REO)), to what extent has IMF surveillance of clim (3)"/>
    <tableColumn id="54" xr3:uid="{B8EDC05F-398A-4ACB-AAEA-F1BE0BDA0D21}" name="5. Based on your country’s experience in the context of flagship reports (e.g., World Economic Outlook (WEO), Fiscal Monitor (FM), Global Financial Stability Report (GFSR), Regional Economic Outlook (REO)), to what extent has IMF surveillance of clim (4)"/>
    <tableColumn id="55" xr3:uid="{9D15EE6B-BF31-4E11-BB4E-CBDA4C30FBC9}" name="5. Based on your country’s experience in the context of flagship reports (e.g., World Economic Outlook (WEO), Fiscal Monitor (FM), Global Financial Stability Report (GFSR), Regional Economic Outlook (REO)), to what extent has IMF surveillance of clim (5)"/>
    <tableColumn id="56" xr3:uid="{E6C8D7A1-3D51-4D53-AB83-2BF418FD748F}" name="6. Based on your country’s experience in the context of FSAPs, to what extent has IMF surveillance of climate change-related issues:: Been requested by your country"/>
    <tableColumn id="57" xr3:uid="{75B9F075-E726-48FE-8E2A-9BFF00CD0487}" name="6. Based on your country’s experience in the context of FSAPs, to what extent has IMF surveillance of climate change-related issues:: Crowded out other areas of work"/>
    <tableColumn id="58" xr3:uid="{E90C1275-C361-4547-ABBD-DAE185C498E4}" name="6. Based on your country’s experience in the context of FSAPs, to what extent has IMF surveillance of climate change-related issues:: Enhanced your country’s understanding of the issues"/>
    <tableColumn id="59" xr3:uid="{58A296B0-0350-4919-8A8A-642F190820DF}" name="6. Based on your country’s experience in the context of FSAPs, to what extent has IMF surveillance of climate change-related issues:: Had traction (e.g., contributed to policy formulation)"/>
    <tableColumn id="60" xr3:uid="{E014957E-AB84-457F-93BE-E33EDCEE0A9A}" name="6. Based on your country’s experience in the context of FSAPs, to what extent has IMF surveillance of climate change-related issues:: Been conducted in a manner consistent with the principle of uniformity of treatment across countries"/>
    <tableColumn id="61" xr3:uid="{2A410714-ED8C-4780-9812-76F936819E69}" name="7. Based on your country’s experience in the context of research and analytical work (e.g., working papers, books, and staff climate notes) to what extent has IMF surveillance of climate change-related issues:: Been integrated within traditional IMF core "/>
    <tableColumn id="62" xr3:uid="{54E198A6-E401-48C3-82E1-9F32D84ACB69}" name="7. Based on your country’s experience in the context of research and analytical work (e.g., working papers, books, and staff climate notes) to what extent has IMF surveillance of climate change-related issues:: Crowded out other areas of work"/>
    <tableColumn id="63" xr3:uid="{049E40B3-8C43-41B6-8164-8968E774D0D1}" name="7. Based on your country’s experience in the context of research and analytical work (e.g., working papers, books, and staff climate notes) to what extent has IMF surveillance of climate change-related issues:: Enhanced your country’s understanding of the"/>
    <tableColumn id="64" xr3:uid="{B79C8AE1-11B0-4168-89C4-C6CCB634BD19}" name="7. Based on your country’s experience in the context of research and analytical work (e.g., working papers, books, and staff climate notes) to what extent has IMF surveillance of climate change-related issues:: Had traction (e.g., contributed to policy fo"/>
    <tableColumn id="65" xr3:uid="{729D88CC-09AB-4378-9549-C51C3E32DC63}" name="7. Based on your country’s experience in the context of research and analytical work (e.g., working papers, books, and staff climate notes) to what extent has IMF surveillance of climate change-related issues:: Been conducted in a manner consistent with t"/>
    <tableColumn id="66" xr3:uid="{1C41F188-2CB0-48F8-A58B-46C4565D2FA2}" name="8. Based on your country’s experience in the context of surveillance (i.e., Article IV consultations, flagship reports, FSAPs, and research and analytical work), to what extent did IMF staff draw on resources or collaborate with staff from the following e"/>
    <tableColumn id="67" xr3:uid="{64E9D3A6-EC4C-497F-9E75-14298B8B0C87}" name="8. Based on your country’s experience in the context of surveillance (i.e., Article IV consultations, flagship reports, FSAPs, and research and analytical work), to what extent did IMF staff draw on resources or collaborate with staff from the follow (2)"/>
    <tableColumn id="68" xr3:uid="{B84B4BDC-DE29-4F65-9BD3-C1729B07F422}" name="8. Based on your country’s experience in the context of surveillance (i.e., Article IV consultations, flagship reports, FSAPs, and research and analytical work), to what extent did IMF staff draw on resources or collaborate with staff from the follow (3)"/>
    <tableColumn id="69" xr3:uid="{F3883525-E8D0-4E19-8F4C-3AFD7DC1DE1B}" name="8. Based on your country’s experience in the context of surveillance (i.e., Article IV consultations, flagship reports, FSAPs, and research and analytical work), to what extent did IMF staff draw on resources or collaborate with staff from the follow (4)"/>
    <tableColumn id="70" xr3:uid="{BD9BC490-58C6-40ED-8DBC-E3E67CEBB71B}" name="8.1. Please specify 'Other' from above."/>
    <tableColumn id="71" xr3:uid="{C5290F24-5C1F-40D3-B953-407BC2F2EB34}" name="9. Which statement best reflects your country’s view regarding the extent to which the IMF’s resources dedicated to surveillance of climate change-related issues were appropriate during the evaluation period (2021-2025)?"/>
    <tableColumn id="72" xr3:uid="{B53952CA-A22C-442B-A0EB-9E1268160F51}" name="10. In your country’s view and looking ahead, to what extent should the IMF cover the following types of climate change-related issues in the following surveillance outputs?: Adaptation issues in Article IV consultations"/>
    <tableColumn id="73" xr3:uid="{9A3444B6-B447-4EDD-9C91-108FBC522740}" name="10. In your country’s view and looking ahead, to what extent should the IMF cover the following types of climate change-related issues in the following surveillance outputs?: Mitigation issues in Article IV consultations"/>
    <tableColumn id="74" xr3:uid="{6329DEF4-2F7A-4EEE-A892-6D299DD0B61F}" name="10. In your country’s view and looking ahead, to what extent should the IMF cover the following types of climate change-related issues in the following surveillance outputs?: Transition issues in Article IV consultations"/>
    <tableColumn id="75" xr3:uid="{49738415-BCCE-404C-8953-8482CF392A76}" name="10. In your country’s view and looking ahead, to what extent should the IMF cover the following types of climate change-related issues in the following surveillance outputs?: Adaptation issues in Flagship reports"/>
    <tableColumn id="76" xr3:uid="{65ECAD31-A3B2-4C20-B0A6-F6221CC18D61}" name="10. In your country’s view and looking ahead, to what extent should the IMF cover the following types of climate change-related issues in the following surveillance outputs?: Mitigation issues in Flagship reports"/>
    <tableColumn id="77" xr3:uid="{F1FEBC18-1B1D-4356-B2C5-9DF62C929103}" name="10. In your country’s view and looking ahead, to what extent should the IMF cover the following types of climate change-related issues in the following surveillance outputs?: Transition issues in Flagship reports"/>
    <tableColumn id="78" xr3:uid="{4F387BBB-3D79-42A3-84AC-16AFACBFA243}" name="10. In your country’s view and looking ahead, to what extent should the IMF cover the following types of climate change-related issues in the following surveillance outputs?: Adaptation issues in FSAPs"/>
    <tableColumn id="79" xr3:uid="{C8340D0D-7ACF-4695-818E-3AA129458082}" name="10. In your country’s view and looking ahead, to what extent should the IMF cover the following types of climate change-related issues in the following surveillance outputs?: Mitigation issues in FSAPs"/>
    <tableColumn id="80" xr3:uid="{3B0A07A7-F353-4E1C-9276-974A83D33A76}" name="10. In your country’s view and looking ahead, to what extent should the IMF cover the following types of climate change-related issues in the following surveillance outputs?: Transition issues in FSAPs"/>
    <tableColumn id="81" xr3:uid="{428106F2-5381-4586-97A4-359C64BFD32D}" name="10. In your country’s view and looking ahead, to what extent should the IMF cover the following types of climate change-related issues in the following surveillance outputs?: Adaptation issues in Research and analytical work"/>
    <tableColumn id="82" xr3:uid="{CA978369-F843-40FB-A5DE-8515E5539051}" name="10. In your country’s view and looking ahead, to what extent should the IMF cover the following types of climate change-related issues in the following surveillance outputs?: Mitigation issues in Research and analytical work"/>
    <tableColumn id="83" xr3:uid="{C0BD52F2-3AC1-4F87-8681-53D30DE8BAEA}" name="10. In your country’s view and looking ahead, to what extent should the IMF cover the following types of climate change-related issues in the following surveillance outputs?: Transition issues in Research and analytical work"/>
    <tableColumn id="84" xr3:uid="{B6A1C82D-1E10-4439-8CE0-56BD6938137E}" name="C. Lending"/>
    <tableColumn id="85" xr3:uid="{A5CF2A9F-2D35-47E1-96AF-5A97805C55AA}" name="11. Did your country receive support from the IMF under any of the following facilities during the evaluation period (2021-2025)?: Resilience and Sustainability Facility (RSF)"/>
    <tableColumn id="86" xr3:uid="{DCED90A3-FDC4-450F-B1DD-1A40154BCCE3}" name="11. Did your country receive support from the IMF under any of the following facilities during the evaluation period (2021-2025)?: Other IMF Facilities (e.g. ECF, EFF, FCL, PCI, PLL, RCF, RFI, SBA, SCF, SLL, SMP (including PMB))"/>
    <tableColumn id="87" xr3:uid="{C79AD5BB-4848-4E7E-8923-2D0D3C2391A4}" name="11.1. Based on your country’s experience with an RSF arrangement, to what extent:: Have climate change-related issues been integrated within traditional IMF core policy areas (i.e., exchange rate, monetary, fiscal, and financial sector)"/>
    <tableColumn id="88" xr3:uid="{57B1D132-F5ED-47BE-AD93-FB3E563298C8}" name="11.1. Based on your country’s experience with an RSF arrangement, to what extent:: Have the Reform Measures (RMs) been tailored to your country’s capacity and political economy context"/>
    <tableColumn id="89" xr3:uid="{1E7BE44C-6BC8-4FC4-8EFA-86037C118945}" name="11.1. Based on your country’s experience with an RSF arrangement, to what extent:: Have the RMs reflected an adequate level of ambition"/>
    <tableColumn id="90" xr3:uid="{576004D0-8FF7-40E4-A976-C578D4058B77}" name="11.1. Based on your country’s experience with an RSF arrangement, to what extent:: Were the RMs already on your country’s agenda before the RSF"/>
    <tableColumn id="91" xr3:uid="{091A1EE7-6AE6-42D1-ACC1-C5AD6AFC562D}" name="11.1. Based on your country’s experience with an RSF arrangement, to what extent:: Did the RMs balance your country’s adaptation, mitigation, and transition priorities"/>
    <tableColumn id="92" xr3:uid="{556E6766-EB2B-459E-87A3-17A1325AD65F}" name="11.1. Based on your country’s experience with an RSF arrangement, to what extent:: Did the IMF provide TA to support the RMs"/>
    <tableColumn id="93" xr3:uid="{2B5BEE8B-8B8C-42B6-91F1-7593B78FB7D8}" name="11.1. Based on your country’s experience with an RSF arrangement, to what extent:: Were the access levels determined based on clear criteria"/>
    <tableColumn id="94" xr3:uid="{CB352134-1272-4473-A95F-CFA417C477FB}" name="11.1. Based on your country’s experience with an RSF arrangement, to what extent:: Were access levels determined in accordance with the principle of uniformity of treatment"/>
    <tableColumn id="95" xr3:uid="{F4DA072C-30DB-4AC5-AC0F-CDA3F2979EBA}" name="11.1. Based on your country’s experience with an RSF arrangement, to what extent:: Were the financing amounts approved aligned with the criticality, ambition, and depth of the RMs"/>
    <tableColumn id="96" xr3:uid="{C02F572D-A7BB-493E-97F1-A6C926E31390}" name="11.1. Based on your country’s experience with an RSF arrangement, to what extent:: Did the RSF arrangement exhibit strong country ownership"/>
    <tableColumn id="97" xr3:uid="{A030A65B-846B-4597-AC99-18BEFF1972AD}" name="11.1. Based on your country’s experience with an RSF arrangement, to what extent:: Did IMF staff possess sufficient expertise to support the design and implementation of the RMs"/>
    <tableColumn id="98" xr3:uid="{209D8E2D-E482-4621-8D3A-AC91B3F41C3F}" name="11.1. Based on your country’s experience with an RSF arrangement, to what extent:: Did the RSF arrangement have a catalytic effect"/>
    <tableColumn id="99" xr3:uid="{F30A46AC-885A-4948-A79F-CCC1A50B356E}" name="11.1. Based on your country’s experience with an RSF arrangement, to what extent:: Could the objectives of the RSF arrangement be achieved using alternative IMF facilities and/or through other partners"/>
    <tableColumn id="100" xr3:uid="{FA083553-F700-4BDC-9906-0072B3D634B8}" name="11.1. Based on your country’s experience with an RSF arrangement, to what extent:: Did the RSF arrangement provide value added for your country"/>
    <tableColumn id="101" xr3:uid="{CBAAB612-FE42-4B01-91F8-3072438C6B32}" name="11.1. Based on your country’s experience with an RSF arrangement, to what extent:: Did the RSF arrangement fulfill your country’s initial expectations and objectives"/>
    <tableColumn id="102" xr3:uid="{8EB5DFBA-5F7B-4320-8C8B-B026B0E19359}" name="11.1. Based on your country’s experience with an RSF arrangement, to what extent:: Would your country be willing to enter a subsequent arrangement under the RSF"/>
    <tableColumn id="103" xr3:uid="{5E743E25-A95D-47A1-8487-96275AA72D91}" name="11.1. Based on your country’s experience with an RSF arrangement, to what extent:: Was IMF collaboration and coordination with partners (e.g., MDBs) effective in the design and implementation of the arrangement"/>
    <tableColumn id="104" xr3:uid="{BBF7A615-7E01-46D5-A851-B6E9B427A9E1}" name="11.1. Based on your country’s experience with an RSF arrangement, to what extent:: Have climate finance roundtables played a role in catalyzing additional resources"/>
    <tableColumn id="105" xr3:uid="{6CBC29E4-5E01-4EF8-86F7-2B1781D5FC6E}" name="11.2. Based on your country's experience with an RSF arrangement, please indicate what the financing was used for.: Additional new spending"/>
    <tableColumn id="106" xr3:uid="{F003C1CF-4608-4E78-A720-653FAE32EF81}" name="11.2. Based on your country's experience with an RSF arrangement, please indicate what the financing was used for.: Existing planned spending (substituting for other financing)"/>
    <tableColumn id="107" xr3:uid="{EE03D4EA-AFD0-4B2B-905A-25CD80788F93}" name="11.2. Based on your country's experience with an RSF arrangement, please indicate what the financing was used for.: Refinancing existing borrowing"/>
    <tableColumn id="108" xr3:uid="{7F93BA9B-08A1-4790-8454-E65268B4A1C0}" name="11.2. Based on your country's experience with an RSF arrangement, please indicate what the financing was used for.: Building reserves"/>
    <tableColumn id="109" xr3:uid="{95A27020-F1C4-4421-BFF5-F2B7499CE61B}" name="11.2. Based on your country's experience with an RSF arrangement, please indicate what the financing was used for.: Climate change-related policies"/>
    <tableColumn id="110" xr3:uid="{AF692328-1996-412C-9C10-CB5093C59EFF}" name="11.2. Based on your country's experience with an RSF arrangement, please indicate what the financing was used for.: Other (please specify)"/>
    <tableColumn id="111" xr3:uid="{630AA967-CB46-4C02-B8CF-B5C6E87529F9}" name="11.3. Based on your country’s experience with an RSF arrangement, and considering the facility’s climate change-focused objectives, to what extent:: Has the arrangement contributed to covering any shorter-term balance of payments (BoP)/ fiscal needs direc"/>
    <tableColumn id="112" xr3:uid="{EAF897E1-966F-4AC4-ABF2-5062C26EFD22}" name="11.3. Based on your country’s experience with an RSF arrangement, and considering the facility’s climate change-focused objectives, to what extent:: Has the arrangement increased policy space for fiscal spending and reforms associated with climate change-"/>
    <tableColumn id="113" xr3:uid="{F7F278E8-EE1C-4664-BB2F-4C2BA442487A}" name="11.3. Based on your country’s experience with an RSF arrangement, and considering the facility’s climate change-focused objectives, to what extent:: Has the arrangement augmented longer-term buffers to strengthen your country’s ability to face climate cha"/>
    <tableColumn id="114" xr3:uid="{B67CCF46-8988-4AE3-A6E2-3A666650C534}" name="11.4. Based on your country’s experience with an RSF arrangement, to what extent did IMF staff draw on resources or collaborate with staff from the following external partner organizations when carrying out their work during the evaluation period (2021-20"/>
    <tableColumn id="115" xr3:uid="{7F5B0826-78C1-486D-87BC-5F07FC4A33C4}" name="11.4. Based on your country’s experience with an RSF arrangement, to what extent did IMF staff draw on resources or collaborate with staff from the following external partner organizations when carrying out their work during the evaluation period (20 (2)"/>
    <tableColumn id="116" xr3:uid="{9EE94FA2-D38C-4F96-B41B-E754B2D3C09D}" name="11.4. Based on your country’s experience with an RSF arrangement, to what extent did IMF staff draw on resources or collaborate with staff from the following external partner organizations when carrying out their work during the evaluation period (20 (3)"/>
    <tableColumn id="117" xr3:uid="{362DCA68-A2C7-4CE7-AB2B-658659D2E4BF}" name="11.4. Based on your country’s experience with an RSF arrangement, to what extent did IMF staff draw on resources or collaborate with staff from the following external partner organizations when carrying out their work during the evaluation period (20 (4)"/>
    <tableColumn id="118" xr3:uid="{5B374029-D0A4-4AE6-A71E-F582B27B6080}" name="11.4.1. Please specify 'Other' from above."/>
    <tableColumn id="119" xr3:uid="{63F65F4B-BD84-4B0D-8155-7E226DCD8F3D}" name="12. Please indicate the reasons why your country has not had an arrangement under the RSF:: My country is not eligible for an RSF arrangement"/>
    <tableColumn id="120" xr3:uid="{032EB5CE-6524-44CB-871C-ACEA2A8F3ACF}" name="12. Please indicate the reasons why your country has not had an arrangement under the RSF:: Climate change does not pose a major balance of payments risk in my country"/>
    <tableColumn id="121" xr3:uid="{CA6EB1B2-DE3A-4CD8-BB07-FD8959CAAC16}" name="12. Please indicate the reasons why your country has not had an arrangement under the RSF:: Insufficient administrative capacity to implement an IMF   program concurrent with an RSF arrangement"/>
    <tableColumn id="122" xr3:uid="{6E9912F7-F2CE-47B6-889B-E139CE54D9E8}" name="12. Please indicate the reasons why your country has not had an arrangement under the RSF:: More convenient alternative financing options"/>
    <tableColumn id="123" xr3:uid="{54753320-ACCD-45A2-BB34-114AB3659CDF}" name="12. Please indicate the reasons why your country has not had an arrangement under the RSF:: My country requested an RSF arrangement but it has not been approved yet or the request did not progress"/>
    <tableColumn id="124" xr3:uid="{4274B8E8-572E-46FD-A69C-1695B755BFE3}" name="12. Please indicate the reasons why your country has not had an arrangement under the RSF:: An RSF arrangement would have been useful, but my country had no balance of payments issues/did not need/was not willing to commit to the underlying UCT program"/>
    <tableColumn id="125" xr3:uid="{F10CD307-8EDF-46F4-B1C1-7BF38A0D284F}" name="12. Please indicate the reasons why your country has not had an arrangement under the RSF:: Other (please specify)"/>
    <tableColumn id="126" xr3:uid="{06E3F65F-26A0-4253-963E-62567A735D3E}" name="13. Did your country receive any climate change-related financing from non-IMF sources over the evaluation period (2021-2025)?"/>
    <tableColumn id="127" xr3:uid="{BDE4C8E8-0E8E-4404-8144-A26B52639B4F}" name="13.1. Please indicate from which non-IMF sources your country received climate change-related financing.: World Bank Group"/>
    <tableColumn id="128" xr3:uid="{FCB60811-061D-4D92-AD22-18083495C4A0}" name="13.1. Please indicate from which non-IMF sources your country received climate change-related financing.: Regional development banks"/>
    <tableColumn id="129" xr3:uid="{C60CBFBE-4362-4EE5-8734-1FA00BF9979A}" name="13.1. Please indicate from which non-IMF sources your country received climate change-related financing.: Bilateral sources"/>
    <tableColumn id="130" xr3:uid="{190601E2-8FCA-49F2-B862-CBA57E0A969F}" name="13.1. Please indicate from which non-IMF sources your country received climate change-related financing.: Private sources"/>
    <tableColumn id="131" xr3:uid="{A31684DF-5D2C-4C8B-9E2C-3551FED1C5EB}" name="13.1. Please indicate from which non-IMF sources your country received climate change-related financing.: Other (please specify)"/>
    <tableColumn id="132" xr3:uid="{EB8FDB98-A4ED-4BBB-81ED-1D2E75114414}" name="13.2. Based on your country’s experience with climate change-related financing from non-IMF sources to what extent:: Does the RSF provide better financing terms compared to non-IMF sources"/>
    <tableColumn id="133" xr3:uid="{6D5DA717-F91F-49C3-9586-C0AA627A53B3}" name="13.2. Based on your country’s experience with climate change-related financing from non-IMF sources to what extent:: Is the RSF more accessible in terms of eligibility criteria and application process relative to non-IMF sources"/>
    <tableColumn id="134" xr3:uid="{803B605B-B022-4548-A849-4CC602924DA5}" name="13.2. Based on your country’s experience with climate change-related financing from non-IMF sources to what extent:: Is the RSF a more suitable instrument to achieve climate change-related goals than non-IMF sources"/>
    <tableColumn id="135" xr3:uid="{F681F7E5-BF2C-4E40-BE48-AA1E0D023FE1}" name="14. In your country’s view, with regards to the design of the RSF instrument, to what extent:: Is the requirement of an underlying UCT program an adequate feature"/>
    <tableColumn id="136" xr3:uid="{7FC389E3-6570-43C8-ACAC-C9F3C866E238}" name="14. In your country’s view, with regards to the design of the RSF instrument, to what extent:: Does it balance the short duration of the implementation phase and long-term climate change goals"/>
    <tableColumn id="137" xr3:uid="{C9C0C622-D9A6-435D-AD3F-6175B5F49CD3}" name="14. In your country’s view, with regards to the design of the RSF instrument, to what extent:: Does it incorporate an adequate framework to follow up on RMs’ objectives, and outcomes after program completion"/>
    <tableColumn id="138" xr3:uid="{ECFFA21D-B4BC-4BEA-BD1F-02B117770303}" name="14. In your country’s view, with regards to the design of the RSF instrument, to what extent:: Does it provide attractive financing terms"/>
    <tableColumn id="139" xr3:uid="{D6196CA3-2AD2-4D7E-8BDE-47EAA9EB0078}" name="15. In your country’s view, with regards to the future of the RSF, to what extent:: Should the cumulative access level cap be raised (from the smaller of 150 percent of quota or SDR 1 billion), enabling countries that have reached the current cap to be el"/>
    <tableColumn id="140" xr3:uid="{52A799DC-E975-4D15-9F5F-86C34DC3665A}" name="15. In your country’s view, with regards to the future of the RSF, to what extent:: Should the scope be broadened to address longer-term structural challenges beyond climate change-related and pandemic preparedness issues"/>
    <tableColumn id="141" xr3:uid="{CBC9D11F-5E0D-4F6F-B5FA-CD14B5721319}" name="15. In your country’s view, with regards to the future of the RSF, to what extent:: Should the duration of the implementation period be extended to support more ambitious and sustained RMs"/>
    <tableColumn id="142" xr3:uid="{ECD5A44C-C158-4643-9F77-C9B118289AAC}" name="16. Based on your country’s experience in the context of non-RSF IMF facilities, to what extent: Have climate change-related issues been integrated within traditional core policy areas (i.e., exchange rate, monetary, fiscal, and financial sector)"/>
    <tableColumn id="143" xr3:uid="{2B01A147-D491-46CA-839D-3D437D718AA6}" name="16. Based on your country’s experience in the context of non-RSF IMF facilities, to what extent: Have climate change-related issues crowded out other considerations in program design"/>
    <tableColumn id="144" xr3:uid="{5E4B2028-01F7-4E93-9934-521BE7723680}" name="16. Based on your country’s experience in the context of non-RSF IMF facilities, to what extent: Would it be feasible to achieve climate change-related objectives using non-RSF facilities"/>
    <tableColumn id="145" xr3:uid="{BB018FA4-F1C8-4FA3-AF74-72035F312FD0}" name="D. Capacity Development"/>
    <tableColumn id="146" xr3:uid="{F3155448-F7B1-4394-B1C6-A0930282324A}" name="17. Technical Assistance"/>
    <tableColumn id="147" xr3:uid="{AA411DB9-54C4-4537-8711-1810BC822E59}" name="18. Training"/>
    <tableColumn id="148" xr3:uid="{9E95B55E-361E-49A4-88E7-4459F6EF6544}" name="D. Capacity Development Continued"/>
    <tableColumn id="149" xr3:uid="{5F177424-7F48-4474-A478-779FCC0B2325}" name="19. Based on your country’s experience, to what extent has IMF climate change-related technical assistance been initiated by:: Your country"/>
    <tableColumn id="150" xr3:uid="{D0DDFE8E-469C-4AAB-B3AD-20DA709C85E8}" name="19. Based on your country’s experience, to what extent has IMF climate change-related technical assistance been initiated by:: An IMF area department"/>
    <tableColumn id="151" xr3:uid="{D7F61CCC-B71E-473A-83F7-EDFED336DFA8}" name="19. Based on your country’s experience, to what extent has IMF climate change-related technical assistance been initiated by:: An IMF functional department"/>
    <tableColumn id="152" xr3:uid="{46442B24-DF83-4689-BE22-2C9CFDA236E4}" name="19. Based on your country’s experience, to what extent has IMF climate change-related technical assistance been initiated by:: Other (please specify below)"/>
    <tableColumn id="153" xr3:uid="{E2D59B7F-5060-41DB-A6E3-8775374FE7C6}" name="19.1. Please specify 'other' from above."/>
    <tableColumn id="154" xr3:uid="{6BA744FA-5FB8-4A3D-A3B7-09ECE2491295}" name="20. Based on your country’s experience, to what extent has IMF climate change-related technical assistance:: Been integrated within traditional IMF core policy areas (i.e., exchange rate, monetary, fiscal, and financial sector)?"/>
    <tableColumn id="155" xr3:uid="{A2E19664-048D-4656-9E02-D7FD4D537C90}" name="20. Based on your country’s experience, to what extent has IMF climate change-related technical assistance:: Crowded out technical assistance on other policy areas"/>
    <tableColumn id="156" xr3:uid="{8889AF92-E023-44E1-B421-EF512C7D263A}" name="20. Based on your country’s experience, to what extent has IMF climate change-related technical assistance:: Been tailored to your country’s specific circumstances"/>
    <tableColumn id="157" xr3:uid="{B2E8DE75-E284-4303-B818-FCBC8C585374}" name="20. Based on your country’s experience, to what extent has IMF climate change-related technical assistance:: Been effective in building institutional capacity"/>
    <tableColumn id="158" xr3:uid="{FDDBDA58-434A-46FB-9B6C-7C1D3E8E2661}" name="20. Based on your country’s experience, to what extent has IMF climate change-related technical assistance:: Been mutually reinforcing and well-coordinated with IMF surveillance"/>
    <tableColumn id="159" xr3:uid="{1D98FF70-043A-4D06-A30C-767161145890}" name="20. Based on your country’s experience, to what extent has IMF climate change-related technical assistance:: Been mutually reinforcing and well-coordinated with IMF lending"/>
    <tableColumn id="160" xr3:uid="{702636B8-89D6-41EE-AAB1-917F29A2AC83}" name="20. Based on your country’s experience, to what extent has IMF climate change-related technical assistance:: Been monitored for its results"/>
    <tableColumn id="161" xr3:uid="{79712519-871B-4F1F-9E92-0C40B5FFE251}" name="20. Based on your country’s experience, to what extent has IMF climate change-related technical assistance:: Been assessed for its effectiveness"/>
    <tableColumn id="162" xr3:uid="{22ECD117-0F03-4AD0-885B-041D242EE56B}" name="20. Based on your country’s experience, to what extent has IMF climate change-related technical assistance:: Had follow-up engagement to support its implementation"/>
    <tableColumn id="163" xr3:uid="{117723EA-499F-4244-B04B-097049D8DE71}" name="21. Based on your country’s experience, to what extent has IMF-provided climate change-related training:: Been available to your country"/>
    <tableColumn id="164" xr3:uid="{0785B9BE-01DB-421C-8FCB-73B4BD13897F}" name="21. Based on your country’s experience, to what extent has IMF-provided climate change-related training:: Been integrated within traditional IMF core policy areas (i.e., exchange rate, monetary, fiscal, and financial sector)"/>
    <tableColumn id="165" xr3:uid="{20551DEA-CDB2-4FE9-981E-C4DA5F5EFBA4}" name="21. Based on your country’s experience, to what extent has IMF-provided climate change-related training:: Crowded out training on other policy areas"/>
    <tableColumn id="166" xr3:uid="{9E4831C5-C7BF-4943-AD16-47770FF14BD2}" name="21. Based on your country’s experience, to what extent has IMF-provided climate change-related training:: Been tailored to your country’s specific circumstances"/>
    <tableColumn id="167" xr3:uid="{C68BE15E-AE66-4B8F-B1F0-CEE76FF32716}" name="21. Based on your country’s experience, to what extent has IMF-provided climate change-related training:: Been effective in building institutional capacity"/>
    <tableColumn id="168" xr3:uid="{82FD209A-F7C5-4E34-B946-B0D1E7FE971D}" name="21. Based on your country’s experience, to what extent has IMF-provided climate change-related training:: Been mutually reinforcing and well-coordinated with IMF surveillance"/>
    <tableColumn id="169" xr3:uid="{62C6A4D7-4201-4B6C-9156-9507A16A8E57}" name="21. Based on your country’s experience, to what extent has IMF-provided climate change-related training:: Been mutually reinforcing and well-coordinated with IMF lending"/>
    <tableColumn id="170" xr3:uid="{426204E4-05DF-4C16-B07A-0C482357F600}" name="21. Based on your country’s experience, to what extent has IMF-provided climate change-related training:: Been monitored for its results"/>
    <tableColumn id="171" xr3:uid="{75C52DD7-6BB9-475D-B133-BAB8D03ADF22}" name="21. Based on your country’s experience, to what extent has IMF-provided climate change-related training:: Been assessed for its effectiveness"/>
    <tableColumn id="172" xr3:uid="{BC7AC338-14D9-4F97-9C34-D699BA68F00C}" name="21. Based on your country’s experience, to what extent has IMF-provided climate change-related training:: Had follow-up engagement to support its implementation"/>
    <tableColumn id="173" xr3:uid="{74D3D270-12E8-4A9C-9558-076E6F7D616F}" name="22. Based on your country’s experience in the context of capacity development (i.e., technical assistance and training), to what extent did IMF staff draw on resources or collaborate with staff from the following external partner organizations when carryi"/>
    <tableColumn id="174" xr3:uid="{E3128B87-D3E4-4B6F-9546-350740259377}" name="22. Based on your country’s experience in the context of capacity development (i.e., technical assistance and training), to what extent did IMF staff draw on resources or collaborate with staff from the following external partner organizations when c (2)"/>
    <tableColumn id="175" xr3:uid="{E176DA3C-D823-4BCC-85A7-6E5F7F39B195}" name="22. Based on your country’s experience in the context of capacity development (i.e., technical assistance and training), to what extent did IMF staff draw on resources or collaborate with staff from the following external partner organizations when c (3)"/>
    <tableColumn id="176" xr3:uid="{162017AC-C168-4F2B-B4AD-0726CB5D5447}" name="22. Based on your country’s experience in the context of capacity development (i.e., technical assistance and training), to what extent did IMF staff draw on resources or collaborate with staff from the following external partner organizations when c (4)"/>
    <tableColumn id="177" xr3:uid="{6232C38A-8940-42A9-81E0-55569ACB0E80}" name="22.1. Please specify 'other' from above."/>
    <tableColumn id="178" xr3:uid="{3A74D6BB-3E87-4AC1-849B-C9A6425A45F1}" name="23. Which statement best reflects your country’s view regarding the extent to which the IMF’s resources dedicated to climate change-related capacity development were appropriate during the evaluation period (2021-2025)?"/>
    <tableColumn id="179" xr3:uid="{FD90AA05-79DA-469F-99C5-8613DA4C78E5}" name="E. Overall Views"/>
    <tableColumn id="180" xr3:uid="{F063647C-BBB5-4BA4-BEE4-D5DBCD423F6B}" name="24. To what extent does your country believe the IMF has a comparative advantage in the following areas and therefore should work on them in the future?: Mobilizing climate finance, including through the catalytic effect of IMF lending and climate finance"/>
    <tableColumn id="181" xr3:uid="{A9B5D23E-C18C-450A-A616-8B3F01C58E6A}" name="24. To what extent does your country believe the IMF has a comparative advantage in the following areas and therefore should work on them in the future?: Contributing to inter-institutional coordination, including through the climate roundtables and clima"/>
    <tableColumn id="182" xr3:uid="{87A8AE63-5E15-49CF-8C39-94242E254084}" name="24. To what extent does your country believe the IMF has a comparative advantage in the following areas and therefore should work on them in the future?: Integrating climate and macroeconomic policy (technical and analytical work)"/>
    <tableColumn id="183" xr3:uid="{D3E0C78C-C570-4F1F-A270-8DFDD7AF07E7}" name="24. To what extent does your country believe the IMF has a comparative advantage in the following areas and therefore should work on them in the future?: Facilitating international climate policy coordination on adaptation, mitigation, and transition mana"/>
    <tableColumn id="184" xr3:uid="{412BF4F3-BACA-4ECA-8420-A162B5DE2A72}" name="24. To what extent does your country believe the IMF has a comparative advantage in the following areas and therefore should work on them in the future?: Other (please specify below)"/>
    <tableColumn id="185" xr3:uid="{A9D97C16-5801-41FB-8859-878D9E749CD6}" name="24.1. Please specify 'other' from above."/>
    <tableColumn id="186" xr3:uid="{467450E5-65D5-47F2-A911-498DF3455C92}" name="25. In your view, to what extent should the IMF prioritize in its work the following newer policy areas?: Artificial Intelligence (AI)"/>
    <tableColumn id="187" xr3:uid="{A31CFEEB-5F3B-474B-92DD-F664329C1E1A}" name="25. In your view, to what extent should the IMF prioritize in its work the following newer policy areas?: Climate Change"/>
    <tableColumn id="188" xr3:uid="{B92B4B67-0840-4515-B101-3392AC3378FA}" name="25. In your view, to what extent should the IMF prioritize in its work the following newer policy areas?: Digital Money"/>
    <tableColumn id="189" xr3:uid="{6FB2C3FC-BE47-4101-BA68-C39A4557D569}" name="25. In your view, to what extent should the IMF prioritize in its work the following newer policy areas?: Gender"/>
    <tableColumn id="190" xr3:uid="{49A703DC-C36B-49D6-9534-2569ED5A4C07}" name="25. In your view, to what extent should the IMF prioritize in its work the following newer policy areas?: Governance"/>
    <tableColumn id="191" xr3:uid="{857C1B00-977A-426F-B0A9-FAE3E842B1FD}" name="25. In your view, to what extent should the IMF prioritize in its work the following newer policy areas?: Social spending"/>
    <tableColumn id="192" xr3:uid="{E470FB50-155A-48EB-B5B1-21321C0AC4E4}" name="26. Please share any other views your country has regarding how the IMF has or should engage on climate change-related issues."/>
    <tableColumn id="193" xr3:uid="{106F5722-E560-450B-B443-3E74A0309A66}"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13D2-ADCF-40D2-9BFF-7E7190E7F548}">
  <sheetPr>
    <tabColor theme="7" tint="0.39997558519241921"/>
  </sheetPr>
  <dimension ref="A1:GL139"/>
  <sheetViews>
    <sheetView tabSelected="1" zoomScale="70" zoomScaleNormal="70" workbookViewId="0">
      <selection activeCell="AG2" sqref="AG2"/>
    </sheetView>
  </sheetViews>
  <sheetFormatPr defaultRowHeight="12.75" outlineLevelCol="1" x14ac:dyDescent="0.2"/>
  <cols>
    <col min="1" max="2" width="27.42578125" customWidth="1"/>
    <col min="3" max="3" width="64" customWidth="1"/>
    <col min="4" max="6" width="27.42578125" customWidth="1"/>
    <col min="7" max="31" width="27.42578125" hidden="1" customWidth="1" outlineLevel="1"/>
    <col min="32" max="32" width="27.42578125" style="4" customWidth="1" collapsed="1"/>
    <col min="33" max="194" width="27.42578125" customWidth="1"/>
  </cols>
  <sheetData>
    <row r="1" spans="1:194" ht="224.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row>
    <row r="2" spans="1:194" ht="63" x14ac:dyDescent="0.25">
      <c r="A2" s="3" t="s">
        <v>194</v>
      </c>
      <c r="B2" s="3" t="s">
        <v>195</v>
      </c>
      <c r="C2" s="3" t="s">
        <v>196</v>
      </c>
      <c r="D2" s="3" t="s">
        <v>197</v>
      </c>
      <c r="E2" s="3"/>
      <c r="F2" s="3" t="s">
        <v>198</v>
      </c>
      <c r="G2" s="3"/>
      <c r="H2" s="3"/>
      <c r="I2" s="3"/>
      <c r="J2" s="3"/>
      <c r="K2" s="3" t="s">
        <v>199</v>
      </c>
      <c r="L2" s="3"/>
      <c r="M2" s="3"/>
      <c r="N2" s="3"/>
      <c r="O2" s="3"/>
      <c r="P2" s="3"/>
      <c r="Q2" s="3"/>
      <c r="R2" s="3"/>
      <c r="S2" s="3"/>
      <c r="T2" s="3"/>
      <c r="U2" s="3"/>
      <c r="V2" s="3"/>
      <c r="W2" s="3"/>
      <c r="X2" s="3"/>
      <c r="Y2" s="3"/>
      <c r="Z2" s="3"/>
      <c r="AA2" s="3"/>
      <c r="AB2" s="3"/>
      <c r="AC2" s="3"/>
      <c r="AD2" s="3"/>
      <c r="AE2" s="3"/>
      <c r="AF2" s="4" t="s">
        <v>199</v>
      </c>
      <c r="AG2" s="3" t="s">
        <v>200</v>
      </c>
      <c r="AH2" s="3" t="s">
        <v>201</v>
      </c>
      <c r="AI2" s="3" t="s">
        <v>202</v>
      </c>
      <c r="AJ2" s="3" t="s">
        <v>202</v>
      </c>
      <c r="AK2" s="3" t="s">
        <v>203</v>
      </c>
      <c r="AL2" s="3" t="s">
        <v>204</v>
      </c>
      <c r="AM2" s="3" t="s">
        <v>204</v>
      </c>
      <c r="AN2" s="3" t="s">
        <v>204</v>
      </c>
      <c r="AO2" s="3" t="s">
        <v>204</v>
      </c>
      <c r="AP2" s="3" t="s">
        <v>205</v>
      </c>
      <c r="AQ2" s="3" t="s">
        <v>204</v>
      </c>
      <c r="AR2" s="3" t="s">
        <v>204</v>
      </c>
      <c r="AS2" s="3"/>
      <c r="AT2" s="3" t="s">
        <v>202</v>
      </c>
      <c r="AU2" s="3" t="s">
        <v>203</v>
      </c>
      <c r="AV2" s="3" t="s">
        <v>205</v>
      </c>
      <c r="AW2" s="3" t="s">
        <v>202</v>
      </c>
      <c r="AX2" s="3" t="s">
        <v>204</v>
      </c>
      <c r="AY2" s="3" t="s">
        <v>204</v>
      </c>
      <c r="AZ2" s="3" t="s">
        <v>202</v>
      </c>
      <c r="BA2" s="3" t="s">
        <v>203</v>
      </c>
      <c r="BB2" s="3" t="s">
        <v>202</v>
      </c>
      <c r="BC2" s="3" t="s">
        <v>204</v>
      </c>
      <c r="BD2" s="3" t="s">
        <v>204</v>
      </c>
      <c r="BE2" s="3" t="s">
        <v>203</v>
      </c>
      <c r="BF2" s="3" t="s">
        <v>205</v>
      </c>
      <c r="BG2" s="3" t="s">
        <v>202</v>
      </c>
      <c r="BH2" s="3" t="s">
        <v>204</v>
      </c>
      <c r="BI2" s="3" t="s">
        <v>204</v>
      </c>
      <c r="BJ2" s="3" t="s">
        <v>204</v>
      </c>
      <c r="BK2" s="3" t="s">
        <v>205</v>
      </c>
      <c r="BL2" s="3" t="s">
        <v>202</v>
      </c>
      <c r="BM2" s="3" t="s">
        <v>204</v>
      </c>
      <c r="BN2" s="3" t="s">
        <v>204</v>
      </c>
      <c r="BO2" s="3" t="s">
        <v>204</v>
      </c>
      <c r="BP2" s="3" t="s">
        <v>204</v>
      </c>
      <c r="BQ2" s="3" t="s">
        <v>204</v>
      </c>
      <c r="BR2" s="3" t="s">
        <v>204</v>
      </c>
      <c r="BS2" s="3"/>
      <c r="BT2" s="3" t="s">
        <v>206</v>
      </c>
      <c r="BU2" s="3" t="s">
        <v>202</v>
      </c>
      <c r="BV2" s="3" t="s">
        <v>202</v>
      </c>
      <c r="BW2" s="3" t="s">
        <v>202</v>
      </c>
      <c r="BX2" s="3" t="s">
        <v>202</v>
      </c>
      <c r="BY2" s="3" t="s">
        <v>202</v>
      </c>
      <c r="BZ2" s="3" t="s">
        <v>202</v>
      </c>
      <c r="CA2" s="3" t="s">
        <v>202</v>
      </c>
      <c r="CB2" s="3" t="s">
        <v>202</v>
      </c>
      <c r="CC2" s="3" t="s">
        <v>202</v>
      </c>
      <c r="CD2" s="3" t="s">
        <v>202</v>
      </c>
      <c r="CE2" s="3" t="s">
        <v>202</v>
      </c>
      <c r="CF2" s="3" t="s">
        <v>202</v>
      </c>
      <c r="CG2" s="3"/>
      <c r="CH2" s="3" t="s">
        <v>207</v>
      </c>
      <c r="CI2" s="3" t="s">
        <v>208</v>
      </c>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t="s">
        <v>209</v>
      </c>
      <c r="DS2" s="3"/>
      <c r="DT2" s="3"/>
      <c r="DU2" s="3"/>
      <c r="DV2" s="3"/>
      <c r="DW2" s="3" t="s">
        <v>207</v>
      </c>
      <c r="DX2" s="3"/>
      <c r="DY2" s="3"/>
      <c r="DZ2" s="3"/>
      <c r="EA2" s="3"/>
      <c r="EB2" s="3"/>
      <c r="EC2" s="3"/>
      <c r="ED2" s="3"/>
      <c r="EE2" s="3"/>
      <c r="EF2" s="3" t="s">
        <v>204</v>
      </c>
      <c r="EG2" s="3" t="s">
        <v>204</v>
      </c>
      <c r="EH2" s="3" t="s">
        <v>204</v>
      </c>
      <c r="EI2" s="3" t="s">
        <v>204</v>
      </c>
      <c r="EJ2" s="3" t="s">
        <v>204</v>
      </c>
      <c r="EK2" s="3" t="s">
        <v>204</v>
      </c>
      <c r="EL2" s="3" t="s">
        <v>204</v>
      </c>
      <c r="EM2" s="3" t="s">
        <v>204</v>
      </c>
      <c r="EN2" s="3" t="s">
        <v>204</v>
      </c>
      <c r="EO2" s="3" t="s">
        <v>204</v>
      </c>
      <c r="EP2" s="3"/>
      <c r="EQ2" s="3" t="s">
        <v>201</v>
      </c>
      <c r="ER2" s="3" t="s">
        <v>201</v>
      </c>
      <c r="ES2" s="3"/>
      <c r="ET2" s="3" t="s">
        <v>204</v>
      </c>
      <c r="EU2" s="3" t="s">
        <v>204</v>
      </c>
      <c r="EV2" s="3" t="s">
        <v>204</v>
      </c>
      <c r="EW2" s="3" t="s">
        <v>204</v>
      </c>
      <c r="EX2" s="3"/>
      <c r="EY2" s="3" t="s">
        <v>204</v>
      </c>
      <c r="EZ2" s="3" t="s">
        <v>204</v>
      </c>
      <c r="FA2" s="3" t="s">
        <v>204</v>
      </c>
      <c r="FB2" s="3" t="s">
        <v>204</v>
      </c>
      <c r="FC2" s="3" t="s">
        <v>204</v>
      </c>
      <c r="FD2" s="3" t="s">
        <v>204</v>
      </c>
      <c r="FE2" s="3" t="s">
        <v>204</v>
      </c>
      <c r="FF2" s="3" t="s">
        <v>204</v>
      </c>
      <c r="FG2" s="3" t="s">
        <v>204</v>
      </c>
      <c r="FH2" s="3" t="s">
        <v>204</v>
      </c>
      <c r="FI2" s="3" t="s">
        <v>204</v>
      </c>
      <c r="FJ2" s="3" t="s">
        <v>204</v>
      </c>
      <c r="FK2" s="3" t="s">
        <v>204</v>
      </c>
      <c r="FL2" s="3" t="s">
        <v>204</v>
      </c>
      <c r="FM2" s="3" t="s">
        <v>204</v>
      </c>
      <c r="FN2" s="3" t="s">
        <v>204</v>
      </c>
      <c r="FO2" s="3" t="s">
        <v>204</v>
      </c>
      <c r="FP2" s="3" t="s">
        <v>204</v>
      </c>
      <c r="FQ2" s="3" t="s">
        <v>204</v>
      </c>
      <c r="FR2" s="3" t="s">
        <v>204</v>
      </c>
      <c r="FS2" s="3" t="s">
        <v>204</v>
      </c>
      <c r="FT2" s="3" t="s">
        <v>204</v>
      </c>
      <c r="FU2" s="3" t="s">
        <v>204</v>
      </c>
      <c r="FV2" s="3"/>
      <c r="FW2" s="3" t="s">
        <v>210</v>
      </c>
      <c r="FX2" s="3"/>
      <c r="FY2" s="3" t="s">
        <v>201</v>
      </c>
      <c r="FZ2" s="3" t="s">
        <v>201</v>
      </c>
      <c r="GA2" s="3" t="s">
        <v>202</v>
      </c>
      <c r="GB2" s="3" t="s">
        <v>201</v>
      </c>
      <c r="GC2" s="3" t="s">
        <v>205</v>
      </c>
      <c r="GD2" s="3"/>
      <c r="GE2" s="3" t="s">
        <v>202</v>
      </c>
      <c r="GF2" s="3" t="s">
        <v>203</v>
      </c>
      <c r="GG2" s="3" t="s">
        <v>201</v>
      </c>
      <c r="GH2" s="3" t="s">
        <v>203</v>
      </c>
      <c r="GI2" s="3" t="s">
        <v>201</v>
      </c>
      <c r="GJ2" s="3" t="s">
        <v>201</v>
      </c>
      <c r="GK2" s="3"/>
      <c r="GL2" s="5">
        <f>DATE(2025,7,11)+TIME(17,58,31)</f>
        <v>45849.748969907407</v>
      </c>
    </row>
    <row r="3" spans="1:194" ht="78.75" x14ac:dyDescent="0.25">
      <c r="A3" s="6" t="s">
        <v>194</v>
      </c>
      <c r="B3" s="6" t="s">
        <v>195</v>
      </c>
      <c r="C3" s="6" t="s">
        <v>196</v>
      </c>
      <c r="D3" s="6" t="s">
        <v>211</v>
      </c>
      <c r="E3" s="6"/>
      <c r="F3" s="6" t="s">
        <v>198</v>
      </c>
      <c r="G3" s="6"/>
      <c r="H3" s="6"/>
      <c r="I3" s="6"/>
      <c r="J3" s="6"/>
      <c r="K3" s="6" t="s">
        <v>212</v>
      </c>
      <c r="L3" s="6"/>
      <c r="M3" s="6"/>
      <c r="N3" s="6"/>
      <c r="O3" s="6"/>
      <c r="P3" s="6"/>
      <c r="Q3" s="6"/>
      <c r="R3" s="6"/>
      <c r="S3" s="6"/>
      <c r="T3" s="6"/>
      <c r="U3" s="6"/>
      <c r="V3" s="6"/>
      <c r="W3" s="6"/>
      <c r="X3" s="6"/>
      <c r="Y3" s="6"/>
      <c r="Z3" s="6"/>
      <c r="AA3" s="6"/>
      <c r="AB3" s="6"/>
      <c r="AC3" s="6"/>
      <c r="AD3" s="6"/>
      <c r="AE3" s="6"/>
      <c r="AF3" s="4" t="s">
        <v>212</v>
      </c>
      <c r="AG3" s="6" t="s">
        <v>213</v>
      </c>
      <c r="AH3" s="6" t="s">
        <v>205</v>
      </c>
      <c r="AI3" s="6" t="s">
        <v>205</v>
      </c>
      <c r="AJ3" s="6" t="s">
        <v>205</v>
      </c>
      <c r="AK3" s="6" t="s">
        <v>205</v>
      </c>
      <c r="AL3" s="6" t="s">
        <v>205</v>
      </c>
      <c r="AM3" s="6" t="s">
        <v>205</v>
      </c>
      <c r="AN3" s="6" t="s">
        <v>205</v>
      </c>
      <c r="AO3" s="6" t="s">
        <v>205</v>
      </c>
      <c r="AP3" s="6" t="s">
        <v>205</v>
      </c>
      <c r="AQ3" s="6" t="s">
        <v>205</v>
      </c>
      <c r="AR3" s="6" t="s">
        <v>205</v>
      </c>
      <c r="AS3" s="6"/>
      <c r="AT3" s="6" t="s">
        <v>201</v>
      </c>
      <c r="AU3" s="6" t="s">
        <v>205</v>
      </c>
      <c r="AV3" s="6" t="s">
        <v>205</v>
      </c>
      <c r="AW3" s="6" t="s">
        <v>205</v>
      </c>
      <c r="AX3" s="6" t="s">
        <v>205</v>
      </c>
      <c r="AY3" s="6" t="s">
        <v>205</v>
      </c>
      <c r="AZ3" s="6" t="s">
        <v>205</v>
      </c>
      <c r="BA3" s="6" t="s">
        <v>205</v>
      </c>
      <c r="BB3" s="6" t="s">
        <v>205</v>
      </c>
      <c r="BC3" s="6" t="s">
        <v>205</v>
      </c>
      <c r="BD3" s="6" t="s">
        <v>205</v>
      </c>
      <c r="BE3" s="6" t="s">
        <v>201</v>
      </c>
      <c r="BF3" s="6" t="s">
        <v>205</v>
      </c>
      <c r="BG3" s="6" t="s">
        <v>205</v>
      </c>
      <c r="BH3" s="6" t="s">
        <v>205</v>
      </c>
      <c r="BI3" s="6" t="s">
        <v>205</v>
      </c>
      <c r="BJ3" s="6" t="s">
        <v>205</v>
      </c>
      <c r="BK3" s="6" t="s">
        <v>205</v>
      </c>
      <c r="BL3" s="6" t="s">
        <v>205</v>
      </c>
      <c r="BM3" s="6" t="s">
        <v>205</v>
      </c>
      <c r="BN3" s="6" t="s">
        <v>205</v>
      </c>
      <c r="BO3" s="6" t="s">
        <v>205</v>
      </c>
      <c r="BP3" s="6" t="s">
        <v>205</v>
      </c>
      <c r="BQ3" s="6" t="s">
        <v>205</v>
      </c>
      <c r="BR3" s="6" t="s">
        <v>205</v>
      </c>
      <c r="BS3" s="6"/>
      <c r="BT3" s="6" t="s">
        <v>210</v>
      </c>
      <c r="BU3" s="6" t="s">
        <v>201</v>
      </c>
      <c r="BV3" s="6" t="s">
        <v>201</v>
      </c>
      <c r="BW3" s="6" t="s">
        <v>201</v>
      </c>
      <c r="BX3" s="6" t="s">
        <v>201</v>
      </c>
      <c r="BY3" s="6" t="s">
        <v>201</v>
      </c>
      <c r="BZ3" s="6" t="s">
        <v>201</v>
      </c>
      <c r="CA3" s="6" t="s">
        <v>201</v>
      </c>
      <c r="CB3" s="6" t="s">
        <v>201</v>
      </c>
      <c r="CC3" s="6" t="s">
        <v>201</v>
      </c>
      <c r="CD3" s="6" t="s">
        <v>201</v>
      </c>
      <c r="CE3" s="6" t="s">
        <v>201</v>
      </c>
      <c r="CF3" s="6" t="s">
        <v>201</v>
      </c>
      <c r="CG3" s="6"/>
      <c r="CH3" s="6" t="s">
        <v>207</v>
      </c>
      <c r="CI3" s="6" t="s">
        <v>208</v>
      </c>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t="s">
        <v>214</v>
      </c>
      <c r="DU3" s="6"/>
      <c r="DV3" s="6"/>
      <c r="DW3" s="6" t="s">
        <v>207</v>
      </c>
      <c r="DX3" s="6"/>
      <c r="DY3" s="6"/>
      <c r="DZ3" s="6"/>
      <c r="EA3" s="6"/>
      <c r="EB3" s="6"/>
      <c r="EC3" s="6"/>
      <c r="ED3" s="6"/>
      <c r="EE3" s="6"/>
      <c r="EF3" s="6" t="s">
        <v>205</v>
      </c>
      <c r="EG3" s="6" t="s">
        <v>203</v>
      </c>
      <c r="EH3" s="6" t="s">
        <v>203</v>
      </c>
      <c r="EI3" s="6" t="s">
        <v>201</v>
      </c>
      <c r="EJ3" s="6" t="s">
        <v>201</v>
      </c>
      <c r="EK3" s="6" t="s">
        <v>201</v>
      </c>
      <c r="EL3" s="6" t="s">
        <v>201</v>
      </c>
      <c r="EM3" s="6" t="s">
        <v>203</v>
      </c>
      <c r="EN3" s="6" t="s">
        <v>205</v>
      </c>
      <c r="EO3" s="6" t="s">
        <v>205</v>
      </c>
      <c r="EP3" s="6"/>
      <c r="EQ3" s="6" t="s">
        <v>205</v>
      </c>
      <c r="ER3" s="6" t="s">
        <v>205</v>
      </c>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t="s">
        <v>201</v>
      </c>
      <c r="FZ3" s="6" t="s">
        <v>201</v>
      </c>
      <c r="GA3" s="6" t="s">
        <v>201</v>
      </c>
      <c r="GB3" s="6" t="s">
        <v>201</v>
      </c>
      <c r="GC3" s="6" t="s">
        <v>205</v>
      </c>
      <c r="GD3" s="6"/>
      <c r="GE3" s="6" t="s">
        <v>203</v>
      </c>
      <c r="GF3" s="6" t="s">
        <v>201</v>
      </c>
      <c r="GG3" s="6" t="s">
        <v>202</v>
      </c>
      <c r="GH3" s="6" t="s">
        <v>201</v>
      </c>
      <c r="GI3" s="6" t="s">
        <v>201</v>
      </c>
      <c r="GJ3" s="6" t="s">
        <v>201</v>
      </c>
      <c r="GK3" s="6"/>
      <c r="GL3" s="7">
        <f>DATE(2025,7,11)+TIME(13,18,26)</f>
        <v>45849.554467592592</v>
      </c>
    </row>
    <row r="4" spans="1:194" ht="47.25" x14ac:dyDescent="0.25">
      <c r="A4" s="3" t="s">
        <v>194</v>
      </c>
      <c r="B4" s="3" t="s">
        <v>195</v>
      </c>
      <c r="C4" s="3" t="s">
        <v>196</v>
      </c>
      <c r="D4" s="3" t="s">
        <v>215</v>
      </c>
      <c r="E4" s="3"/>
      <c r="F4" s="3" t="s">
        <v>198</v>
      </c>
      <c r="G4" s="3"/>
      <c r="H4" s="3"/>
      <c r="I4" s="3"/>
      <c r="J4" s="3"/>
      <c r="K4" s="3" t="s">
        <v>216</v>
      </c>
      <c r="L4" s="3"/>
      <c r="M4" s="3"/>
      <c r="N4" s="3"/>
      <c r="O4" s="3"/>
      <c r="P4" s="3"/>
      <c r="Q4" s="3"/>
      <c r="R4" s="3"/>
      <c r="S4" s="3"/>
      <c r="T4" s="3"/>
      <c r="U4" s="3"/>
      <c r="V4" s="3"/>
      <c r="W4" s="3"/>
      <c r="X4" s="3"/>
      <c r="Y4" s="3"/>
      <c r="Z4" s="3"/>
      <c r="AA4" s="3"/>
      <c r="AB4" s="3"/>
      <c r="AC4" s="3"/>
      <c r="AD4" s="3"/>
      <c r="AE4" s="3"/>
      <c r="AF4" s="4" t="s">
        <v>216</v>
      </c>
      <c r="AG4" s="3" t="s">
        <v>213</v>
      </c>
      <c r="AH4" s="3" t="s">
        <v>203</v>
      </c>
      <c r="AI4" s="3" t="s">
        <v>205</v>
      </c>
      <c r="AJ4" s="3" t="s">
        <v>203</v>
      </c>
      <c r="AK4" s="3" t="s">
        <v>203</v>
      </c>
      <c r="AL4" s="3" t="s">
        <v>201</v>
      </c>
      <c r="AM4" s="3" t="s">
        <v>201</v>
      </c>
      <c r="AN4" s="3" t="s">
        <v>203</v>
      </c>
      <c r="AO4" s="3" t="s">
        <v>201</v>
      </c>
      <c r="AP4" s="3" t="s">
        <v>205</v>
      </c>
      <c r="AQ4" s="3" t="s">
        <v>203</v>
      </c>
      <c r="AR4" s="3" t="s">
        <v>202</v>
      </c>
      <c r="AS4" s="3"/>
      <c r="AT4" s="3" t="s">
        <v>205</v>
      </c>
      <c r="AU4" s="3" t="s">
        <v>203</v>
      </c>
      <c r="AV4" s="3" t="s">
        <v>205</v>
      </c>
      <c r="AW4" s="3" t="s">
        <v>203</v>
      </c>
      <c r="AX4" s="3" t="s">
        <v>203</v>
      </c>
      <c r="AY4" s="3" t="s">
        <v>205</v>
      </c>
      <c r="AZ4" s="3" t="s">
        <v>203</v>
      </c>
      <c r="BA4" s="3" t="s">
        <v>205</v>
      </c>
      <c r="BB4" s="3" t="s">
        <v>203</v>
      </c>
      <c r="BC4" s="3" t="s">
        <v>203</v>
      </c>
      <c r="BD4" s="3" t="s">
        <v>205</v>
      </c>
      <c r="BE4" s="3" t="s">
        <v>205</v>
      </c>
      <c r="BF4" s="3" t="s">
        <v>205</v>
      </c>
      <c r="BG4" s="3" t="s">
        <v>203</v>
      </c>
      <c r="BH4" s="3" t="s">
        <v>203</v>
      </c>
      <c r="BI4" s="3" t="s">
        <v>204</v>
      </c>
      <c r="BJ4" s="3" t="s">
        <v>203</v>
      </c>
      <c r="BK4" s="3" t="s">
        <v>205</v>
      </c>
      <c r="BL4" s="3" t="s">
        <v>203</v>
      </c>
      <c r="BM4" s="3" t="s">
        <v>203</v>
      </c>
      <c r="BN4" s="3" t="s">
        <v>204</v>
      </c>
      <c r="BO4" s="3" t="s">
        <v>203</v>
      </c>
      <c r="BP4" s="3" t="s">
        <v>203</v>
      </c>
      <c r="BQ4" s="3" t="s">
        <v>203</v>
      </c>
      <c r="BR4" s="3" t="s">
        <v>204</v>
      </c>
      <c r="BS4" s="3"/>
      <c r="BT4" s="3" t="s">
        <v>210</v>
      </c>
      <c r="BU4" s="3" t="s">
        <v>201</v>
      </c>
      <c r="BV4" s="3" t="s">
        <v>201</v>
      </c>
      <c r="BW4" s="3" t="s">
        <v>201</v>
      </c>
      <c r="BX4" s="3" t="s">
        <v>201</v>
      </c>
      <c r="BY4" s="3" t="s">
        <v>201</v>
      </c>
      <c r="BZ4" s="3" t="s">
        <v>201</v>
      </c>
      <c r="CA4" s="3" t="s">
        <v>201</v>
      </c>
      <c r="CB4" s="3" t="s">
        <v>201</v>
      </c>
      <c r="CC4" s="3" t="s">
        <v>201</v>
      </c>
      <c r="CD4" s="3" t="s">
        <v>201</v>
      </c>
      <c r="CE4" s="3" t="s">
        <v>201</v>
      </c>
      <c r="CF4" s="3" t="s">
        <v>201</v>
      </c>
      <c r="CG4" s="3"/>
      <c r="CH4" s="3" t="s">
        <v>208</v>
      </c>
      <c r="CI4" s="3" t="s">
        <v>208</v>
      </c>
      <c r="CJ4" s="3" t="s">
        <v>201</v>
      </c>
      <c r="CK4" s="3" t="s">
        <v>201</v>
      </c>
      <c r="CL4" s="3" t="s">
        <v>203</v>
      </c>
      <c r="CM4" s="3" t="s">
        <v>203</v>
      </c>
      <c r="CN4" s="3" t="s">
        <v>202</v>
      </c>
      <c r="CO4" s="3" t="s">
        <v>201</v>
      </c>
      <c r="CP4" s="3" t="s">
        <v>205</v>
      </c>
      <c r="CQ4" s="3" t="s">
        <v>205</v>
      </c>
      <c r="CR4" s="3" t="s">
        <v>205</v>
      </c>
      <c r="CS4" s="3" t="s">
        <v>201</v>
      </c>
      <c r="CT4" s="3" t="s">
        <v>201</v>
      </c>
      <c r="CU4" s="3" t="s">
        <v>201</v>
      </c>
      <c r="CV4" s="3" t="s">
        <v>205</v>
      </c>
      <c r="CW4" s="3" t="s">
        <v>201</v>
      </c>
      <c r="CX4" s="3" t="s">
        <v>201</v>
      </c>
      <c r="CY4" s="3" t="s">
        <v>201</v>
      </c>
      <c r="CZ4" s="3" t="s">
        <v>202</v>
      </c>
      <c r="DA4" s="3" t="s">
        <v>205</v>
      </c>
      <c r="DB4" s="3"/>
      <c r="DC4" s="3"/>
      <c r="DD4" s="3"/>
      <c r="DE4" s="3"/>
      <c r="DF4" s="3" t="s">
        <v>217</v>
      </c>
      <c r="DG4" s="3"/>
      <c r="DH4" s="3" t="s">
        <v>201</v>
      </c>
      <c r="DI4" s="3" t="s">
        <v>201</v>
      </c>
      <c r="DJ4" s="3" t="s">
        <v>201</v>
      </c>
      <c r="DK4" s="3" t="s">
        <v>201</v>
      </c>
      <c r="DL4" s="3" t="s">
        <v>203</v>
      </c>
      <c r="DM4" s="3" t="s">
        <v>203</v>
      </c>
      <c r="DN4" s="3" t="s">
        <v>203</v>
      </c>
      <c r="DO4" s="3" t="s">
        <v>218</v>
      </c>
      <c r="DP4" s="3"/>
      <c r="DQ4" s="3"/>
      <c r="DR4" s="3"/>
      <c r="DS4" s="3"/>
      <c r="DT4" s="3"/>
      <c r="DU4" s="3"/>
      <c r="DV4" s="3"/>
      <c r="DW4" s="3" t="s">
        <v>208</v>
      </c>
      <c r="DX4" s="3"/>
      <c r="DY4" s="3"/>
      <c r="DZ4" s="3" t="s">
        <v>219</v>
      </c>
      <c r="EA4" s="3" t="s">
        <v>220</v>
      </c>
      <c r="EB4" s="3"/>
      <c r="EC4" s="3" t="s">
        <v>201</v>
      </c>
      <c r="ED4" s="3" t="s">
        <v>203</v>
      </c>
      <c r="EE4" s="3" t="s">
        <v>201</v>
      </c>
      <c r="EF4" s="3" t="s">
        <v>203</v>
      </c>
      <c r="EG4" s="3" t="s">
        <v>203</v>
      </c>
      <c r="EH4" s="3" t="s">
        <v>203</v>
      </c>
      <c r="EI4" s="3" t="s">
        <v>201</v>
      </c>
      <c r="EJ4" s="3" t="s">
        <v>201</v>
      </c>
      <c r="EK4" s="3" t="s">
        <v>201</v>
      </c>
      <c r="EL4" s="3" t="s">
        <v>201</v>
      </c>
      <c r="EM4" s="3" t="s">
        <v>205</v>
      </c>
      <c r="EN4" s="3" t="s">
        <v>205</v>
      </c>
      <c r="EO4" s="3" t="s">
        <v>203</v>
      </c>
      <c r="EP4" s="3"/>
      <c r="EQ4" s="3" t="s">
        <v>202</v>
      </c>
      <c r="ER4" s="3" t="s">
        <v>205</v>
      </c>
      <c r="ES4" s="3"/>
      <c r="ET4" s="3" t="s">
        <v>201</v>
      </c>
      <c r="EU4" s="3" t="s">
        <v>205</v>
      </c>
      <c r="EV4" s="3" t="s">
        <v>205</v>
      </c>
      <c r="EW4" s="3" t="s">
        <v>204</v>
      </c>
      <c r="EX4" s="3"/>
      <c r="EY4" s="3" t="s">
        <v>202</v>
      </c>
      <c r="EZ4" s="3" t="s">
        <v>205</v>
      </c>
      <c r="FA4" s="3" t="s">
        <v>201</v>
      </c>
      <c r="FB4" s="3" t="s">
        <v>201</v>
      </c>
      <c r="FC4" s="3" t="s">
        <v>203</v>
      </c>
      <c r="FD4" s="3" t="s">
        <v>201</v>
      </c>
      <c r="FE4" s="3" t="s">
        <v>203</v>
      </c>
      <c r="FF4" s="3" t="s">
        <v>203</v>
      </c>
      <c r="FG4" s="3" t="s">
        <v>203</v>
      </c>
      <c r="FH4" s="3"/>
      <c r="FI4" s="3"/>
      <c r="FJ4" s="3"/>
      <c r="FK4" s="3"/>
      <c r="FL4" s="3"/>
      <c r="FM4" s="3"/>
      <c r="FN4" s="3"/>
      <c r="FO4" s="3"/>
      <c r="FP4" s="3"/>
      <c r="FQ4" s="3"/>
      <c r="FR4" s="3" t="s">
        <v>201</v>
      </c>
      <c r="FS4" s="3" t="s">
        <v>201</v>
      </c>
      <c r="FT4" s="3" t="s">
        <v>201</v>
      </c>
      <c r="FU4" s="3" t="s">
        <v>204</v>
      </c>
      <c r="FV4" s="3"/>
      <c r="FW4" s="3" t="s">
        <v>210</v>
      </c>
      <c r="FX4" s="3"/>
      <c r="FY4" s="3" t="s">
        <v>201</v>
      </c>
      <c r="FZ4" s="3" t="s">
        <v>201</v>
      </c>
      <c r="GA4" s="3" t="s">
        <v>201</v>
      </c>
      <c r="GB4" s="3" t="s">
        <v>202</v>
      </c>
      <c r="GC4" s="3" t="s">
        <v>204</v>
      </c>
      <c r="GD4" s="3"/>
      <c r="GE4" s="3" t="s">
        <v>203</v>
      </c>
      <c r="GF4" s="3" t="s">
        <v>201</v>
      </c>
      <c r="GG4" s="3" t="s">
        <v>202</v>
      </c>
      <c r="GH4" s="3" t="s">
        <v>201</v>
      </c>
      <c r="GI4" s="3" t="s">
        <v>201</v>
      </c>
      <c r="GJ4" s="3" t="s">
        <v>201</v>
      </c>
      <c r="GK4" s="3"/>
      <c r="GL4" s="5">
        <f>DATE(2025,7,11)+TIME(12,40,7)</f>
        <v>45849.527858796297</v>
      </c>
    </row>
    <row r="5" spans="1:194" ht="63" x14ac:dyDescent="0.25">
      <c r="A5" s="6" t="s">
        <v>221</v>
      </c>
      <c r="B5" s="6" t="s">
        <v>222</v>
      </c>
      <c r="C5" s="6" t="s">
        <v>223</v>
      </c>
      <c r="D5" s="6" t="s">
        <v>224</v>
      </c>
      <c r="E5" s="6"/>
      <c r="F5" s="6" t="s">
        <v>225</v>
      </c>
      <c r="G5" s="6"/>
      <c r="H5" s="6"/>
      <c r="I5" s="6"/>
      <c r="J5" s="6"/>
      <c r="K5" s="6"/>
      <c r="L5" s="6"/>
      <c r="M5" s="6"/>
      <c r="N5" s="6"/>
      <c r="O5" s="6"/>
      <c r="P5" s="6"/>
      <c r="Q5" s="6"/>
      <c r="R5" s="6"/>
      <c r="S5" s="6"/>
      <c r="T5" s="6"/>
      <c r="U5" s="6"/>
      <c r="V5" s="6"/>
      <c r="W5" s="6"/>
      <c r="X5" s="6"/>
      <c r="Y5" s="6"/>
      <c r="Z5" s="6"/>
      <c r="AA5" s="6"/>
      <c r="AB5" s="6"/>
      <c r="AC5" s="6" t="s">
        <v>226</v>
      </c>
      <c r="AD5" s="6"/>
      <c r="AE5" s="6"/>
      <c r="AF5" s="4" t="s">
        <v>226</v>
      </c>
      <c r="AG5" s="6" t="s">
        <v>213</v>
      </c>
      <c r="AH5" s="6" t="s">
        <v>202</v>
      </c>
      <c r="AI5" s="6" t="s">
        <v>202</v>
      </c>
      <c r="AJ5" s="6" t="s">
        <v>202</v>
      </c>
      <c r="AK5" s="6" t="s">
        <v>203</v>
      </c>
      <c r="AL5" s="6" t="s">
        <v>202</v>
      </c>
      <c r="AM5" s="6" t="s">
        <v>202</v>
      </c>
      <c r="AN5" s="6" t="s">
        <v>203</v>
      </c>
      <c r="AO5" s="6" t="s">
        <v>203</v>
      </c>
      <c r="AP5" s="6" t="s">
        <v>203</v>
      </c>
      <c r="AQ5" s="6" t="s">
        <v>203</v>
      </c>
      <c r="AR5" s="6" t="s">
        <v>202</v>
      </c>
      <c r="AS5" s="6"/>
      <c r="AT5" s="6" t="s">
        <v>203</v>
      </c>
      <c r="AU5" s="6" t="s">
        <v>202</v>
      </c>
      <c r="AV5" s="6" t="s">
        <v>203</v>
      </c>
      <c r="AW5" s="6" t="s">
        <v>201</v>
      </c>
      <c r="AX5" s="6" t="s">
        <v>202</v>
      </c>
      <c r="AY5" s="6" t="s">
        <v>202</v>
      </c>
      <c r="AZ5" s="6" t="s">
        <v>203</v>
      </c>
      <c r="BA5" s="6" t="s">
        <v>202</v>
      </c>
      <c r="BB5" s="6" t="s">
        <v>203</v>
      </c>
      <c r="BC5" s="6" t="s">
        <v>202</v>
      </c>
      <c r="BD5" s="6" t="s">
        <v>202</v>
      </c>
      <c r="BE5" s="6" t="s">
        <v>202</v>
      </c>
      <c r="BF5" s="6" t="s">
        <v>202</v>
      </c>
      <c r="BG5" s="6" t="s">
        <v>202</v>
      </c>
      <c r="BH5" s="6" t="s">
        <v>202</v>
      </c>
      <c r="BI5" s="6" t="s">
        <v>202</v>
      </c>
      <c r="BJ5" s="6" t="s">
        <v>201</v>
      </c>
      <c r="BK5" s="6" t="s">
        <v>202</v>
      </c>
      <c r="BL5" s="6" t="s">
        <v>202</v>
      </c>
      <c r="BM5" s="6" t="s">
        <v>202</v>
      </c>
      <c r="BN5" s="6" t="s">
        <v>201</v>
      </c>
      <c r="BO5" s="6" t="s">
        <v>202</v>
      </c>
      <c r="BP5" s="6" t="s">
        <v>204</v>
      </c>
      <c r="BQ5" s="6" t="s">
        <v>204</v>
      </c>
      <c r="BR5" s="6" t="s">
        <v>204</v>
      </c>
      <c r="BS5" s="6"/>
      <c r="BT5" s="6" t="s">
        <v>210</v>
      </c>
      <c r="BU5" s="6" t="s">
        <v>202</v>
      </c>
      <c r="BV5" s="6" t="s">
        <v>203</v>
      </c>
      <c r="BW5" s="6" t="s">
        <v>202</v>
      </c>
      <c r="BX5" s="6" t="s">
        <v>202</v>
      </c>
      <c r="BY5" s="6" t="s">
        <v>202</v>
      </c>
      <c r="BZ5" s="6" t="s">
        <v>202</v>
      </c>
      <c r="CA5" s="6" t="s">
        <v>203</v>
      </c>
      <c r="CB5" s="6" t="s">
        <v>203</v>
      </c>
      <c r="CC5" s="6" t="s">
        <v>203</v>
      </c>
      <c r="CD5" s="6" t="s">
        <v>202</v>
      </c>
      <c r="CE5" s="6" t="s">
        <v>202</v>
      </c>
      <c r="CF5" s="6" t="s">
        <v>202</v>
      </c>
      <c r="CG5" s="6"/>
      <c r="CH5" s="6" t="s">
        <v>207</v>
      </c>
      <c r="CI5" s="6" t="s">
        <v>207</v>
      </c>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t="s">
        <v>227</v>
      </c>
      <c r="DW5" s="6" t="s">
        <v>228</v>
      </c>
      <c r="DX5" s="6"/>
      <c r="DY5" s="6"/>
      <c r="DZ5" s="6"/>
      <c r="EA5" s="6"/>
      <c r="EB5" s="6"/>
      <c r="EC5" s="6"/>
      <c r="ED5" s="6"/>
      <c r="EE5" s="6"/>
      <c r="EF5" s="6" t="s">
        <v>202</v>
      </c>
      <c r="EG5" s="6" t="s">
        <v>204</v>
      </c>
      <c r="EH5" s="6" t="s">
        <v>204</v>
      </c>
      <c r="EI5" s="6" t="s">
        <v>201</v>
      </c>
      <c r="EJ5" s="6" t="s">
        <v>202</v>
      </c>
      <c r="EK5" s="6" t="s">
        <v>201</v>
      </c>
      <c r="EL5" s="6" t="s">
        <v>202</v>
      </c>
      <c r="EM5" s="6"/>
      <c r="EN5" s="6"/>
      <c r="EO5" s="6"/>
      <c r="EP5" s="6"/>
      <c r="EQ5" s="6" t="s">
        <v>205</v>
      </c>
      <c r="ER5" s="6" t="s">
        <v>203</v>
      </c>
      <c r="ES5" s="6"/>
      <c r="ET5" s="6"/>
      <c r="EU5" s="6"/>
      <c r="EV5" s="6"/>
      <c r="EW5" s="6"/>
      <c r="EX5" s="6"/>
      <c r="EY5" s="6"/>
      <c r="EZ5" s="6"/>
      <c r="FA5" s="6"/>
      <c r="FB5" s="6"/>
      <c r="FC5" s="6"/>
      <c r="FD5" s="6"/>
      <c r="FE5" s="6"/>
      <c r="FF5" s="6"/>
      <c r="FG5" s="6"/>
      <c r="FH5" s="6" t="s">
        <v>202</v>
      </c>
      <c r="FI5" s="6" t="s">
        <v>204</v>
      </c>
      <c r="FJ5" s="6" t="s">
        <v>202</v>
      </c>
      <c r="FK5" s="6" t="s">
        <v>203</v>
      </c>
      <c r="FL5" s="6" t="s">
        <v>202</v>
      </c>
      <c r="FM5" s="6" t="s">
        <v>202</v>
      </c>
      <c r="FN5" s="6" t="s">
        <v>204</v>
      </c>
      <c r="FO5" s="6" t="s">
        <v>203</v>
      </c>
      <c r="FP5" s="6" t="s">
        <v>203</v>
      </c>
      <c r="FQ5" s="6" t="s">
        <v>203</v>
      </c>
      <c r="FR5" s="6" t="s">
        <v>203</v>
      </c>
      <c r="FS5" s="6" t="s">
        <v>204</v>
      </c>
      <c r="FT5" s="6" t="s">
        <v>204</v>
      </c>
      <c r="FU5" s="6" t="s">
        <v>204</v>
      </c>
      <c r="FV5" s="6"/>
      <c r="FW5" s="6" t="s">
        <v>210</v>
      </c>
      <c r="FX5" s="6"/>
      <c r="FY5" s="6" t="s">
        <v>201</v>
      </c>
      <c r="FZ5" s="6" t="s">
        <v>202</v>
      </c>
      <c r="GA5" s="6" t="s">
        <v>201</v>
      </c>
      <c r="GB5" s="6" t="s">
        <v>201</v>
      </c>
      <c r="GC5" s="6"/>
      <c r="GD5" s="6"/>
      <c r="GE5" s="6" t="s">
        <v>201</v>
      </c>
      <c r="GF5" s="6" t="s">
        <v>201</v>
      </c>
      <c r="GG5" s="6" t="s">
        <v>201</v>
      </c>
      <c r="GH5" s="6" t="s">
        <v>202</v>
      </c>
      <c r="GI5" s="6" t="s">
        <v>201</v>
      </c>
      <c r="GJ5" s="6" t="s">
        <v>202</v>
      </c>
      <c r="GK5" s="6"/>
      <c r="GL5" s="7">
        <f>DATE(2025,7,11)+TIME(9,49,6)</f>
        <v>45849.409097222226</v>
      </c>
    </row>
    <row r="6" spans="1:194" s="9" customFormat="1" ht="173.25" x14ac:dyDescent="0.25">
      <c r="A6" s="8" t="s">
        <v>229</v>
      </c>
      <c r="B6" s="8" t="s">
        <v>230</v>
      </c>
      <c r="C6" s="8" t="s">
        <v>231</v>
      </c>
      <c r="D6" s="8" t="s">
        <v>232</v>
      </c>
      <c r="E6" s="8"/>
      <c r="F6" s="8" t="s">
        <v>233</v>
      </c>
      <c r="G6" s="3"/>
      <c r="H6" s="3"/>
      <c r="I6" s="3"/>
      <c r="J6" s="3"/>
      <c r="K6" s="3"/>
      <c r="L6" s="3"/>
      <c r="M6" s="3"/>
      <c r="N6" s="3"/>
      <c r="O6" s="3"/>
      <c r="P6" s="3"/>
      <c r="Q6" s="3"/>
      <c r="R6" s="3"/>
      <c r="S6" s="3"/>
      <c r="T6" s="3"/>
      <c r="U6" s="3"/>
      <c r="V6" s="3"/>
      <c r="W6" s="3"/>
      <c r="X6" s="3"/>
      <c r="Y6" s="3"/>
      <c r="Z6" s="3"/>
      <c r="AA6" s="3"/>
      <c r="AB6" s="3" t="s">
        <v>234</v>
      </c>
      <c r="AC6" s="3"/>
      <c r="AD6" s="3"/>
      <c r="AE6" s="3"/>
      <c r="AF6" s="9" t="s">
        <v>234</v>
      </c>
      <c r="AG6" s="8" t="s">
        <v>235</v>
      </c>
      <c r="AH6" s="8" t="s">
        <v>202</v>
      </c>
      <c r="AI6" s="8" t="s">
        <v>203</v>
      </c>
      <c r="AJ6" s="8" t="s">
        <v>203</v>
      </c>
      <c r="AK6" s="8" t="s">
        <v>203</v>
      </c>
      <c r="AL6" s="8" t="s">
        <v>202</v>
      </c>
      <c r="AM6" s="8" t="s">
        <v>205</v>
      </c>
      <c r="AN6" s="8" t="s">
        <v>205</v>
      </c>
      <c r="AO6" s="8" t="s">
        <v>203</v>
      </c>
      <c r="AP6" s="8" t="s">
        <v>202</v>
      </c>
      <c r="AQ6" s="8" t="s">
        <v>203</v>
      </c>
      <c r="AR6" s="8" t="s">
        <v>203</v>
      </c>
      <c r="AS6" s="8"/>
      <c r="AT6" s="8" t="s">
        <v>205</v>
      </c>
      <c r="AU6" s="8" t="s">
        <v>203</v>
      </c>
      <c r="AV6" s="8" t="s">
        <v>203</v>
      </c>
      <c r="AW6" s="8" t="s">
        <v>202</v>
      </c>
      <c r="AX6" s="8" t="s">
        <v>202</v>
      </c>
      <c r="AY6" s="8" t="s">
        <v>201</v>
      </c>
      <c r="AZ6" s="8" t="s">
        <v>202</v>
      </c>
      <c r="BA6" s="8" t="s">
        <v>203</v>
      </c>
      <c r="BB6" s="8" t="s">
        <v>203</v>
      </c>
      <c r="BC6" s="8" t="s">
        <v>203</v>
      </c>
      <c r="BD6" s="8" t="s">
        <v>202</v>
      </c>
      <c r="BE6" s="8" t="s">
        <v>204</v>
      </c>
      <c r="BF6" s="8" t="s">
        <v>204</v>
      </c>
      <c r="BG6" s="8" t="s">
        <v>204</v>
      </c>
      <c r="BH6" s="8" t="s">
        <v>204</v>
      </c>
      <c r="BI6" s="8" t="s">
        <v>204</v>
      </c>
      <c r="BJ6" s="8" t="s">
        <v>202</v>
      </c>
      <c r="BK6" s="8" t="s">
        <v>203</v>
      </c>
      <c r="BL6" s="8" t="s">
        <v>202</v>
      </c>
      <c r="BM6" s="8" t="s">
        <v>203</v>
      </c>
      <c r="BN6" s="8" t="s">
        <v>202</v>
      </c>
      <c r="BO6" s="8" t="s">
        <v>202</v>
      </c>
      <c r="BP6" s="8" t="s">
        <v>203</v>
      </c>
      <c r="BQ6" s="8" t="s">
        <v>202</v>
      </c>
      <c r="BR6" s="8"/>
      <c r="BS6" s="8"/>
      <c r="BT6" s="8" t="s">
        <v>206</v>
      </c>
      <c r="BU6" s="8" t="s">
        <v>202</v>
      </c>
      <c r="BV6" s="8" t="s">
        <v>202</v>
      </c>
      <c r="BW6" s="8" t="s">
        <v>201</v>
      </c>
      <c r="BX6" s="8" t="s">
        <v>203</v>
      </c>
      <c r="BY6" s="8" t="s">
        <v>203</v>
      </c>
      <c r="BZ6" s="8" t="s">
        <v>201</v>
      </c>
      <c r="CA6" s="8" t="s">
        <v>202</v>
      </c>
      <c r="CB6" s="8" t="s">
        <v>202</v>
      </c>
      <c r="CC6" s="8" t="s">
        <v>202</v>
      </c>
      <c r="CD6" s="8" t="s">
        <v>202</v>
      </c>
      <c r="CE6" s="8" t="s">
        <v>202</v>
      </c>
      <c r="CF6" s="8" t="s">
        <v>201</v>
      </c>
      <c r="CG6" s="8"/>
      <c r="CH6" s="8" t="s">
        <v>207</v>
      </c>
      <c r="CI6" s="8" t="s">
        <v>207</v>
      </c>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t="s">
        <v>236</v>
      </c>
      <c r="DQ6" s="8" t="s">
        <v>237</v>
      </c>
      <c r="DR6" s="8"/>
      <c r="DS6" s="8"/>
      <c r="DT6" s="8"/>
      <c r="DU6" s="8"/>
      <c r="DV6" s="8"/>
      <c r="DW6" s="8" t="s">
        <v>228</v>
      </c>
      <c r="DX6" s="8"/>
      <c r="DY6" s="8"/>
      <c r="DZ6" s="8"/>
      <c r="EA6" s="8"/>
      <c r="EB6" s="8"/>
      <c r="EC6" s="8"/>
      <c r="ED6" s="8"/>
      <c r="EE6" s="8"/>
      <c r="EF6" s="8" t="s">
        <v>202</v>
      </c>
      <c r="EG6" s="8" t="s">
        <v>202</v>
      </c>
      <c r="EH6" s="8" t="s">
        <v>202</v>
      </c>
      <c r="EI6" s="8" t="s">
        <v>203</v>
      </c>
      <c r="EJ6" s="8" t="s">
        <v>203</v>
      </c>
      <c r="EK6" s="8" t="s">
        <v>205</v>
      </c>
      <c r="EL6" s="8" t="s">
        <v>203</v>
      </c>
      <c r="EM6" s="8"/>
      <c r="EN6" s="8"/>
      <c r="EO6" s="8"/>
      <c r="EP6" s="8"/>
      <c r="EQ6" s="8" t="s">
        <v>203</v>
      </c>
      <c r="ER6" s="8" t="s">
        <v>202</v>
      </c>
      <c r="ES6" s="8"/>
      <c r="ET6" s="8" t="s">
        <v>204</v>
      </c>
      <c r="EU6" s="8" t="s">
        <v>204</v>
      </c>
      <c r="EV6" s="8" t="s">
        <v>204</v>
      </c>
      <c r="EW6" s="8" t="s">
        <v>204</v>
      </c>
      <c r="EX6" s="8"/>
      <c r="EY6" s="8" t="s">
        <v>204</v>
      </c>
      <c r="EZ6" s="8" t="s">
        <v>204</v>
      </c>
      <c r="FA6" s="8" t="s">
        <v>204</v>
      </c>
      <c r="FB6" s="8" t="s">
        <v>204</v>
      </c>
      <c r="FC6" s="8" t="s">
        <v>204</v>
      </c>
      <c r="FD6" s="8" t="s">
        <v>204</v>
      </c>
      <c r="FE6" s="8" t="s">
        <v>204</v>
      </c>
      <c r="FF6" s="8" t="s">
        <v>204</v>
      </c>
      <c r="FG6" s="8" t="s">
        <v>204</v>
      </c>
      <c r="FH6" s="8" t="s">
        <v>203</v>
      </c>
      <c r="FI6" s="8" t="s">
        <v>203</v>
      </c>
      <c r="FJ6" s="8" t="s">
        <v>205</v>
      </c>
      <c r="FK6" s="8" t="s">
        <v>203</v>
      </c>
      <c r="FL6" s="8" t="s">
        <v>203</v>
      </c>
      <c r="FM6" s="8" t="s">
        <v>203</v>
      </c>
      <c r="FN6" s="8" t="s">
        <v>204</v>
      </c>
      <c r="FO6" s="8" t="s">
        <v>204</v>
      </c>
      <c r="FP6" s="8" t="s">
        <v>204</v>
      </c>
      <c r="FQ6" s="8" t="s">
        <v>204</v>
      </c>
      <c r="FR6" s="8" t="s">
        <v>204</v>
      </c>
      <c r="FS6" s="8" t="s">
        <v>204</v>
      </c>
      <c r="FT6" s="8" t="s">
        <v>204</v>
      </c>
      <c r="FU6" s="8" t="s">
        <v>204</v>
      </c>
      <c r="FV6" s="8"/>
      <c r="FW6" s="8" t="s">
        <v>238</v>
      </c>
      <c r="FX6" s="8"/>
      <c r="FY6" s="8" t="s">
        <v>202</v>
      </c>
      <c r="FZ6" s="8" t="s">
        <v>203</v>
      </c>
      <c r="GA6" s="8" t="s">
        <v>203</v>
      </c>
      <c r="GB6" s="8" t="s">
        <v>201</v>
      </c>
      <c r="GC6" s="8"/>
      <c r="GD6" s="8"/>
      <c r="GE6" s="8" t="s">
        <v>202</v>
      </c>
      <c r="GF6" s="8" t="s">
        <v>203</v>
      </c>
      <c r="GG6" s="8" t="s">
        <v>201</v>
      </c>
      <c r="GH6" s="8" t="s">
        <v>205</v>
      </c>
      <c r="GI6" s="8" t="s">
        <v>202</v>
      </c>
      <c r="GJ6" s="8" t="s">
        <v>203</v>
      </c>
      <c r="GK6" s="8" t="s">
        <v>239</v>
      </c>
      <c r="GL6" s="10">
        <f>DATE(2025,6,17)+TIME(11,33,55)</f>
        <v>45825.481886574074</v>
      </c>
    </row>
    <row r="7" spans="1:194" ht="47.25" x14ac:dyDescent="0.25">
      <c r="A7" s="6" t="s">
        <v>240</v>
      </c>
      <c r="B7" s="6" t="s">
        <v>241</v>
      </c>
      <c r="C7" s="6" t="s">
        <v>242</v>
      </c>
      <c r="D7" s="6" t="s">
        <v>243</v>
      </c>
      <c r="E7" s="6"/>
      <c r="F7" s="6" t="s">
        <v>244</v>
      </c>
      <c r="G7" s="6"/>
      <c r="H7" s="6" t="s">
        <v>245</v>
      </c>
      <c r="I7" s="6"/>
      <c r="J7" s="6"/>
      <c r="K7" s="6"/>
      <c r="L7" s="6"/>
      <c r="M7" s="6"/>
      <c r="N7" s="6"/>
      <c r="O7" s="6"/>
      <c r="P7" s="6"/>
      <c r="Q7" s="6"/>
      <c r="R7" s="6"/>
      <c r="S7" s="6"/>
      <c r="T7" s="6"/>
      <c r="U7" s="6"/>
      <c r="V7" s="6"/>
      <c r="W7" s="6"/>
      <c r="X7" s="6"/>
      <c r="Y7" s="6"/>
      <c r="Z7" s="6"/>
      <c r="AA7" s="6"/>
      <c r="AB7" s="6"/>
      <c r="AC7" s="6"/>
      <c r="AD7" s="6"/>
      <c r="AE7" s="6"/>
      <c r="AF7" s="4" t="s">
        <v>245</v>
      </c>
      <c r="AG7" s="6" t="s">
        <v>235</v>
      </c>
      <c r="AH7" s="6" t="s">
        <v>202</v>
      </c>
      <c r="AI7" s="6" t="s">
        <v>202</v>
      </c>
      <c r="AJ7" s="6" t="s">
        <v>202</v>
      </c>
      <c r="AK7" s="6" t="s">
        <v>202</v>
      </c>
      <c r="AL7" s="6" t="s">
        <v>201</v>
      </c>
      <c r="AM7" s="6" t="s">
        <v>204</v>
      </c>
      <c r="AN7" s="6" t="s">
        <v>201</v>
      </c>
      <c r="AO7" s="6" t="s">
        <v>201</v>
      </c>
      <c r="AP7" s="6" t="s">
        <v>201</v>
      </c>
      <c r="AQ7" s="6" t="s">
        <v>202</v>
      </c>
      <c r="AR7" s="6" t="s">
        <v>202</v>
      </c>
      <c r="AS7" s="6"/>
      <c r="AT7" s="6" t="s">
        <v>202</v>
      </c>
      <c r="AU7" s="6" t="s">
        <v>202</v>
      </c>
      <c r="AV7" s="6" t="s">
        <v>203</v>
      </c>
      <c r="AW7" s="6" t="s">
        <v>203</v>
      </c>
      <c r="AX7" s="6" t="s">
        <v>203</v>
      </c>
      <c r="AY7" s="6" t="s">
        <v>202</v>
      </c>
      <c r="AZ7" s="6" t="s">
        <v>202</v>
      </c>
      <c r="BA7" s="6" t="s">
        <v>205</v>
      </c>
      <c r="BB7" s="6" t="s">
        <v>202</v>
      </c>
      <c r="BC7" s="6" t="s">
        <v>202</v>
      </c>
      <c r="BD7" s="6" t="s">
        <v>202</v>
      </c>
      <c r="BE7" s="6" t="s">
        <v>202</v>
      </c>
      <c r="BF7" s="6" t="s">
        <v>205</v>
      </c>
      <c r="BG7" s="6" t="s">
        <v>202</v>
      </c>
      <c r="BH7" s="6" t="s">
        <v>202</v>
      </c>
      <c r="BI7" s="6" t="s">
        <v>202</v>
      </c>
      <c r="BJ7" s="6" t="s">
        <v>203</v>
      </c>
      <c r="BK7" s="6" t="s">
        <v>205</v>
      </c>
      <c r="BL7" s="6" t="s">
        <v>202</v>
      </c>
      <c r="BM7" s="6" t="s">
        <v>202</v>
      </c>
      <c r="BN7" s="6" t="s">
        <v>202</v>
      </c>
      <c r="BO7" s="6" t="s">
        <v>202</v>
      </c>
      <c r="BP7" s="6" t="s">
        <v>202</v>
      </c>
      <c r="BQ7" s="6" t="s">
        <v>204</v>
      </c>
      <c r="BR7" s="6" t="s">
        <v>204</v>
      </c>
      <c r="BS7" s="6"/>
      <c r="BT7" s="6" t="s">
        <v>206</v>
      </c>
      <c r="BU7" s="6" t="s">
        <v>201</v>
      </c>
      <c r="BV7" s="6" t="s">
        <v>202</v>
      </c>
      <c r="BW7" s="6" t="s">
        <v>202</v>
      </c>
      <c r="BX7" s="6" t="s">
        <v>201</v>
      </c>
      <c r="BY7" s="6" t="s">
        <v>201</v>
      </c>
      <c r="BZ7" s="6" t="s">
        <v>201</v>
      </c>
      <c r="CA7" s="6" t="s">
        <v>202</v>
      </c>
      <c r="CB7" s="6" t="s">
        <v>202</v>
      </c>
      <c r="CC7" s="6" t="s">
        <v>202</v>
      </c>
      <c r="CD7" s="6" t="s">
        <v>201</v>
      </c>
      <c r="CE7" s="6" t="s">
        <v>201</v>
      </c>
      <c r="CF7" s="6" t="s">
        <v>201</v>
      </c>
      <c r="CG7" s="6"/>
      <c r="CH7" s="6" t="s">
        <v>207</v>
      </c>
      <c r="CI7" s="6" t="s">
        <v>208</v>
      </c>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t="s">
        <v>236</v>
      </c>
      <c r="DQ7" s="6"/>
      <c r="DR7" s="6"/>
      <c r="DS7" s="6"/>
      <c r="DT7" s="6"/>
      <c r="DU7" s="6"/>
      <c r="DV7" s="6"/>
      <c r="DW7" s="6" t="s">
        <v>208</v>
      </c>
      <c r="DX7" s="6" t="s">
        <v>246</v>
      </c>
      <c r="DY7" s="6" t="s">
        <v>247</v>
      </c>
      <c r="DZ7" s="6" t="s">
        <v>219</v>
      </c>
      <c r="EA7" s="6"/>
      <c r="EB7" s="6"/>
      <c r="EC7" s="6" t="s">
        <v>204</v>
      </c>
      <c r="ED7" s="6" t="s">
        <v>204</v>
      </c>
      <c r="EE7" s="6" t="s">
        <v>204</v>
      </c>
      <c r="EF7" s="6" t="s">
        <v>204</v>
      </c>
      <c r="EG7" s="6" t="s">
        <v>204</v>
      </c>
      <c r="EH7" s="6" t="s">
        <v>204</v>
      </c>
      <c r="EI7" s="6" t="s">
        <v>204</v>
      </c>
      <c r="EJ7" s="6" t="s">
        <v>204</v>
      </c>
      <c r="EK7" s="6" t="s">
        <v>201</v>
      </c>
      <c r="EL7" s="6" t="s">
        <v>205</v>
      </c>
      <c r="EM7" s="6" t="s">
        <v>204</v>
      </c>
      <c r="EN7" s="6" t="s">
        <v>204</v>
      </c>
      <c r="EO7" s="6" t="s">
        <v>204</v>
      </c>
      <c r="EP7" s="6"/>
      <c r="EQ7" s="6" t="s">
        <v>201</v>
      </c>
      <c r="ER7" s="6" t="s">
        <v>202</v>
      </c>
      <c r="ES7" s="6"/>
      <c r="ET7" s="6" t="s">
        <v>205</v>
      </c>
      <c r="EU7" s="6" t="s">
        <v>201</v>
      </c>
      <c r="EV7" s="6" t="s">
        <v>202</v>
      </c>
      <c r="EW7" s="6" t="s">
        <v>204</v>
      </c>
      <c r="EX7" s="6"/>
      <c r="EY7" s="6" t="s">
        <v>202</v>
      </c>
      <c r="EZ7" s="6" t="s">
        <v>205</v>
      </c>
      <c r="FA7" s="6" t="s">
        <v>201</v>
      </c>
      <c r="FB7" s="6" t="s">
        <v>201</v>
      </c>
      <c r="FC7" s="6" t="s">
        <v>201</v>
      </c>
      <c r="FD7" s="6" t="s">
        <v>204</v>
      </c>
      <c r="FE7" s="6" t="s">
        <v>202</v>
      </c>
      <c r="FF7" s="6" t="s">
        <v>201</v>
      </c>
      <c r="FG7" s="6" t="s">
        <v>201</v>
      </c>
      <c r="FH7" s="6" t="s">
        <v>201</v>
      </c>
      <c r="FI7" s="6" t="s">
        <v>202</v>
      </c>
      <c r="FJ7" s="6" t="s">
        <v>205</v>
      </c>
      <c r="FK7" s="6" t="s">
        <v>201</v>
      </c>
      <c r="FL7" s="6" t="s">
        <v>202</v>
      </c>
      <c r="FM7" s="6" t="s">
        <v>202</v>
      </c>
      <c r="FN7" s="6" t="s">
        <v>204</v>
      </c>
      <c r="FO7" s="6" t="s">
        <v>202</v>
      </c>
      <c r="FP7" s="6" t="s">
        <v>202</v>
      </c>
      <c r="FQ7" s="6" t="s">
        <v>202</v>
      </c>
      <c r="FR7" s="6" t="s">
        <v>205</v>
      </c>
      <c r="FS7" s="6" t="s">
        <v>205</v>
      </c>
      <c r="FT7" s="6" t="s">
        <v>205</v>
      </c>
      <c r="FU7" s="6" t="s">
        <v>204</v>
      </c>
      <c r="FV7" s="6"/>
      <c r="FW7" s="6" t="s">
        <v>238</v>
      </c>
      <c r="FX7" s="6"/>
      <c r="FY7" s="6" t="s">
        <v>203</v>
      </c>
      <c r="FZ7" s="6" t="s">
        <v>201</v>
      </c>
      <c r="GA7" s="6" t="s">
        <v>201</v>
      </c>
      <c r="GB7" s="6" t="s">
        <v>201</v>
      </c>
      <c r="GC7" s="6"/>
      <c r="GD7" s="6"/>
      <c r="GE7" s="6" t="s">
        <v>201</v>
      </c>
      <c r="GF7" s="6" t="s">
        <v>201</v>
      </c>
      <c r="GG7" s="6" t="s">
        <v>201</v>
      </c>
      <c r="GH7" s="6" t="s">
        <v>202</v>
      </c>
      <c r="GI7" s="6" t="s">
        <v>202</v>
      </c>
      <c r="GJ7" s="6" t="s">
        <v>202</v>
      </c>
      <c r="GK7" s="6"/>
      <c r="GL7" s="7">
        <f>DATE(2025,6,26)+TIME(12,16,41)</f>
        <v>45834.51158564815</v>
      </c>
    </row>
    <row r="8" spans="1:194" ht="63" x14ac:dyDescent="0.25">
      <c r="A8" s="3"/>
      <c r="B8" s="3"/>
      <c r="C8" s="3" t="s">
        <v>248</v>
      </c>
      <c r="D8" s="3" t="s">
        <v>249</v>
      </c>
      <c r="E8" s="3"/>
      <c r="F8" s="3" t="s">
        <v>250</v>
      </c>
      <c r="G8" s="3"/>
      <c r="H8" s="3"/>
      <c r="I8" s="3"/>
      <c r="J8" s="3"/>
      <c r="K8" s="3"/>
      <c r="L8" s="3"/>
      <c r="M8" s="3"/>
      <c r="N8" s="3"/>
      <c r="O8" s="3"/>
      <c r="P8" s="3"/>
      <c r="Q8" s="3"/>
      <c r="R8" s="3"/>
      <c r="S8" s="3"/>
      <c r="T8" s="3"/>
      <c r="U8" s="3"/>
      <c r="V8" s="3"/>
      <c r="W8" s="3"/>
      <c r="X8" s="3" t="s">
        <v>251</v>
      </c>
      <c r="Y8" s="3"/>
      <c r="Z8" s="3"/>
      <c r="AA8" s="3"/>
      <c r="AB8" s="3"/>
      <c r="AC8" s="3"/>
      <c r="AD8" s="3"/>
      <c r="AE8" s="3"/>
      <c r="AF8" s="4" t="s">
        <v>251</v>
      </c>
      <c r="AG8" s="3" t="s">
        <v>213</v>
      </c>
      <c r="AH8" s="3" t="s">
        <v>201</v>
      </c>
      <c r="AI8" s="3" t="s">
        <v>201</v>
      </c>
      <c r="AJ8" s="3" t="s">
        <v>204</v>
      </c>
      <c r="AK8" s="3" t="s">
        <v>201</v>
      </c>
      <c r="AL8" s="3" t="s">
        <v>204</v>
      </c>
      <c r="AM8" s="3" t="s">
        <v>204</v>
      </c>
      <c r="AN8" s="3" t="s">
        <v>204</v>
      </c>
      <c r="AO8" s="3" t="s">
        <v>204</v>
      </c>
      <c r="AP8" s="3" t="s">
        <v>204</v>
      </c>
      <c r="AQ8" s="3" t="s">
        <v>202</v>
      </c>
      <c r="AR8" s="3" t="s">
        <v>201</v>
      </c>
      <c r="AS8" s="3"/>
      <c r="AT8" s="3" t="s">
        <v>201</v>
      </c>
      <c r="AU8" s="3" t="s">
        <v>201</v>
      </c>
      <c r="AV8" s="3" t="s">
        <v>203</v>
      </c>
      <c r="AW8" s="3" t="s">
        <v>201</v>
      </c>
      <c r="AX8" s="3" t="s">
        <v>201</v>
      </c>
      <c r="AY8" s="3" t="s">
        <v>201</v>
      </c>
      <c r="AZ8" s="3" t="s">
        <v>202</v>
      </c>
      <c r="BA8" s="3" t="s">
        <v>203</v>
      </c>
      <c r="BB8" s="3" t="s">
        <v>202</v>
      </c>
      <c r="BC8" s="3" t="s">
        <v>202</v>
      </c>
      <c r="BD8" s="3" t="s">
        <v>201</v>
      </c>
      <c r="BE8" s="3" t="s">
        <v>203</v>
      </c>
      <c r="BF8" s="3" t="s">
        <v>203</v>
      </c>
      <c r="BG8" s="3" t="s">
        <v>202</v>
      </c>
      <c r="BH8" s="3" t="s">
        <v>202</v>
      </c>
      <c r="BI8" s="3" t="s">
        <v>201</v>
      </c>
      <c r="BJ8" s="3" t="s">
        <v>202</v>
      </c>
      <c r="BK8" s="3" t="s">
        <v>203</v>
      </c>
      <c r="BL8" s="3" t="s">
        <v>201</v>
      </c>
      <c r="BM8" s="3" t="s">
        <v>202</v>
      </c>
      <c r="BN8" s="3" t="s">
        <v>201</v>
      </c>
      <c r="BO8" s="3" t="s">
        <v>202</v>
      </c>
      <c r="BP8" s="3" t="s">
        <v>203</v>
      </c>
      <c r="BQ8" s="3" t="s">
        <v>203</v>
      </c>
      <c r="BR8" s="3" t="s">
        <v>204</v>
      </c>
      <c r="BS8" s="3"/>
      <c r="BT8" s="3" t="s">
        <v>210</v>
      </c>
      <c r="BU8" s="3" t="s">
        <v>201</v>
      </c>
      <c r="BV8" s="3" t="s">
        <v>201</v>
      </c>
      <c r="BW8" s="3" t="s">
        <v>201</v>
      </c>
      <c r="BX8" s="3" t="s">
        <v>201</v>
      </c>
      <c r="BY8" s="3" t="s">
        <v>201</v>
      </c>
      <c r="BZ8" s="3" t="s">
        <v>201</v>
      </c>
      <c r="CA8" s="3" t="s">
        <v>201</v>
      </c>
      <c r="CB8" s="3" t="s">
        <v>201</v>
      </c>
      <c r="CC8" s="3" t="s">
        <v>201</v>
      </c>
      <c r="CD8" s="3" t="s">
        <v>201</v>
      </c>
      <c r="CE8" s="3" t="s">
        <v>201</v>
      </c>
      <c r="CF8" s="3" t="s">
        <v>201</v>
      </c>
      <c r="CG8" s="3"/>
      <c r="CH8" s="3" t="s">
        <v>207</v>
      </c>
      <c r="CI8" s="3" t="s">
        <v>208</v>
      </c>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t="s">
        <v>209</v>
      </c>
      <c r="DS8" s="3"/>
      <c r="DT8" s="3"/>
      <c r="DU8" s="3"/>
      <c r="DV8" s="3"/>
      <c r="DW8" s="3" t="s">
        <v>207</v>
      </c>
      <c r="DX8" s="3"/>
      <c r="DY8" s="3"/>
      <c r="DZ8" s="3"/>
      <c r="EA8" s="3"/>
      <c r="EB8" s="3"/>
      <c r="EC8" s="3"/>
      <c r="ED8" s="3"/>
      <c r="EE8" s="3"/>
      <c r="EF8" s="3" t="s">
        <v>204</v>
      </c>
      <c r="EG8" s="3" t="s">
        <v>204</v>
      </c>
      <c r="EH8" s="3" t="s">
        <v>204</v>
      </c>
      <c r="EI8" s="3" t="s">
        <v>204</v>
      </c>
      <c r="EJ8" s="3" t="s">
        <v>204</v>
      </c>
      <c r="EK8" s="3" t="s">
        <v>204</v>
      </c>
      <c r="EL8" s="3" t="s">
        <v>204</v>
      </c>
      <c r="EM8" s="3" t="s">
        <v>204</v>
      </c>
      <c r="EN8" s="3" t="s">
        <v>204</v>
      </c>
      <c r="EO8" s="3" t="s">
        <v>204</v>
      </c>
      <c r="EP8" s="3"/>
      <c r="EQ8" s="3" t="s">
        <v>205</v>
      </c>
      <c r="ER8" s="3" t="s">
        <v>205</v>
      </c>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t="s">
        <v>201</v>
      </c>
      <c r="FZ8" s="3" t="s">
        <v>202</v>
      </c>
      <c r="GA8" s="3" t="s">
        <v>201</v>
      </c>
      <c r="GB8" s="3" t="s">
        <v>202</v>
      </c>
      <c r="GC8" s="3"/>
      <c r="GD8" s="3"/>
      <c r="GE8" s="3" t="s">
        <v>201</v>
      </c>
      <c r="GF8" s="3" t="s">
        <v>201</v>
      </c>
      <c r="GG8" s="3" t="s">
        <v>201</v>
      </c>
      <c r="GH8" s="3" t="s">
        <v>201</v>
      </c>
      <c r="GI8" s="3" t="s">
        <v>201</v>
      </c>
      <c r="GJ8" s="3" t="s">
        <v>201</v>
      </c>
      <c r="GK8" s="3"/>
      <c r="GL8" s="5">
        <f>DATE(2025,6,16)+TIME(10,50,29)</f>
        <v>45824.451724537037</v>
      </c>
    </row>
    <row r="9" spans="1:194" ht="47.25" x14ac:dyDescent="0.25">
      <c r="A9" s="6" t="s">
        <v>252</v>
      </c>
      <c r="B9" s="6" t="s">
        <v>253</v>
      </c>
      <c r="C9" s="6" t="s">
        <v>254</v>
      </c>
      <c r="D9" s="6" t="s">
        <v>255</v>
      </c>
      <c r="E9" s="6"/>
      <c r="F9" s="6" t="s">
        <v>256</v>
      </c>
      <c r="G9" s="6"/>
      <c r="H9" s="6"/>
      <c r="I9" s="6" t="s">
        <v>257</v>
      </c>
      <c r="J9" s="6"/>
      <c r="K9" s="6"/>
      <c r="L9" s="6"/>
      <c r="M9" s="6"/>
      <c r="N9" s="6"/>
      <c r="O9" s="6"/>
      <c r="P9" s="6"/>
      <c r="Q9" s="6"/>
      <c r="R9" s="6"/>
      <c r="S9" s="6"/>
      <c r="T9" s="6"/>
      <c r="U9" s="6"/>
      <c r="V9" s="6"/>
      <c r="W9" s="6"/>
      <c r="X9" s="6"/>
      <c r="Y9" s="6"/>
      <c r="Z9" s="6"/>
      <c r="AA9" s="6"/>
      <c r="AB9" s="6"/>
      <c r="AC9" s="6"/>
      <c r="AD9" s="6"/>
      <c r="AE9" s="6"/>
      <c r="AF9" s="4" t="s">
        <v>257</v>
      </c>
      <c r="AG9" s="6" t="s">
        <v>235</v>
      </c>
      <c r="AH9" s="6" t="s">
        <v>204</v>
      </c>
      <c r="AI9" s="6" t="s">
        <v>203</v>
      </c>
      <c r="AJ9" s="6" t="s">
        <v>204</v>
      </c>
      <c r="AK9" s="6" t="s">
        <v>203</v>
      </c>
      <c r="AL9" s="6" t="s">
        <v>201</v>
      </c>
      <c r="AM9" s="6" t="s">
        <v>201</v>
      </c>
      <c r="AN9" s="6" t="s">
        <v>202</v>
      </c>
      <c r="AO9" s="6" t="s">
        <v>201</v>
      </c>
      <c r="AP9" s="6" t="s">
        <v>204</v>
      </c>
      <c r="AQ9" s="6" t="s">
        <v>204</v>
      </c>
      <c r="AR9" s="6" t="s">
        <v>204</v>
      </c>
      <c r="AS9" s="6"/>
      <c r="AT9" s="6" t="s">
        <v>204</v>
      </c>
      <c r="AU9" s="6" t="s">
        <v>204</v>
      </c>
      <c r="AV9" s="6" t="s">
        <v>204</v>
      </c>
      <c r="AW9" s="6" t="s">
        <v>204</v>
      </c>
      <c r="AX9" s="6" t="s">
        <v>204</v>
      </c>
      <c r="AY9" s="6" t="s">
        <v>204</v>
      </c>
      <c r="AZ9" s="6" t="s">
        <v>205</v>
      </c>
      <c r="BA9" s="6" t="s">
        <v>205</v>
      </c>
      <c r="BB9" s="6" t="s">
        <v>205</v>
      </c>
      <c r="BC9" s="6" t="s">
        <v>205</v>
      </c>
      <c r="BD9" s="6" t="s">
        <v>205</v>
      </c>
      <c r="BE9" s="6" t="s">
        <v>204</v>
      </c>
      <c r="BF9" s="6" t="s">
        <v>204</v>
      </c>
      <c r="BG9" s="6" t="s">
        <v>204</v>
      </c>
      <c r="BH9" s="6" t="s">
        <v>204</v>
      </c>
      <c r="BI9" s="6" t="s">
        <v>204</v>
      </c>
      <c r="BJ9" s="6" t="s">
        <v>204</v>
      </c>
      <c r="BK9" s="6" t="s">
        <v>204</v>
      </c>
      <c r="BL9" s="6" t="s">
        <v>204</v>
      </c>
      <c r="BM9" s="6" t="s">
        <v>204</v>
      </c>
      <c r="BN9" s="6" t="s">
        <v>204</v>
      </c>
      <c r="BO9" s="6" t="s">
        <v>204</v>
      </c>
      <c r="BP9" s="6" t="s">
        <v>204</v>
      </c>
      <c r="BQ9" s="6" t="s">
        <v>204</v>
      </c>
      <c r="BR9" s="6" t="s">
        <v>204</v>
      </c>
      <c r="BS9" s="6"/>
      <c r="BT9" s="6" t="s">
        <v>206</v>
      </c>
      <c r="BU9" s="6" t="s">
        <v>202</v>
      </c>
      <c r="BV9" s="6" t="s">
        <v>202</v>
      </c>
      <c r="BW9" s="6" t="s">
        <v>202</v>
      </c>
      <c r="BX9" s="6" t="s">
        <v>202</v>
      </c>
      <c r="BY9" s="6" t="s">
        <v>202</v>
      </c>
      <c r="BZ9" s="6" t="s">
        <v>202</v>
      </c>
      <c r="CA9" s="6" t="s">
        <v>202</v>
      </c>
      <c r="CB9" s="6" t="s">
        <v>202</v>
      </c>
      <c r="CC9" s="6" t="s">
        <v>202</v>
      </c>
      <c r="CD9" s="6" t="s">
        <v>202</v>
      </c>
      <c r="CE9" s="6" t="s">
        <v>202</v>
      </c>
      <c r="CF9" s="6" t="s">
        <v>202</v>
      </c>
      <c r="CG9" s="6"/>
      <c r="CH9" s="6" t="s">
        <v>208</v>
      </c>
      <c r="CI9" s="6" t="s">
        <v>208</v>
      </c>
      <c r="CJ9" s="6" t="s">
        <v>202</v>
      </c>
      <c r="CK9" s="6" t="s">
        <v>202</v>
      </c>
      <c r="CL9" s="6" t="s">
        <v>201</v>
      </c>
      <c r="CM9" s="6" t="s">
        <v>202</v>
      </c>
      <c r="CN9" s="6" t="s">
        <v>203</v>
      </c>
      <c r="CO9" s="6" t="s">
        <v>201</v>
      </c>
      <c r="CP9" s="6" t="s">
        <v>202</v>
      </c>
      <c r="CQ9" s="6" t="s">
        <v>202</v>
      </c>
      <c r="CR9" s="6" t="s">
        <v>202</v>
      </c>
      <c r="CS9" s="6" t="s">
        <v>201</v>
      </c>
      <c r="CT9" s="6" t="s">
        <v>202</v>
      </c>
      <c r="CU9" s="6" t="s">
        <v>202</v>
      </c>
      <c r="CV9" s="6" t="s">
        <v>202</v>
      </c>
      <c r="CW9" s="6" t="s">
        <v>202</v>
      </c>
      <c r="CX9" s="6" t="s">
        <v>202</v>
      </c>
      <c r="CY9" s="6" t="s">
        <v>204</v>
      </c>
      <c r="CZ9" s="6" t="s">
        <v>201</v>
      </c>
      <c r="DA9" s="6" t="s">
        <v>202</v>
      </c>
      <c r="DB9" s="6"/>
      <c r="DC9" s="6" t="s">
        <v>258</v>
      </c>
      <c r="DD9" s="6" t="s">
        <v>259</v>
      </c>
      <c r="DE9" s="6"/>
      <c r="DF9" s="6"/>
      <c r="DG9" s="6"/>
      <c r="DH9" s="6" t="s">
        <v>203</v>
      </c>
      <c r="DI9" s="6" t="s">
        <v>203</v>
      </c>
      <c r="DJ9" s="6" t="s">
        <v>203</v>
      </c>
      <c r="DK9" s="6" t="s">
        <v>201</v>
      </c>
      <c r="DL9" s="6" t="s">
        <v>201</v>
      </c>
      <c r="DM9" s="6" t="s">
        <v>201</v>
      </c>
      <c r="DN9" s="6" t="s">
        <v>204</v>
      </c>
      <c r="DO9" s="6"/>
      <c r="DP9" s="6"/>
      <c r="DQ9" s="6"/>
      <c r="DR9" s="6"/>
      <c r="DS9" s="6"/>
      <c r="DT9" s="6"/>
      <c r="DU9" s="6"/>
      <c r="DV9" s="6"/>
      <c r="DW9" s="6" t="s">
        <v>228</v>
      </c>
      <c r="DX9" s="6"/>
      <c r="DY9" s="6"/>
      <c r="DZ9" s="6"/>
      <c r="EA9" s="6"/>
      <c r="EB9" s="6"/>
      <c r="EC9" s="6"/>
      <c r="ED9" s="6"/>
      <c r="EE9" s="6"/>
      <c r="EF9" s="6" t="s">
        <v>205</v>
      </c>
      <c r="EG9" s="6" t="s">
        <v>203</v>
      </c>
      <c r="EH9" s="6" t="s">
        <v>202</v>
      </c>
      <c r="EI9" s="6" t="s">
        <v>201</v>
      </c>
      <c r="EJ9" s="6" t="s">
        <v>201</v>
      </c>
      <c r="EK9" s="6" t="s">
        <v>205</v>
      </c>
      <c r="EL9" s="6" t="s">
        <v>201</v>
      </c>
      <c r="EM9" s="6" t="s">
        <v>202</v>
      </c>
      <c r="EN9" s="6" t="s">
        <v>201</v>
      </c>
      <c r="EO9" s="6" t="s">
        <v>202</v>
      </c>
      <c r="EP9" s="6"/>
      <c r="EQ9" s="6" t="s">
        <v>201</v>
      </c>
      <c r="ER9" s="6" t="s">
        <v>202</v>
      </c>
      <c r="ES9" s="6"/>
      <c r="ET9" s="6" t="s">
        <v>202</v>
      </c>
      <c r="EU9" s="6" t="s">
        <v>201</v>
      </c>
      <c r="EV9" s="6" t="s">
        <v>201</v>
      </c>
      <c r="EW9" s="6" t="s">
        <v>204</v>
      </c>
      <c r="EX9" s="6"/>
      <c r="EY9" s="6" t="s">
        <v>202</v>
      </c>
      <c r="EZ9" s="6" t="s">
        <v>201</v>
      </c>
      <c r="FA9" s="6" t="s">
        <v>202</v>
      </c>
      <c r="FB9" s="6" t="s">
        <v>202</v>
      </c>
      <c r="FC9" s="6" t="s">
        <v>202</v>
      </c>
      <c r="FD9" s="6" t="s">
        <v>201</v>
      </c>
      <c r="FE9" s="6" t="s">
        <v>202</v>
      </c>
      <c r="FF9" s="6" t="s">
        <v>203</v>
      </c>
      <c r="FG9" s="6" t="s">
        <v>202</v>
      </c>
      <c r="FH9" s="6" t="s">
        <v>202</v>
      </c>
      <c r="FI9" s="6" t="s">
        <v>202</v>
      </c>
      <c r="FJ9" s="6" t="s">
        <v>203</v>
      </c>
      <c r="FK9" s="6" t="s">
        <v>202</v>
      </c>
      <c r="FL9" s="6" t="s">
        <v>202</v>
      </c>
      <c r="FM9" s="6" t="s">
        <v>202</v>
      </c>
      <c r="FN9" s="6" t="s">
        <v>202</v>
      </c>
      <c r="FO9" s="6" t="s">
        <v>203</v>
      </c>
      <c r="FP9" s="6" t="s">
        <v>203</v>
      </c>
      <c r="FQ9" s="6" t="s">
        <v>203</v>
      </c>
      <c r="FR9" s="6" t="s">
        <v>201</v>
      </c>
      <c r="FS9" s="6" t="s">
        <v>201</v>
      </c>
      <c r="FT9" s="6" t="s">
        <v>201</v>
      </c>
      <c r="FU9" s="6" t="s">
        <v>204</v>
      </c>
      <c r="FV9" s="6"/>
      <c r="FW9" s="6" t="s">
        <v>238</v>
      </c>
      <c r="FX9" s="6"/>
      <c r="FY9" s="6" t="s">
        <v>202</v>
      </c>
      <c r="FZ9" s="6" t="s">
        <v>202</v>
      </c>
      <c r="GA9" s="6" t="s">
        <v>201</v>
      </c>
      <c r="GB9" s="6" t="s">
        <v>203</v>
      </c>
      <c r="GC9" s="6" t="s">
        <v>204</v>
      </c>
      <c r="GD9" s="6"/>
      <c r="GE9" s="6" t="s">
        <v>202</v>
      </c>
      <c r="GF9" s="6" t="s">
        <v>203</v>
      </c>
      <c r="GG9" s="6" t="s">
        <v>201</v>
      </c>
      <c r="GH9" s="6" t="s">
        <v>205</v>
      </c>
      <c r="GI9" s="6" t="s">
        <v>202</v>
      </c>
      <c r="GJ9" s="6" t="s">
        <v>202</v>
      </c>
      <c r="GK9" s="6"/>
      <c r="GL9" s="7">
        <f>DATE(2025,6,13)+TIME(11,52,51)</f>
        <v>45821.495034722226</v>
      </c>
    </row>
    <row r="10" spans="1:194" ht="47.25" x14ac:dyDescent="0.25">
      <c r="A10" s="3"/>
      <c r="B10" s="3"/>
      <c r="C10" s="3" t="s">
        <v>260</v>
      </c>
      <c r="D10" s="3" t="s">
        <v>261</v>
      </c>
      <c r="E10" s="3"/>
      <c r="F10" s="3" t="s">
        <v>262</v>
      </c>
      <c r="G10" s="3"/>
      <c r="H10" s="3"/>
      <c r="I10" s="3"/>
      <c r="J10" s="3" t="s">
        <v>263</v>
      </c>
      <c r="K10" s="3"/>
      <c r="L10" s="3"/>
      <c r="M10" s="3"/>
      <c r="N10" s="3"/>
      <c r="O10" s="3"/>
      <c r="P10" s="3"/>
      <c r="Q10" s="3"/>
      <c r="R10" s="3"/>
      <c r="S10" s="3"/>
      <c r="T10" s="3"/>
      <c r="U10" s="3"/>
      <c r="V10" s="3"/>
      <c r="W10" s="3"/>
      <c r="X10" s="3"/>
      <c r="Y10" s="3"/>
      <c r="Z10" s="3"/>
      <c r="AA10" s="3"/>
      <c r="AB10" s="3"/>
      <c r="AC10" s="3"/>
      <c r="AD10" s="3"/>
      <c r="AE10" s="3"/>
      <c r="AF10" s="4" t="s">
        <v>263</v>
      </c>
      <c r="AG10" s="3" t="s">
        <v>213</v>
      </c>
      <c r="AH10" s="3" t="s">
        <v>201</v>
      </c>
      <c r="AI10" s="3" t="s">
        <v>203</v>
      </c>
      <c r="AJ10" s="3" t="s">
        <v>204</v>
      </c>
      <c r="AK10" s="3" t="s">
        <v>203</v>
      </c>
      <c r="AL10" s="3" t="s">
        <v>202</v>
      </c>
      <c r="AM10" s="3" t="s">
        <v>201</v>
      </c>
      <c r="AN10" s="3" t="s">
        <v>202</v>
      </c>
      <c r="AO10" s="3" t="s">
        <v>201</v>
      </c>
      <c r="AP10" s="3" t="s">
        <v>201</v>
      </c>
      <c r="AQ10" s="3" t="s">
        <v>202</v>
      </c>
      <c r="AR10" s="3" t="s">
        <v>204</v>
      </c>
      <c r="AS10" s="3"/>
      <c r="AT10" s="3" t="s">
        <v>201</v>
      </c>
      <c r="AU10" s="3" t="s">
        <v>202</v>
      </c>
      <c r="AV10" s="3" t="s">
        <v>204</v>
      </c>
      <c r="AW10" s="3" t="s">
        <v>202</v>
      </c>
      <c r="AX10" s="3" t="s">
        <v>202</v>
      </c>
      <c r="AY10" s="3" t="s">
        <v>204</v>
      </c>
      <c r="AZ10" s="3" t="s">
        <v>202</v>
      </c>
      <c r="BA10" s="3" t="s">
        <v>205</v>
      </c>
      <c r="BB10" s="3" t="s">
        <v>202</v>
      </c>
      <c r="BC10" s="3" t="s">
        <v>204</v>
      </c>
      <c r="BD10" s="3" t="s">
        <v>204</v>
      </c>
      <c r="BE10" s="3" t="s">
        <v>204</v>
      </c>
      <c r="BF10" s="3" t="s">
        <v>204</v>
      </c>
      <c r="BG10" s="3" t="s">
        <v>204</v>
      </c>
      <c r="BH10" s="3" t="s">
        <v>204</v>
      </c>
      <c r="BI10" s="3" t="s">
        <v>204</v>
      </c>
      <c r="BJ10" s="3" t="s">
        <v>201</v>
      </c>
      <c r="BK10" s="3" t="s">
        <v>205</v>
      </c>
      <c r="BL10" s="3" t="s">
        <v>202</v>
      </c>
      <c r="BM10" s="3" t="s">
        <v>202</v>
      </c>
      <c r="BN10" s="3" t="s">
        <v>204</v>
      </c>
      <c r="BO10" s="3" t="s">
        <v>204</v>
      </c>
      <c r="BP10" s="3" t="s">
        <v>204</v>
      </c>
      <c r="BQ10" s="3" t="s">
        <v>204</v>
      </c>
      <c r="BR10" s="3" t="s">
        <v>204</v>
      </c>
      <c r="BS10" s="3"/>
      <c r="BT10" s="3"/>
      <c r="BU10" s="3" t="s">
        <v>204</v>
      </c>
      <c r="BV10" s="3" t="s">
        <v>204</v>
      </c>
      <c r="BW10" s="3" t="s">
        <v>204</v>
      </c>
      <c r="BX10" s="3" t="s">
        <v>204</v>
      </c>
      <c r="BY10" s="3" t="s">
        <v>204</v>
      </c>
      <c r="BZ10" s="3" t="s">
        <v>204</v>
      </c>
      <c r="CA10" s="3" t="s">
        <v>204</v>
      </c>
      <c r="CB10" s="3" t="s">
        <v>204</v>
      </c>
      <c r="CC10" s="3" t="s">
        <v>204</v>
      </c>
      <c r="CD10" s="3" t="s">
        <v>204</v>
      </c>
      <c r="CE10" s="3" t="s">
        <v>204</v>
      </c>
      <c r="CF10" s="3" t="s">
        <v>204</v>
      </c>
      <c r="CG10" s="3"/>
      <c r="CH10" s="3" t="s">
        <v>208</v>
      </c>
      <c r="CI10" s="3" t="s">
        <v>208</v>
      </c>
      <c r="CJ10" s="3" t="s">
        <v>202</v>
      </c>
      <c r="CK10" s="3" t="s">
        <v>201</v>
      </c>
      <c r="CL10" s="3" t="s">
        <v>201</v>
      </c>
      <c r="CM10" s="3" t="s">
        <v>201</v>
      </c>
      <c r="CN10" s="3" t="s">
        <v>201</v>
      </c>
      <c r="CO10" s="3" t="s">
        <v>201</v>
      </c>
      <c r="CP10" s="3" t="s">
        <v>204</v>
      </c>
      <c r="CQ10" s="3" t="s">
        <v>201</v>
      </c>
      <c r="CR10" s="3" t="s">
        <v>204</v>
      </c>
      <c r="CS10" s="3" t="s">
        <v>201</v>
      </c>
      <c r="CT10" s="3" t="s">
        <v>201</v>
      </c>
      <c r="CU10" s="3" t="s">
        <v>203</v>
      </c>
      <c r="CV10" s="3" t="s">
        <v>202</v>
      </c>
      <c r="CW10" s="3" t="s">
        <v>201</v>
      </c>
      <c r="CX10" s="3" t="s">
        <v>201</v>
      </c>
      <c r="CY10" s="3" t="s">
        <v>201</v>
      </c>
      <c r="CZ10" s="3" t="s">
        <v>202</v>
      </c>
      <c r="DA10" s="3" t="s">
        <v>203</v>
      </c>
      <c r="DB10" s="3" t="s">
        <v>264</v>
      </c>
      <c r="DC10" s="3"/>
      <c r="DD10" s="3"/>
      <c r="DE10" s="3"/>
      <c r="DF10" s="3" t="s">
        <v>217</v>
      </c>
      <c r="DG10" s="3"/>
      <c r="DH10" s="3" t="s">
        <v>201</v>
      </c>
      <c r="DI10" s="3" t="s">
        <v>204</v>
      </c>
      <c r="DJ10" s="3" t="s">
        <v>202</v>
      </c>
      <c r="DK10" s="3" t="s">
        <v>201</v>
      </c>
      <c r="DL10" s="3" t="s">
        <v>203</v>
      </c>
      <c r="DM10" s="3" t="s">
        <v>202</v>
      </c>
      <c r="DN10" s="3" t="s">
        <v>204</v>
      </c>
      <c r="DO10" s="3"/>
      <c r="DP10" s="3"/>
      <c r="DQ10" s="3"/>
      <c r="DR10" s="3"/>
      <c r="DS10" s="3"/>
      <c r="DT10" s="3"/>
      <c r="DU10" s="3"/>
      <c r="DV10" s="3"/>
      <c r="DW10" s="3" t="s">
        <v>208</v>
      </c>
      <c r="DX10" s="3" t="s">
        <v>246</v>
      </c>
      <c r="DY10" s="3"/>
      <c r="DZ10" s="3" t="s">
        <v>219</v>
      </c>
      <c r="EA10" s="3"/>
      <c r="EB10" s="3"/>
      <c r="EC10" s="3" t="s">
        <v>201</v>
      </c>
      <c r="ED10" s="3" t="s">
        <v>202</v>
      </c>
      <c r="EE10" s="3" t="s">
        <v>201</v>
      </c>
      <c r="EF10" s="3" t="s">
        <v>201</v>
      </c>
      <c r="EG10" s="3" t="s">
        <v>202</v>
      </c>
      <c r="EH10" s="3" t="s">
        <v>204</v>
      </c>
      <c r="EI10" s="3" t="s">
        <v>202</v>
      </c>
      <c r="EJ10" s="3" t="s">
        <v>201</v>
      </c>
      <c r="EK10" s="3" t="s">
        <v>201</v>
      </c>
      <c r="EL10" s="3" t="s">
        <v>201</v>
      </c>
      <c r="EM10" s="3" t="s">
        <v>202</v>
      </c>
      <c r="EN10" s="3" t="s">
        <v>203</v>
      </c>
      <c r="EO10" s="3" t="s">
        <v>202</v>
      </c>
      <c r="EP10" s="3"/>
      <c r="EQ10" s="3" t="s">
        <v>203</v>
      </c>
      <c r="ER10" s="3" t="s">
        <v>203</v>
      </c>
      <c r="ES10" s="3"/>
      <c r="ET10" s="3" t="s">
        <v>204</v>
      </c>
      <c r="EU10" s="3" t="s">
        <v>204</v>
      </c>
      <c r="EV10" s="3" t="s">
        <v>204</v>
      </c>
      <c r="EW10" s="3" t="s">
        <v>204</v>
      </c>
      <c r="EX10" s="3"/>
      <c r="EY10" s="3" t="s">
        <v>204</v>
      </c>
      <c r="EZ10" s="3" t="s">
        <v>204</v>
      </c>
      <c r="FA10" s="3" t="s">
        <v>204</v>
      </c>
      <c r="FB10" s="3" t="s">
        <v>204</v>
      </c>
      <c r="FC10" s="3" t="s">
        <v>204</v>
      </c>
      <c r="FD10" s="3" t="s">
        <v>204</v>
      </c>
      <c r="FE10" s="3" t="s">
        <v>204</v>
      </c>
      <c r="FF10" s="3" t="s">
        <v>204</v>
      </c>
      <c r="FG10" s="3" t="s">
        <v>204</v>
      </c>
      <c r="FH10" s="3" t="s">
        <v>204</v>
      </c>
      <c r="FI10" s="3" t="s">
        <v>204</v>
      </c>
      <c r="FJ10" s="3" t="s">
        <v>204</v>
      </c>
      <c r="FK10" s="3" t="s">
        <v>204</v>
      </c>
      <c r="FL10" s="3" t="s">
        <v>204</v>
      </c>
      <c r="FM10" s="3" t="s">
        <v>204</v>
      </c>
      <c r="FN10" s="3" t="s">
        <v>204</v>
      </c>
      <c r="FO10" s="3" t="s">
        <v>204</v>
      </c>
      <c r="FP10" s="3" t="s">
        <v>204</v>
      </c>
      <c r="FQ10" s="3" t="s">
        <v>204</v>
      </c>
      <c r="FR10" s="3" t="s">
        <v>204</v>
      </c>
      <c r="FS10" s="3" t="s">
        <v>204</v>
      </c>
      <c r="FT10" s="3" t="s">
        <v>204</v>
      </c>
      <c r="FU10" s="3" t="s">
        <v>204</v>
      </c>
      <c r="FV10" s="3"/>
      <c r="FW10" s="3"/>
      <c r="FX10" s="3"/>
      <c r="FY10" s="3" t="s">
        <v>202</v>
      </c>
      <c r="FZ10" s="3" t="s">
        <v>201</v>
      </c>
      <c r="GA10" s="3" t="s">
        <v>202</v>
      </c>
      <c r="GB10" s="3" t="s">
        <v>201</v>
      </c>
      <c r="GC10" s="3"/>
      <c r="GD10" s="3"/>
      <c r="GE10" s="3" t="s">
        <v>201</v>
      </c>
      <c r="GF10" s="3" t="s">
        <v>201</v>
      </c>
      <c r="GG10" s="3" t="s">
        <v>201</v>
      </c>
      <c r="GH10" s="3" t="s">
        <v>201</v>
      </c>
      <c r="GI10" s="3" t="s">
        <v>201</v>
      </c>
      <c r="GJ10" s="3" t="s">
        <v>201</v>
      </c>
      <c r="GK10" s="3"/>
      <c r="GL10" s="5">
        <f>DATE(2025,6,13)+TIME(12,39,11)</f>
        <v>45821.52721064815</v>
      </c>
    </row>
    <row r="11" spans="1:194" ht="393.75" x14ac:dyDescent="0.25">
      <c r="A11" s="6" t="s">
        <v>265</v>
      </c>
      <c r="B11" s="6" t="s">
        <v>266</v>
      </c>
      <c r="C11" s="6" t="s">
        <v>267</v>
      </c>
      <c r="D11" s="6" t="s">
        <v>268</v>
      </c>
      <c r="E11" s="6"/>
      <c r="F11" s="6" t="s">
        <v>269</v>
      </c>
      <c r="G11" s="6"/>
      <c r="H11" s="6"/>
      <c r="I11" s="6"/>
      <c r="J11" s="6"/>
      <c r="K11" s="6"/>
      <c r="L11" s="6"/>
      <c r="M11" s="6"/>
      <c r="N11" s="6"/>
      <c r="O11" s="6"/>
      <c r="P11" s="6"/>
      <c r="Q11" s="6"/>
      <c r="R11" s="6"/>
      <c r="S11" s="6"/>
      <c r="T11" s="6"/>
      <c r="U11" s="6"/>
      <c r="V11" s="6"/>
      <c r="W11" s="6" t="s">
        <v>270</v>
      </c>
      <c r="X11" s="6"/>
      <c r="Y11" s="6"/>
      <c r="Z11" s="6"/>
      <c r="AA11" s="6"/>
      <c r="AB11" s="6"/>
      <c r="AC11" s="6"/>
      <c r="AD11" s="6"/>
      <c r="AE11" s="6"/>
      <c r="AF11" s="4" t="s">
        <v>270</v>
      </c>
      <c r="AG11" s="6" t="s">
        <v>200</v>
      </c>
      <c r="AH11" s="6" t="s">
        <v>202</v>
      </c>
      <c r="AI11" s="6" t="s">
        <v>202</v>
      </c>
      <c r="AJ11" s="6" t="s">
        <v>202</v>
      </c>
      <c r="AK11" s="6" t="s">
        <v>202</v>
      </c>
      <c r="AL11" s="6" t="s">
        <v>202</v>
      </c>
      <c r="AM11" s="6" t="s">
        <v>201</v>
      </c>
      <c r="AN11" s="6" t="s">
        <v>202</v>
      </c>
      <c r="AO11" s="6" t="s">
        <v>201</v>
      </c>
      <c r="AP11" s="6" t="s">
        <v>202</v>
      </c>
      <c r="AQ11" s="6" t="s">
        <v>204</v>
      </c>
      <c r="AR11" s="6" t="s">
        <v>202</v>
      </c>
      <c r="AS11" s="6"/>
      <c r="AT11" s="6" t="s">
        <v>205</v>
      </c>
      <c r="AU11" s="6" t="s">
        <v>201</v>
      </c>
      <c r="AV11" s="6" t="s">
        <v>203</v>
      </c>
      <c r="AW11" s="6" t="s">
        <v>202</v>
      </c>
      <c r="AX11" s="6" t="s">
        <v>202</v>
      </c>
      <c r="AY11" s="6" t="s">
        <v>202</v>
      </c>
      <c r="AZ11" s="6" t="s">
        <v>203</v>
      </c>
      <c r="BA11" s="6" t="s">
        <v>201</v>
      </c>
      <c r="BB11" s="6" t="s">
        <v>201</v>
      </c>
      <c r="BC11" s="6" t="s">
        <v>202</v>
      </c>
      <c r="BD11" s="6" t="s">
        <v>203</v>
      </c>
      <c r="BE11" s="6" t="s">
        <v>203</v>
      </c>
      <c r="BF11" s="6" t="s">
        <v>203</v>
      </c>
      <c r="BG11" s="6" t="s">
        <v>202</v>
      </c>
      <c r="BH11" s="6" t="s">
        <v>202</v>
      </c>
      <c r="BI11" s="6" t="s">
        <v>202</v>
      </c>
      <c r="BJ11" s="6" t="s">
        <v>203</v>
      </c>
      <c r="BK11" s="6" t="s">
        <v>201</v>
      </c>
      <c r="BL11" s="6" t="s">
        <v>202</v>
      </c>
      <c r="BM11" s="6" t="s">
        <v>202</v>
      </c>
      <c r="BN11" s="6" t="s">
        <v>203</v>
      </c>
      <c r="BO11" s="6" t="s">
        <v>201</v>
      </c>
      <c r="BP11" s="6" t="s">
        <v>204</v>
      </c>
      <c r="BQ11" s="6" t="s">
        <v>201</v>
      </c>
      <c r="BR11" s="6" t="s">
        <v>204</v>
      </c>
      <c r="BS11" s="6"/>
      <c r="BT11" s="6" t="s">
        <v>271</v>
      </c>
      <c r="BU11" s="6" t="s">
        <v>201</v>
      </c>
      <c r="BV11" s="6" t="s">
        <v>203</v>
      </c>
      <c r="BW11" s="6" t="s">
        <v>201</v>
      </c>
      <c r="BX11" s="6" t="s">
        <v>201</v>
      </c>
      <c r="BY11" s="6" t="s">
        <v>203</v>
      </c>
      <c r="BZ11" s="6" t="s">
        <v>201</v>
      </c>
      <c r="CA11" s="6" t="s">
        <v>201</v>
      </c>
      <c r="CB11" s="6" t="s">
        <v>203</v>
      </c>
      <c r="CC11" s="6" t="s">
        <v>201</v>
      </c>
      <c r="CD11" s="6" t="s">
        <v>201</v>
      </c>
      <c r="CE11" s="6" t="s">
        <v>203</v>
      </c>
      <c r="CF11" s="6" t="s">
        <v>201</v>
      </c>
      <c r="CG11" s="6"/>
      <c r="CH11" s="6" t="s">
        <v>208</v>
      </c>
      <c r="CI11" s="6" t="s">
        <v>208</v>
      </c>
      <c r="CJ11" s="6" t="s">
        <v>201</v>
      </c>
      <c r="CK11" s="6" t="s">
        <v>201</v>
      </c>
      <c r="CL11" s="6" t="s">
        <v>201</v>
      </c>
      <c r="CM11" s="6" t="s">
        <v>201</v>
      </c>
      <c r="CN11" s="6" t="s">
        <v>201</v>
      </c>
      <c r="CO11" s="6" t="s">
        <v>201</v>
      </c>
      <c r="CP11" s="6" t="s">
        <v>201</v>
      </c>
      <c r="CQ11" s="6" t="s">
        <v>201</v>
      </c>
      <c r="CR11" s="6" t="s">
        <v>201</v>
      </c>
      <c r="CS11" s="6" t="s">
        <v>201</v>
      </c>
      <c r="CT11" s="6" t="s">
        <v>201</v>
      </c>
      <c r="CU11" s="6" t="s">
        <v>202</v>
      </c>
      <c r="CV11" s="6" t="s">
        <v>202</v>
      </c>
      <c r="CW11" s="6" t="s">
        <v>202</v>
      </c>
      <c r="CX11" s="6" t="s">
        <v>204</v>
      </c>
      <c r="CY11" s="6" t="s">
        <v>204</v>
      </c>
      <c r="CZ11" s="6" t="s">
        <v>202</v>
      </c>
      <c r="DA11" s="6" t="s">
        <v>204</v>
      </c>
      <c r="DB11" s="6"/>
      <c r="DC11" s="6"/>
      <c r="DD11" s="6" t="s">
        <v>259</v>
      </c>
      <c r="DE11" s="6"/>
      <c r="DF11" s="6"/>
      <c r="DG11" s="6"/>
      <c r="DH11" s="6" t="s">
        <v>205</v>
      </c>
      <c r="DI11" s="6" t="s">
        <v>202</v>
      </c>
      <c r="DJ11" s="6" t="s">
        <v>203</v>
      </c>
      <c r="DK11" s="6" t="s">
        <v>201</v>
      </c>
      <c r="DL11" s="6" t="s">
        <v>204</v>
      </c>
      <c r="DM11" s="6" t="s">
        <v>201</v>
      </c>
      <c r="DN11" s="6" t="s">
        <v>204</v>
      </c>
      <c r="DO11" s="6"/>
      <c r="DP11" s="6"/>
      <c r="DQ11" s="6"/>
      <c r="DR11" s="6"/>
      <c r="DS11" s="6"/>
      <c r="DT11" s="6"/>
      <c r="DU11" s="6"/>
      <c r="DV11" s="6"/>
      <c r="DW11" s="6" t="s">
        <v>208</v>
      </c>
      <c r="DX11" s="6" t="s">
        <v>246</v>
      </c>
      <c r="DY11" s="6" t="s">
        <v>247</v>
      </c>
      <c r="DZ11" s="6" t="s">
        <v>219</v>
      </c>
      <c r="EA11" s="6"/>
      <c r="EB11" s="6"/>
      <c r="EC11" s="6" t="s">
        <v>201</v>
      </c>
      <c r="ED11" s="6" t="s">
        <v>203</v>
      </c>
      <c r="EE11" s="6" t="s">
        <v>202</v>
      </c>
      <c r="EF11" s="6" t="s">
        <v>201</v>
      </c>
      <c r="EG11" s="6" t="s">
        <v>203</v>
      </c>
      <c r="EH11" s="6" t="s">
        <v>203</v>
      </c>
      <c r="EI11" s="6" t="s">
        <v>201</v>
      </c>
      <c r="EJ11" s="6" t="s">
        <v>201</v>
      </c>
      <c r="EK11" s="6" t="s">
        <v>201</v>
      </c>
      <c r="EL11" s="6" t="s">
        <v>201</v>
      </c>
      <c r="EM11" s="6" t="s">
        <v>202</v>
      </c>
      <c r="EN11" s="6" t="s">
        <v>202</v>
      </c>
      <c r="EO11" s="6" t="s">
        <v>202</v>
      </c>
      <c r="EP11" s="6"/>
      <c r="EQ11" s="6" t="s">
        <v>202</v>
      </c>
      <c r="ER11" s="6" t="s">
        <v>202</v>
      </c>
      <c r="ES11" s="6"/>
      <c r="ET11" s="6" t="s">
        <v>202</v>
      </c>
      <c r="EU11" s="6" t="s">
        <v>202</v>
      </c>
      <c r="EV11" s="6" t="s">
        <v>202</v>
      </c>
      <c r="EW11" s="6" t="s">
        <v>204</v>
      </c>
      <c r="EX11" s="6"/>
      <c r="EY11" s="6" t="s">
        <v>202</v>
      </c>
      <c r="EZ11" s="6" t="s">
        <v>205</v>
      </c>
      <c r="FA11" s="6" t="s">
        <v>202</v>
      </c>
      <c r="FB11" s="6" t="s">
        <v>202</v>
      </c>
      <c r="FC11" s="6" t="s">
        <v>202</v>
      </c>
      <c r="FD11" s="6" t="s">
        <v>202</v>
      </c>
      <c r="FE11" s="6" t="s">
        <v>202</v>
      </c>
      <c r="FF11" s="6" t="s">
        <v>202</v>
      </c>
      <c r="FG11" s="6" t="s">
        <v>202</v>
      </c>
      <c r="FH11" s="6" t="s">
        <v>202</v>
      </c>
      <c r="FI11" s="6" t="s">
        <v>202</v>
      </c>
      <c r="FJ11" s="6" t="s">
        <v>203</v>
      </c>
      <c r="FK11" s="6" t="s">
        <v>202</v>
      </c>
      <c r="FL11" s="6" t="s">
        <v>202</v>
      </c>
      <c r="FM11" s="6" t="s">
        <v>202</v>
      </c>
      <c r="FN11" s="6" t="s">
        <v>202</v>
      </c>
      <c r="FO11" s="6" t="s">
        <v>202</v>
      </c>
      <c r="FP11" s="6" t="s">
        <v>202</v>
      </c>
      <c r="FQ11" s="6" t="s">
        <v>202</v>
      </c>
      <c r="FR11" s="6" t="s">
        <v>201</v>
      </c>
      <c r="FS11" s="6" t="s">
        <v>201</v>
      </c>
      <c r="FT11" s="6" t="s">
        <v>201</v>
      </c>
      <c r="FU11" s="6" t="s">
        <v>204</v>
      </c>
      <c r="FV11" s="6"/>
      <c r="FW11" s="6" t="s">
        <v>271</v>
      </c>
      <c r="FX11" s="6"/>
      <c r="FY11" s="6" t="s">
        <v>201</v>
      </c>
      <c r="FZ11" s="6" t="s">
        <v>203</v>
      </c>
      <c r="GA11" s="6" t="s">
        <v>202</v>
      </c>
      <c r="GB11" s="6" t="s">
        <v>203</v>
      </c>
      <c r="GC11" s="6" t="s">
        <v>204</v>
      </c>
      <c r="GD11" s="6"/>
      <c r="GE11" s="6" t="s">
        <v>202</v>
      </c>
      <c r="GF11" s="6" t="s">
        <v>203</v>
      </c>
      <c r="GG11" s="6" t="s">
        <v>203</v>
      </c>
      <c r="GH11" s="6" t="s">
        <v>203</v>
      </c>
      <c r="GI11" s="6" t="s">
        <v>202</v>
      </c>
      <c r="GJ11" s="6" t="s">
        <v>202</v>
      </c>
      <c r="GK11" s="6" t="s">
        <v>272</v>
      </c>
      <c r="GL11" s="7">
        <f>DATE(2025,6,12)+TIME(22,12,57)</f>
        <v>45820.925659722219</v>
      </c>
    </row>
    <row r="12" spans="1:194" ht="189" x14ac:dyDescent="0.25">
      <c r="A12" s="3" t="s">
        <v>273</v>
      </c>
      <c r="B12" s="3" t="s">
        <v>274</v>
      </c>
      <c r="C12" s="3" t="s">
        <v>275</v>
      </c>
      <c r="D12" s="3" t="s">
        <v>276</v>
      </c>
      <c r="E12" s="3"/>
      <c r="F12" s="3" t="s">
        <v>277</v>
      </c>
      <c r="G12" s="3"/>
      <c r="H12" s="3"/>
      <c r="I12" s="3"/>
      <c r="J12" s="3"/>
      <c r="K12" s="3"/>
      <c r="L12" s="3"/>
      <c r="M12" s="3"/>
      <c r="N12" s="3" t="s">
        <v>278</v>
      </c>
      <c r="O12" s="3"/>
      <c r="P12" s="3"/>
      <c r="Q12" s="3"/>
      <c r="R12" s="3"/>
      <c r="S12" s="3"/>
      <c r="T12" s="3"/>
      <c r="U12" s="3"/>
      <c r="V12" s="3"/>
      <c r="W12" s="3"/>
      <c r="X12" s="3"/>
      <c r="Y12" s="3"/>
      <c r="Z12" s="3"/>
      <c r="AA12" s="3"/>
      <c r="AB12" s="3"/>
      <c r="AC12" s="3"/>
      <c r="AD12" s="3"/>
      <c r="AE12" s="3"/>
      <c r="AF12" s="4" t="s">
        <v>278</v>
      </c>
      <c r="AG12" s="3" t="s">
        <v>213</v>
      </c>
      <c r="AH12" s="3" t="s">
        <v>202</v>
      </c>
      <c r="AI12" s="3" t="s">
        <v>202</v>
      </c>
      <c r="AJ12" s="3" t="s">
        <v>202</v>
      </c>
      <c r="AK12" s="3" t="s">
        <v>202</v>
      </c>
      <c r="AL12" s="3" t="s">
        <v>202</v>
      </c>
      <c r="AM12" s="3" t="s">
        <v>202</v>
      </c>
      <c r="AN12" s="3" t="s">
        <v>202</v>
      </c>
      <c r="AO12" s="3" t="s">
        <v>203</v>
      </c>
      <c r="AP12" s="3" t="s">
        <v>203</v>
      </c>
      <c r="AQ12" s="3" t="s">
        <v>202</v>
      </c>
      <c r="AR12" s="3" t="s">
        <v>201</v>
      </c>
      <c r="AS12" s="3"/>
      <c r="AT12" s="3" t="s">
        <v>203</v>
      </c>
      <c r="AU12" s="3" t="s">
        <v>202</v>
      </c>
      <c r="AV12" s="3" t="s">
        <v>203</v>
      </c>
      <c r="AW12" s="3" t="s">
        <v>203</v>
      </c>
      <c r="AX12" s="3" t="s">
        <v>202</v>
      </c>
      <c r="AY12" s="3" t="s">
        <v>204</v>
      </c>
      <c r="AZ12" s="3" t="s">
        <v>203</v>
      </c>
      <c r="BA12" s="3" t="s">
        <v>203</v>
      </c>
      <c r="BB12" s="3" t="s">
        <v>202</v>
      </c>
      <c r="BC12" s="3" t="s">
        <v>202</v>
      </c>
      <c r="BD12" s="3" t="s">
        <v>201</v>
      </c>
      <c r="BE12" s="3" t="s">
        <v>205</v>
      </c>
      <c r="BF12" s="3" t="s">
        <v>205</v>
      </c>
      <c r="BG12" s="3" t="s">
        <v>203</v>
      </c>
      <c r="BH12" s="3" t="s">
        <v>202</v>
      </c>
      <c r="BI12" s="3" t="s">
        <v>204</v>
      </c>
      <c r="BJ12" s="3" t="s">
        <v>203</v>
      </c>
      <c r="BK12" s="3" t="s">
        <v>205</v>
      </c>
      <c r="BL12" s="3" t="s">
        <v>203</v>
      </c>
      <c r="BM12" s="3" t="s">
        <v>202</v>
      </c>
      <c r="BN12" s="3" t="s">
        <v>204</v>
      </c>
      <c r="BO12" s="3" t="s">
        <v>204</v>
      </c>
      <c r="BP12" s="3" t="s">
        <v>204</v>
      </c>
      <c r="BQ12" s="3" t="s">
        <v>204</v>
      </c>
      <c r="BR12" s="3" t="s">
        <v>204</v>
      </c>
      <c r="BS12" s="3"/>
      <c r="BT12" s="3" t="s">
        <v>210</v>
      </c>
      <c r="BU12" s="3" t="s">
        <v>201</v>
      </c>
      <c r="BV12" s="3" t="s">
        <v>201</v>
      </c>
      <c r="BW12" s="3" t="s">
        <v>201</v>
      </c>
      <c r="BX12" s="3" t="s">
        <v>201</v>
      </c>
      <c r="BY12" s="3" t="s">
        <v>201</v>
      </c>
      <c r="BZ12" s="3" t="s">
        <v>201</v>
      </c>
      <c r="CA12" s="3" t="s">
        <v>201</v>
      </c>
      <c r="CB12" s="3" t="s">
        <v>201</v>
      </c>
      <c r="CC12" s="3" t="s">
        <v>201</v>
      </c>
      <c r="CD12" s="3" t="s">
        <v>201</v>
      </c>
      <c r="CE12" s="3" t="s">
        <v>201</v>
      </c>
      <c r="CF12" s="3" t="s">
        <v>201</v>
      </c>
      <c r="CG12" s="3"/>
      <c r="CH12" s="3" t="s">
        <v>208</v>
      </c>
      <c r="CI12" s="3" t="s">
        <v>207</v>
      </c>
      <c r="CJ12" s="3" t="s">
        <v>201</v>
      </c>
      <c r="CK12" s="3" t="s">
        <v>201</v>
      </c>
      <c r="CL12" s="3" t="s">
        <v>202</v>
      </c>
      <c r="CM12" s="3" t="s">
        <v>201</v>
      </c>
      <c r="CN12" s="3" t="s">
        <v>204</v>
      </c>
      <c r="CO12" s="3" t="s">
        <v>203</v>
      </c>
      <c r="CP12" s="3" t="s">
        <v>203</v>
      </c>
      <c r="CQ12" s="3" t="s">
        <v>204</v>
      </c>
      <c r="CR12" s="3" t="s">
        <v>201</v>
      </c>
      <c r="CS12" s="3" t="s">
        <v>201</v>
      </c>
      <c r="CT12" s="3" t="s">
        <v>202</v>
      </c>
      <c r="CU12" s="3" t="s">
        <v>201</v>
      </c>
      <c r="CV12" s="3" t="s">
        <v>202</v>
      </c>
      <c r="CW12" s="3" t="s">
        <v>201</v>
      </c>
      <c r="CX12" s="3" t="s">
        <v>202</v>
      </c>
      <c r="CY12" s="3" t="s">
        <v>201</v>
      </c>
      <c r="CZ12" s="3" t="s">
        <v>204</v>
      </c>
      <c r="DA12" s="3" t="s">
        <v>202</v>
      </c>
      <c r="DB12" s="3"/>
      <c r="DC12" s="3"/>
      <c r="DD12" s="3"/>
      <c r="DE12" s="3"/>
      <c r="DF12" s="3"/>
      <c r="DG12" s="3" t="s">
        <v>279</v>
      </c>
      <c r="DH12" s="3" t="s">
        <v>204</v>
      </c>
      <c r="DI12" s="3" t="s">
        <v>204</v>
      </c>
      <c r="DJ12" s="3" t="s">
        <v>201</v>
      </c>
      <c r="DK12" s="3" t="s">
        <v>205</v>
      </c>
      <c r="DL12" s="3" t="s">
        <v>205</v>
      </c>
      <c r="DM12" s="3" t="s">
        <v>205</v>
      </c>
      <c r="DN12" s="3" t="s">
        <v>205</v>
      </c>
      <c r="DO12" s="3"/>
      <c r="DP12" s="3"/>
      <c r="DQ12" s="3"/>
      <c r="DR12" s="3"/>
      <c r="DS12" s="3"/>
      <c r="DT12" s="3"/>
      <c r="DU12" s="3"/>
      <c r="DV12" s="3"/>
      <c r="DW12" s="3" t="s">
        <v>228</v>
      </c>
      <c r="DX12" s="3"/>
      <c r="DY12" s="3"/>
      <c r="DZ12" s="3"/>
      <c r="EA12" s="3"/>
      <c r="EB12" s="3"/>
      <c r="EC12" s="3"/>
      <c r="ED12" s="3"/>
      <c r="EE12" s="3"/>
      <c r="EF12" s="3" t="s">
        <v>203</v>
      </c>
      <c r="EG12" s="3" t="s">
        <v>203</v>
      </c>
      <c r="EH12" s="3" t="s">
        <v>203</v>
      </c>
      <c r="EI12" s="3" t="s">
        <v>202</v>
      </c>
      <c r="EJ12" s="3" t="s">
        <v>201</v>
      </c>
      <c r="EK12" s="3" t="s">
        <v>201</v>
      </c>
      <c r="EL12" s="3" t="s">
        <v>201</v>
      </c>
      <c r="EM12" s="3"/>
      <c r="EN12" s="3"/>
      <c r="EO12" s="3"/>
      <c r="EP12" s="3"/>
      <c r="EQ12" s="3" t="s">
        <v>203</v>
      </c>
      <c r="ER12" s="3" t="s">
        <v>203</v>
      </c>
      <c r="ES12" s="3"/>
      <c r="ET12" s="3" t="s">
        <v>201</v>
      </c>
      <c r="EU12" s="3" t="s">
        <v>205</v>
      </c>
      <c r="EV12" s="3" t="s">
        <v>205</v>
      </c>
      <c r="EW12" s="3" t="s">
        <v>204</v>
      </c>
      <c r="EX12" s="3"/>
      <c r="EY12" s="3" t="s">
        <v>202</v>
      </c>
      <c r="EZ12" s="3" t="s">
        <v>202</v>
      </c>
      <c r="FA12" s="3" t="s">
        <v>203</v>
      </c>
      <c r="FB12" s="3" t="s">
        <v>203</v>
      </c>
      <c r="FC12" s="3" t="s">
        <v>202</v>
      </c>
      <c r="FD12" s="3" t="s">
        <v>203</v>
      </c>
      <c r="FE12" s="3" t="s">
        <v>202</v>
      </c>
      <c r="FF12" s="3" t="s">
        <v>202</v>
      </c>
      <c r="FG12" s="3" t="s">
        <v>202</v>
      </c>
      <c r="FH12" s="3" t="s">
        <v>205</v>
      </c>
      <c r="FI12" s="3" t="s">
        <v>205</v>
      </c>
      <c r="FJ12" s="3" t="s">
        <v>205</v>
      </c>
      <c r="FK12" s="3" t="s">
        <v>205</v>
      </c>
      <c r="FL12" s="3" t="s">
        <v>205</v>
      </c>
      <c r="FM12" s="3" t="s">
        <v>205</v>
      </c>
      <c r="FN12" s="3" t="s">
        <v>205</v>
      </c>
      <c r="FO12" s="3" t="s">
        <v>203</v>
      </c>
      <c r="FP12" s="3" t="s">
        <v>203</v>
      </c>
      <c r="FQ12" s="3" t="s">
        <v>203</v>
      </c>
      <c r="FR12" s="3" t="s">
        <v>205</v>
      </c>
      <c r="FS12" s="3" t="s">
        <v>205</v>
      </c>
      <c r="FT12" s="3" t="s">
        <v>205</v>
      </c>
      <c r="FU12" s="3" t="s">
        <v>205</v>
      </c>
      <c r="FV12" s="3"/>
      <c r="FW12" s="3" t="s">
        <v>210</v>
      </c>
      <c r="FX12" s="3"/>
      <c r="FY12" s="3" t="s">
        <v>201</v>
      </c>
      <c r="FZ12" s="3" t="s">
        <v>201</v>
      </c>
      <c r="GA12" s="3" t="s">
        <v>201</v>
      </c>
      <c r="GB12" s="3" t="s">
        <v>201</v>
      </c>
      <c r="GC12" s="3" t="s">
        <v>201</v>
      </c>
      <c r="GD12" s="3" t="s">
        <v>280</v>
      </c>
      <c r="GE12" s="3" t="s">
        <v>201</v>
      </c>
      <c r="GF12" s="3" t="s">
        <v>201</v>
      </c>
      <c r="GG12" s="3" t="s">
        <v>201</v>
      </c>
      <c r="GH12" s="3" t="s">
        <v>201</v>
      </c>
      <c r="GI12" s="3" t="s">
        <v>201</v>
      </c>
      <c r="GJ12" s="3" t="s">
        <v>201</v>
      </c>
      <c r="GK12" s="3"/>
      <c r="GL12" s="5">
        <f>DATE(2025,6,13)+TIME(13,22,37)</f>
        <v>45821.557372685187</v>
      </c>
    </row>
    <row r="13" spans="1:194" ht="47.25" x14ac:dyDescent="0.25">
      <c r="A13" s="6" t="s">
        <v>281</v>
      </c>
      <c r="B13" s="6" t="s">
        <v>282</v>
      </c>
      <c r="C13" s="6" t="s">
        <v>283</v>
      </c>
      <c r="D13" s="6" t="s">
        <v>284</v>
      </c>
      <c r="E13" s="6"/>
      <c r="F13" s="6" t="s">
        <v>262</v>
      </c>
      <c r="G13" s="6"/>
      <c r="H13" s="6"/>
      <c r="I13" s="6"/>
      <c r="J13" s="6" t="s">
        <v>285</v>
      </c>
      <c r="K13" s="6"/>
      <c r="L13" s="6"/>
      <c r="M13" s="6"/>
      <c r="N13" s="6"/>
      <c r="O13" s="6"/>
      <c r="P13" s="6"/>
      <c r="Q13" s="6"/>
      <c r="R13" s="6"/>
      <c r="S13" s="6"/>
      <c r="T13" s="6"/>
      <c r="U13" s="6"/>
      <c r="V13" s="6"/>
      <c r="W13" s="6"/>
      <c r="X13" s="6"/>
      <c r="Y13" s="6"/>
      <c r="Z13" s="6"/>
      <c r="AA13" s="6"/>
      <c r="AB13" s="6"/>
      <c r="AC13" s="6"/>
      <c r="AD13" s="6"/>
      <c r="AE13" s="6"/>
      <c r="AF13" s="4" t="s">
        <v>285</v>
      </c>
      <c r="AG13" s="6" t="s">
        <v>213</v>
      </c>
      <c r="AH13" s="6" t="s">
        <v>202</v>
      </c>
      <c r="AI13" s="6" t="s">
        <v>202</v>
      </c>
      <c r="AJ13" s="6" t="s">
        <v>202</v>
      </c>
      <c r="AK13" s="6" t="s">
        <v>202</v>
      </c>
      <c r="AL13" s="6" t="s">
        <v>201</v>
      </c>
      <c r="AM13" s="6" t="s">
        <v>201</v>
      </c>
      <c r="AN13" s="6" t="s">
        <v>205</v>
      </c>
      <c r="AO13" s="6" t="s">
        <v>201</v>
      </c>
      <c r="AP13" s="6" t="s">
        <v>201</v>
      </c>
      <c r="AQ13" s="6" t="s">
        <v>201</v>
      </c>
      <c r="AR13" s="6" t="s">
        <v>201</v>
      </c>
      <c r="AS13" s="6"/>
      <c r="AT13" s="6" t="s">
        <v>202</v>
      </c>
      <c r="AU13" s="6" t="s">
        <v>202</v>
      </c>
      <c r="AV13" s="6" t="s">
        <v>202</v>
      </c>
      <c r="AW13" s="6" t="s">
        <v>202</v>
      </c>
      <c r="AX13" s="6" t="s">
        <v>202</v>
      </c>
      <c r="AY13" s="6" t="s">
        <v>202</v>
      </c>
      <c r="AZ13" s="6" t="s">
        <v>202</v>
      </c>
      <c r="BA13" s="6" t="s">
        <v>202</v>
      </c>
      <c r="BB13" s="6" t="s">
        <v>201</v>
      </c>
      <c r="BC13" s="6" t="s">
        <v>202</v>
      </c>
      <c r="BD13" s="6" t="s">
        <v>202</v>
      </c>
      <c r="BE13" s="6" t="s">
        <v>202</v>
      </c>
      <c r="BF13" s="6" t="s">
        <v>202</v>
      </c>
      <c r="BG13" s="6" t="s">
        <v>201</v>
      </c>
      <c r="BH13" s="6" t="s">
        <v>202</v>
      </c>
      <c r="BI13" s="6" t="s">
        <v>202</v>
      </c>
      <c r="BJ13" s="6" t="s">
        <v>202</v>
      </c>
      <c r="BK13" s="6" t="s">
        <v>205</v>
      </c>
      <c r="BL13" s="6" t="s">
        <v>201</v>
      </c>
      <c r="BM13" s="6" t="s">
        <v>202</v>
      </c>
      <c r="BN13" s="6" t="s">
        <v>202</v>
      </c>
      <c r="BO13" s="6" t="s">
        <v>201</v>
      </c>
      <c r="BP13" s="6" t="s">
        <v>202</v>
      </c>
      <c r="BQ13" s="6" t="s">
        <v>202</v>
      </c>
      <c r="BR13" s="6"/>
      <c r="BS13" s="6"/>
      <c r="BT13" s="6" t="s">
        <v>206</v>
      </c>
      <c r="BU13" s="6" t="s">
        <v>201</v>
      </c>
      <c r="BV13" s="6" t="s">
        <v>203</v>
      </c>
      <c r="BW13" s="6" t="s">
        <v>203</v>
      </c>
      <c r="BX13" s="6" t="s">
        <v>202</v>
      </c>
      <c r="BY13" s="6" t="s">
        <v>202</v>
      </c>
      <c r="BZ13" s="6" t="s">
        <v>202</v>
      </c>
      <c r="CA13" s="6" t="s">
        <v>202</v>
      </c>
      <c r="CB13" s="6" t="s">
        <v>202</v>
      </c>
      <c r="CC13" s="6" t="s">
        <v>202</v>
      </c>
      <c r="CD13" s="6" t="s">
        <v>202</v>
      </c>
      <c r="CE13" s="6" t="s">
        <v>202</v>
      </c>
      <c r="CF13" s="6" t="s">
        <v>202</v>
      </c>
      <c r="CG13" s="6"/>
      <c r="CH13" s="6" t="s">
        <v>208</v>
      </c>
      <c r="CI13" s="6" t="s">
        <v>208</v>
      </c>
      <c r="CJ13" s="6" t="s">
        <v>201</v>
      </c>
      <c r="CK13" s="6" t="s">
        <v>201</v>
      </c>
      <c r="CL13" s="6" t="s">
        <v>201</v>
      </c>
      <c r="CM13" s="6" t="s">
        <v>201</v>
      </c>
      <c r="CN13" s="6" t="s">
        <v>201</v>
      </c>
      <c r="CO13" s="6" t="s">
        <v>201</v>
      </c>
      <c r="CP13" s="6" t="s">
        <v>201</v>
      </c>
      <c r="CQ13" s="6" t="s">
        <v>201</v>
      </c>
      <c r="CR13" s="6" t="s">
        <v>201</v>
      </c>
      <c r="CS13" s="6" t="s">
        <v>201</v>
      </c>
      <c r="CT13" s="6" t="s">
        <v>202</v>
      </c>
      <c r="CU13" s="6" t="s">
        <v>201</v>
      </c>
      <c r="CV13" s="6" t="s">
        <v>203</v>
      </c>
      <c r="CW13" s="6" t="s">
        <v>201</v>
      </c>
      <c r="CX13" s="6" t="s">
        <v>201</v>
      </c>
      <c r="CY13" s="6" t="s">
        <v>202</v>
      </c>
      <c r="CZ13" s="6" t="s">
        <v>201</v>
      </c>
      <c r="DA13" s="6" t="s">
        <v>205</v>
      </c>
      <c r="DB13" s="6"/>
      <c r="DC13" s="6"/>
      <c r="DD13" s="6"/>
      <c r="DE13" s="6"/>
      <c r="DF13" s="6" t="s">
        <v>217</v>
      </c>
      <c r="DG13" s="6"/>
      <c r="DH13" s="6" t="s">
        <v>201</v>
      </c>
      <c r="DI13" s="6" t="s">
        <v>201</v>
      </c>
      <c r="DJ13" s="6" t="s">
        <v>201</v>
      </c>
      <c r="DK13" s="6" t="s">
        <v>201</v>
      </c>
      <c r="DL13" s="6" t="s">
        <v>203</v>
      </c>
      <c r="DM13" s="6" t="s">
        <v>203</v>
      </c>
      <c r="DN13" s="6"/>
      <c r="DO13" s="6"/>
      <c r="DP13" s="6"/>
      <c r="DQ13" s="6"/>
      <c r="DR13" s="6"/>
      <c r="DS13" s="6"/>
      <c r="DT13" s="6"/>
      <c r="DU13" s="6"/>
      <c r="DV13" s="6"/>
      <c r="DW13" s="6" t="s">
        <v>208</v>
      </c>
      <c r="DX13" s="6" t="s">
        <v>246</v>
      </c>
      <c r="DY13" s="6" t="s">
        <v>247</v>
      </c>
      <c r="DZ13" s="6" t="s">
        <v>219</v>
      </c>
      <c r="EA13" s="6"/>
      <c r="EB13" s="6"/>
      <c r="EC13" s="6" t="s">
        <v>202</v>
      </c>
      <c r="ED13" s="6" t="s">
        <v>201</v>
      </c>
      <c r="EE13" s="6" t="s">
        <v>202</v>
      </c>
      <c r="EF13" s="6" t="s">
        <v>202</v>
      </c>
      <c r="EG13" s="6" t="s">
        <v>202</v>
      </c>
      <c r="EH13" s="6" t="s">
        <v>202</v>
      </c>
      <c r="EI13" s="6" t="s">
        <v>201</v>
      </c>
      <c r="EJ13" s="6" t="s">
        <v>201</v>
      </c>
      <c r="EK13" s="6" t="s">
        <v>205</v>
      </c>
      <c r="EL13" s="6" t="s">
        <v>201</v>
      </c>
      <c r="EM13" s="6" t="s">
        <v>202</v>
      </c>
      <c r="EN13" s="6" t="s">
        <v>202</v>
      </c>
      <c r="EO13" s="6" t="s">
        <v>205</v>
      </c>
      <c r="EP13" s="6"/>
      <c r="EQ13" s="6" t="s">
        <v>201</v>
      </c>
      <c r="ER13" s="6" t="s">
        <v>201</v>
      </c>
      <c r="ES13" s="6"/>
      <c r="ET13" s="6" t="s">
        <v>201</v>
      </c>
      <c r="EU13" s="6" t="s">
        <v>205</v>
      </c>
      <c r="EV13" s="6" t="s">
        <v>205</v>
      </c>
      <c r="EW13" s="6"/>
      <c r="EX13" s="6"/>
      <c r="EY13" s="6" t="s">
        <v>201</v>
      </c>
      <c r="EZ13" s="6" t="s">
        <v>202</v>
      </c>
      <c r="FA13" s="6" t="s">
        <v>201</v>
      </c>
      <c r="FB13" s="6" t="s">
        <v>201</v>
      </c>
      <c r="FC13" s="6" t="s">
        <v>201</v>
      </c>
      <c r="FD13" s="6" t="s">
        <v>201</v>
      </c>
      <c r="FE13" s="6" t="s">
        <v>201</v>
      </c>
      <c r="FF13" s="6" t="s">
        <v>201</v>
      </c>
      <c r="FG13" s="6" t="s">
        <v>201</v>
      </c>
      <c r="FH13" s="6" t="s">
        <v>201</v>
      </c>
      <c r="FI13" s="6" t="s">
        <v>201</v>
      </c>
      <c r="FJ13" s="6" t="s">
        <v>201</v>
      </c>
      <c r="FK13" s="6" t="s">
        <v>201</v>
      </c>
      <c r="FL13" s="6" t="s">
        <v>201</v>
      </c>
      <c r="FM13" s="6" t="s">
        <v>201</v>
      </c>
      <c r="FN13" s="6" t="s">
        <v>201</v>
      </c>
      <c r="FO13" s="6" t="s">
        <v>202</v>
      </c>
      <c r="FP13" s="6" t="s">
        <v>202</v>
      </c>
      <c r="FQ13" s="6" t="s">
        <v>202</v>
      </c>
      <c r="FR13" s="6" t="s">
        <v>201</v>
      </c>
      <c r="FS13" s="6" t="s">
        <v>203</v>
      </c>
      <c r="FT13" s="6" t="s">
        <v>203</v>
      </c>
      <c r="FU13" s="6"/>
      <c r="FV13" s="6"/>
      <c r="FW13" s="6" t="s">
        <v>238</v>
      </c>
      <c r="FX13" s="6"/>
      <c r="FY13" s="6" t="s">
        <v>201</v>
      </c>
      <c r="FZ13" s="6" t="s">
        <v>201</v>
      </c>
      <c r="GA13" s="6" t="s">
        <v>201</v>
      </c>
      <c r="GB13" s="6" t="s">
        <v>201</v>
      </c>
      <c r="GC13" s="6"/>
      <c r="GD13" s="6"/>
      <c r="GE13" s="6" t="s">
        <v>201</v>
      </c>
      <c r="GF13" s="6" t="s">
        <v>201</v>
      </c>
      <c r="GG13" s="6" t="s">
        <v>201</v>
      </c>
      <c r="GH13" s="6" t="s">
        <v>203</v>
      </c>
      <c r="GI13" s="6" t="s">
        <v>201</v>
      </c>
      <c r="GJ13" s="6" t="s">
        <v>202</v>
      </c>
      <c r="GK13" s="6"/>
      <c r="GL13" s="7">
        <f>DATE(2025,6,13)+TIME(14,56,57)</f>
        <v>45821.622881944444</v>
      </c>
    </row>
    <row r="14" spans="1:194" ht="47.25" x14ac:dyDescent="0.25">
      <c r="A14" s="3" t="s">
        <v>273</v>
      </c>
      <c r="B14" s="3" t="s">
        <v>274</v>
      </c>
      <c r="C14" s="3" t="s">
        <v>275</v>
      </c>
      <c r="D14" s="3" t="s">
        <v>286</v>
      </c>
      <c r="E14" s="3"/>
      <c r="F14" s="3" t="s">
        <v>277</v>
      </c>
      <c r="G14" s="3"/>
      <c r="H14" s="3"/>
      <c r="I14" s="3"/>
      <c r="J14" s="3"/>
      <c r="K14" s="3"/>
      <c r="L14" s="3"/>
      <c r="M14" s="3"/>
      <c r="N14" s="3" t="s">
        <v>287</v>
      </c>
      <c r="O14" s="3"/>
      <c r="P14" s="3"/>
      <c r="Q14" s="3"/>
      <c r="R14" s="3"/>
      <c r="S14" s="3"/>
      <c r="T14" s="3"/>
      <c r="U14" s="3"/>
      <c r="V14" s="3"/>
      <c r="W14" s="3"/>
      <c r="X14" s="3"/>
      <c r="Y14" s="3"/>
      <c r="Z14" s="3"/>
      <c r="AA14" s="3"/>
      <c r="AB14" s="3"/>
      <c r="AC14" s="3"/>
      <c r="AD14" s="3"/>
      <c r="AE14" s="3"/>
      <c r="AF14" s="4" t="s">
        <v>287</v>
      </c>
      <c r="AG14" s="3" t="s">
        <v>213</v>
      </c>
      <c r="AH14" s="3" t="s">
        <v>205</v>
      </c>
      <c r="AI14" s="3" t="s">
        <v>205</v>
      </c>
      <c r="AJ14" s="3" t="s">
        <v>205</v>
      </c>
      <c r="AK14" s="3" t="s">
        <v>201</v>
      </c>
      <c r="AL14" s="3" t="s">
        <v>201</v>
      </c>
      <c r="AM14" s="3" t="s">
        <v>204</v>
      </c>
      <c r="AN14" s="3" t="s">
        <v>201</v>
      </c>
      <c r="AO14" s="3" t="s">
        <v>201</v>
      </c>
      <c r="AP14" s="3" t="s">
        <v>201</v>
      </c>
      <c r="AQ14" s="3" t="s">
        <v>201</v>
      </c>
      <c r="AR14" s="3" t="s">
        <v>201</v>
      </c>
      <c r="AS14" s="3"/>
      <c r="AT14" s="3" t="s">
        <v>205</v>
      </c>
      <c r="AU14" s="3" t="s">
        <v>205</v>
      </c>
      <c r="AV14" s="3" t="s">
        <v>204</v>
      </c>
      <c r="AW14" s="3" t="s">
        <v>204</v>
      </c>
      <c r="AX14" s="3" t="s">
        <v>204</v>
      </c>
      <c r="AY14" s="3" t="s">
        <v>204</v>
      </c>
      <c r="AZ14" s="3" t="s">
        <v>205</v>
      </c>
      <c r="BA14" s="3" t="s">
        <v>205</v>
      </c>
      <c r="BB14" s="3" t="s">
        <v>205</v>
      </c>
      <c r="BC14" s="3" t="s">
        <v>205</v>
      </c>
      <c r="BD14" s="3" t="s">
        <v>205</v>
      </c>
      <c r="BE14" s="3" t="s">
        <v>204</v>
      </c>
      <c r="BF14" s="3" t="s">
        <v>204</v>
      </c>
      <c r="BG14" s="3" t="s">
        <v>204</v>
      </c>
      <c r="BH14" s="3" t="s">
        <v>204</v>
      </c>
      <c r="BI14" s="3" t="s">
        <v>204</v>
      </c>
      <c r="BJ14" s="3" t="s">
        <v>204</v>
      </c>
      <c r="BK14" s="3" t="s">
        <v>204</v>
      </c>
      <c r="BL14" s="3" t="s">
        <v>204</v>
      </c>
      <c r="BM14" s="3" t="s">
        <v>204</v>
      </c>
      <c r="BN14" s="3" t="s">
        <v>204</v>
      </c>
      <c r="BO14" s="3" t="s">
        <v>204</v>
      </c>
      <c r="BP14" s="3" t="s">
        <v>204</v>
      </c>
      <c r="BQ14" s="3" t="s">
        <v>204</v>
      </c>
      <c r="BR14" s="3" t="s">
        <v>204</v>
      </c>
      <c r="BS14" s="3"/>
      <c r="BT14" s="3" t="s">
        <v>206</v>
      </c>
      <c r="BU14" s="3" t="s">
        <v>201</v>
      </c>
      <c r="BV14" s="3" t="s">
        <v>201</v>
      </c>
      <c r="BW14" s="3" t="s">
        <v>201</v>
      </c>
      <c r="BX14" s="3" t="s">
        <v>201</v>
      </c>
      <c r="BY14" s="3" t="s">
        <v>201</v>
      </c>
      <c r="BZ14" s="3" t="s">
        <v>201</v>
      </c>
      <c r="CA14" s="3" t="s">
        <v>201</v>
      </c>
      <c r="CB14" s="3" t="s">
        <v>201</v>
      </c>
      <c r="CC14" s="3" t="s">
        <v>203</v>
      </c>
      <c r="CD14" s="3" t="s">
        <v>201</v>
      </c>
      <c r="CE14" s="3" t="s">
        <v>201</v>
      </c>
      <c r="CF14" s="3" t="s">
        <v>201</v>
      </c>
      <c r="CG14" s="3"/>
      <c r="CH14" s="3" t="s">
        <v>207</v>
      </c>
      <c r="CI14" s="3" t="s">
        <v>208</v>
      </c>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t="s">
        <v>288</v>
      </c>
      <c r="DT14" s="3"/>
      <c r="DU14" s="3"/>
      <c r="DV14" s="3"/>
      <c r="DW14" s="3" t="s">
        <v>207</v>
      </c>
      <c r="DX14" s="3"/>
      <c r="DY14" s="3"/>
      <c r="DZ14" s="3"/>
      <c r="EA14" s="3"/>
      <c r="EB14" s="3"/>
      <c r="EC14" s="3"/>
      <c r="ED14" s="3"/>
      <c r="EE14" s="3"/>
      <c r="EF14" s="3" t="s">
        <v>204</v>
      </c>
      <c r="EG14" s="3" t="s">
        <v>204</v>
      </c>
      <c r="EH14" s="3" t="s">
        <v>204</v>
      </c>
      <c r="EI14" s="3" t="s">
        <v>204</v>
      </c>
      <c r="EJ14" s="3" t="s">
        <v>204</v>
      </c>
      <c r="EK14" s="3" t="s">
        <v>204</v>
      </c>
      <c r="EL14" s="3" t="s">
        <v>204</v>
      </c>
      <c r="EM14" s="3" t="s">
        <v>205</v>
      </c>
      <c r="EN14" s="3" t="s">
        <v>204</v>
      </c>
      <c r="EO14" s="3" t="s">
        <v>204</v>
      </c>
      <c r="EP14" s="3"/>
      <c r="EQ14" s="3" t="s">
        <v>205</v>
      </c>
      <c r="ER14" s="3" t="s">
        <v>205</v>
      </c>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t="s">
        <v>201</v>
      </c>
      <c r="FZ14" s="3" t="s">
        <v>201</v>
      </c>
      <c r="GA14" s="3" t="s">
        <v>201</v>
      </c>
      <c r="GB14" s="3" t="s">
        <v>201</v>
      </c>
      <c r="GC14" s="3" t="s">
        <v>204</v>
      </c>
      <c r="GD14" s="3"/>
      <c r="GE14" s="3" t="s">
        <v>201</v>
      </c>
      <c r="GF14" s="3" t="s">
        <v>201</v>
      </c>
      <c r="GG14" s="3" t="s">
        <v>201</v>
      </c>
      <c r="GH14" s="3" t="s">
        <v>201</v>
      </c>
      <c r="GI14" s="3" t="s">
        <v>201</v>
      </c>
      <c r="GJ14" s="3" t="s">
        <v>201</v>
      </c>
      <c r="GK14" s="3"/>
      <c r="GL14" s="5">
        <f>DATE(2025,6,11)+TIME(17,22,27)</f>
        <v>45819.723923611113</v>
      </c>
    </row>
    <row r="15" spans="1:194" ht="362.25" x14ac:dyDescent="0.25">
      <c r="A15" s="6" t="s">
        <v>289</v>
      </c>
      <c r="B15" s="6" t="s">
        <v>290</v>
      </c>
      <c r="C15" s="6" t="s">
        <v>291</v>
      </c>
      <c r="D15" s="6" t="s">
        <v>292</v>
      </c>
      <c r="E15" s="6"/>
      <c r="F15" s="6" t="s">
        <v>233</v>
      </c>
      <c r="G15" s="6"/>
      <c r="H15" s="6"/>
      <c r="I15" s="6"/>
      <c r="J15" s="6"/>
      <c r="K15" s="6"/>
      <c r="L15" s="6"/>
      <c r="M15" s="6"/>
      <c r="N15" s="6"/>
      <c r="O15" s="6"/>
      <c r="P15" s="6"/>
      <c r="Q15" s="6"/>
      <c r="R15" s="6"/>
      <c r="S15" s="6"/>
      <c r="T15" s="6"/>
      <c r="U15" s="6"/>
      <c r="V15" s="6"/>
      <c r="W15" s="6"/>
      <c r="X15" s="6"/>
      <c r="Y15" s="6"/>
      <c r="Z15" s="6"/>
      <c r="AA15" s="6"/>
      <c r="AB15" s="6" t="s">
        <v>293</v>
      </c>
      <c r="AC15" s="6"/>
      <c r="AD15" s="6"/>
      <c r="AE15" s="6"/>
      <c r="AF15" s="4" t="s">
        <v>293</v>
      </c>
      <c r="AG15" s="6" t="s">
        <v>235</v>
      </c>
      <c r="AH15" s="6" t="s">
        <v>202</v>
      </c>
      <c r="AI15" s="6" t="s">
        <v>202</v>
      </c>
      <c r="AJ15" s="6" t="s">
        <v>201</v>
      </c>
      <c r="AK15" s="6" t="s">
        <v>201</v>
      </c>
      <c r="AL15" s="6" t="s">
        <v>204</v>
      </c>
      <c r="AM15" s="6" t="s">
        <v>204</v>
      </c>
      <c r="AN15" s="6" t="s">
        <v>202</v>
      </c>
      <c r="AO15" s="6" t="s">
        <v>204</v>
      </c>
      <c r="AP15" s="6" t="s">
        <v>202</v>
      </c>
      <c r="AQ15" s="6" t="s">
        <v>202</v>
      </c>
      <c r="AR15" s="6" t="s">
        <v>202</v>
      </c>
      <c r="AS15" s="6"/>
      <c r="AT15" s="6" t="s">
        <v>202</v>
      </c>
      <c r="AU15" s="6" t="s">
        <v>202</v>
      </c>
      <c r="AV15" s="6" t="s">
        <v>205</v>
      </c>
      <c r="AW15" s="6" t="s">
        <v>202</v>
      </c>
      <c r="AX15" s="6" t="s">
        <v>202</v>
      </c>
      <c r="AY15" s="6" t="s">
        <v>202</v>
      </c>
      <c r="AZ15" s="6" t="s">
        <v>202</v>
      </c>
      <c r="BA15" s="6" t="s">
        <v>205</v>
      </c>
      <c r="BB15" s="6" t="s">
        <v>202</v>
      </c>
      <c r="BC15" s="6" t="s">
        <v>202</v>
      </c>
      <c r="BD15" s="6" t="s">
        <v>202</v>
      </c>
      <c r="BE15" s="6" t="s">
        <v>204</v>
      </c>
      <c r="BF15" s="6" t="s">
        <v>204</v>
      </c>
      <c r="BG15" s="6" t="s">
        <v>201</v>
      </c>
      <c r="BH15" s="6" t="s">
        <v>201</v>
      </c>
      <c r="BI15" s="6" t="s">
        <v>201</v>
      </c>
      <c r="BJ15" s="6" t="s">
        <v>202</v>
      </c>
      <c r="BK15" s="6" t="s">
        <v>205</v>
      </c>
      <c r="BL15" s="6" t="s">
        <v>202</v>
      </c>
      <c r="BM15" s="6" t="s">
        <v>202</v>
      </c>
      <c r="BN15" s="6" t="s">
        <v>204</v>
      </c>
      <c r="BO15" s="6" t="s">
        <v>202</v>
      </c>
      <c r="BP15" s="6" t="s">
        <v>204</v>
      </c>
      <c r="BQ15" s="6" t="s">
        <v>204</v>
      </c>
      <c r="BR15" s="6"/>
      <c r="BS15" s="6"/>
      <c r="BT15" s="6" t="s">
        <v>206</v>
      </c>
      <c r="BU15" s="6" t="s">
        <v>202</v>
      </c>
      <c r="BV15" s="6" t="s">
        <v>202</v>
      </c>
      <c r="BW15" s="6" t="s">
        <v>202</v>
      </c>
      <c r="BX15" s="6" t="s">
        <v>202</v>
      </c>
      <c r="BY15" s="6" t="s">
        <v>202</v>
      </c>
      <c r="BZ15" s="6" t="s">
        <v>202</v>
      </c>
      <c r="CA15" s="6" t="s">
        <v>201</v>
      </c>
      <c r="CB15" s="6" t="s">
        <v>201</v>
      </c>
      <c r="CC15" s="6" t="s">
        <v>201</v>
      </c>
      <c r="CD15" s="6" t="s">
        <v>202</v>
      </c>
      <c r="CE15" s="6" t="s">
        <v>202</v>
      </c>
      <c r="CF15" s="6" t="s">
        <v>202</v>
      </c>
      <c r="CG15" s="6"/>
      <c r="CH15" s="6" t="s">
        <v>207</v>
      </c>
      <c r="CI15" s="6" t="s">
        <v>207</v>
      </c>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t="s">
        <v>294</v>
      </c>
      <c r="DV15" s="6"/>
      <c r="DW15" s="6" t="s">
        <v>228</v>
      </c>
      <c r="DX15" s="6"/>
      <c r="DY15" s="6"/>
      <c r="DZ15" s="6"/>
      <c r="EA15" s="6"/>
      <c r="EB15" s="6"/>
      <c r="EC15" s="6"/>
      <c r="ED15" s="6"/>
      <c r="EE15" s="6"/>
      <c r="EF15" s="6" t="s">
        <v>202</v>
      </c>
      <c r="EG15" s="6" t="s">
        <v>202</v>
      </c>
      <c r="EH15" s="6" t="s">
        <v>202</v>
      </c>
      <c r="EI15" s="6" t="s">
        <v>201</v>
      </c>
      <c r="EJ15" s="6" t="s">
        <v>202</v>
      </c>
      <c r="EK15" s="6" t="s">
        <v>202</v>
      </c>
      <c r="EL15" s="6" t="s">
        <v>202</v>
      </c>
      <c r="EM15" s="6"/>
      <c r="EN15" s="6"/>
      <c r="EO15" s="6"/>
      <c r="EP15" s="6"/>
      <c r="EQ15" s="6" t="s">
        <v>203</v>
      </c>
      <c r="ER15" s="6" t="s">
        <v>202</v>
      </c>
      <c r="ES15" s="6"/>
      <c r="ET15" s="6" t="s">
        <v>204</v>
      </c>
      <c r="EU15" s="6" t="s">
        <v>204</v>
      </c>
      <c r="EV15" s="6" t="s">
        <v>204</v>
      </c>
      <c r="EW15" s="6"/>
      <c r="EX15" s="6"/>
      <c r="EY15" s="6" t="s">
        <v>204</v>
      </c>
      <c r="EZ15" s="6" t="s">
        <v>204</v>
      </c>
      <c r="FA15" s="6" t="s">
        <v>204</v>
      </c>
      <c r="FB15" s="6" t="s">
        <v>204</v>
      </c>
      <c r="FC15" s="6" t="s">
        <v>204</v>
      </c>
      <c r="FD15" s="6" t="s">
        <v>204</v>
      </c>
      <c r="FE15" s="6" t="s">
        <v>204</v>
      </c>
      <c r="FF15" s="6" t="s">
        <v>204</v>
      </c>
      <c r="FG15" s="6" t="s">
        <v>204</v>
      </c>
      <c r="FH15" s="6" t="s">
        <v>203</v>
      </c>
      <c r="FI15" s="6" t="s">
        <v>203</v>
      </c>
      <c r="FJ15" s="6" t="s">
        <v>205</v>
      </c>
      <c r="FK15" s="6" t="s">
        <v>203</v>
      </c>
      <c r="FL15" s="6" t="s">
        <v>203</v>
      </c>
      <c r="FM15" s="6" t="s">
        <v>203</v>
      </c>
      <c r="FN15" s="6" t="s">
        <v>204</v>
      </c>
      <c r="FO15" s="6" t="s">
        <v>204</v>
      </c>
      <c r="FP15" s="6" t="s">
        <v>203</v>
      </c>
      <c r="FQ15" s="6" t="s">
        <v>203</v>
      </c>
      <c r="FR15" s="6" t="s">
        <v>202</v>
      </c>
      <c r="FS15" s="6" t="s">
        <v>204</v>
      </c>
      <c r="FT15" s="6" t="s">
        <v>204</v>
      </c>
      <c r="FU15" s="6"/>
      <c r="FV15" s="6"/>
      <c r="FW15" s="6" t="s">
        <v>238</v>
      </c>
      <c r="FX15" s="6"/>
      <c r="FY15" s="6" t="s">
        <v>203</v>
      </c>
      <c r="FZ15" s="6" t="s">
        <v>202</v>
      </c>
      <c r="GA15" s="6" t="s">
        <v>202</v>
      </c>
      <c r="GB15" s="6" t="s">
        <v>202</v>
      </c>
      <c r="GC15" s="6"/>
      <c r="GD15" s="6"/>
      <c r="GE15" s="6" t="s">
        <v>201</v>
      </c>
      <c r="GF15" s="6" t="s">
        <v>202</v>
      </c>
      <c r="GG15" s="6" t="s">
        <v>202</v>
      </c>
      <c r="GH15" s="6" t="s">
        <v>203</v>
      </c>
      <c r="GI15" s="6" t="s">
        <v>202</v>
      </c>
      <c r="GJ15" s="6" t="s">
        <v>202</v>
      </c>
      <c r="GK15" s="6" t="s">
        <v>295</v>
      </c>
      <c r="GL15" s="7">
        <f>DATE(2025,6,10)+TIME(10,33,15)</f>
        <v>45818.439756944441</v>
      </c>
    </row>
    <row r="16" spans="1:194" ht="47.25" x14ac:dyDescent="0.25">
      <c r="A16" s="3" t="s">
        <v>296</v>
      </c>
      <c r="B16" s="3" t="s">
        <v>297</v>
      </c>
      <c r="C16" s="3" t="s">
        <v>298</v>
      </c>
      <c r="D16" s="3" t="s">
        <v>299</v>
      </c>
      <c r="E16" s="3"/>
      <c r="F16" s="3" t="s">
        <v>250</v>
      </c>
      <c r="G16" s="3"/>
      <c r="H16" s="3"/>
      <c r="I16" s="3"/>
      <c r="J16" s="3"/>
      <c r="K16" s="3"/>
      <c r="L16" s="3"/>
      <c r="M16" s="3"/>
      <c r="N16" s="3"/>
      <c r="O16" s="3"/>
      <c r="P16" s="3"/>
      <c r="Q16" s="3"/>
      <c r="R16" s="3"/>
      <c r="S16" s="3"/>
      <c r="T16" s="3"/>
      <c r="U16" s="3"/>
      <c r="V16" s="3"/>
      <c r="W16" s="3"/>
      <c r="X16" s="3" t="s">
        <v>300</v>
      </c>
      <c r="Y16" s="3"/>
      <c r="Z16" s="3"/>
      <c r="AA16" s="3"/>
      <c r="AB16" s="3"/>
      <c r="AC16" s="3"/>
      <c r="AD16" s="3"/>
      <c r="AE16" s="3"/>
      <c r="AF16" s="4" t="s">
        <v>300</v>
      </c>
      <c r="AG16" s="3" t="s">
        <v>200</v>
      </c>
      <c r="AH16" s="3" t="s">
        <v>202</v>
      </c>
      <c r="AI16" s="3" t="s">
        <v>202</v>
      </c>
      <c r="AJ16" s="3" t="s">
        <v>204</v>
      </c>
      <c r="AK16" s="3" t="s">
        <v>202</v>
      </c>
      <c r="AL16" s="3" t="s">
        <v>203</v>
      </c>
      <c r="AM16" s="3" t="s">
        <v>204</v>
      </c>
      <c r="AN16" s="3" t="s">
        <v>204</v>
      </c>
      <c r="AO16" s="3" t="s">
        <v>204</v>
      </c>
      <c r="AP16" s="3" t="s">
        <v>202</v>
      </c>
      <c r="AQ16" s="3" t="s">
        <v>202</v>
      </c>
      <c r="AR16" s="3" t="s">
        <v>202</v>
      </c>
      <c r="AS16" s="3"/>
      <c r="AT16" s="3" t="s">
        <v>204</v>
      </c>
      <c r="AU16" s="3" t="s">
        <v>203</v>
      </c>
      <c r="AV16" s="3" t="s">
        <v>205</v>
      </c>
      <c r="AW16" s="3" t="s">
        <v>202</v>
      </c>
      <c r="AX16" s="3" t="s">
        <v>203</v>
      </c>
      <c r="AY16" s="3" t="s">
        <v>201</v>
      </c>
      <c r="AZ16" s="3" t="s">
        <v>204</v>
      </c>
      <c r="BA16" s="3" t="s">
        <v>205</v>
      </c>
      <c r="BB16" s="3" t="s">
        <v>202</v>
      </c>
      <c r="BC16" s="3" t="s">
        <v>202</v>
      </c>
      <c r="BD16" s="3" t="s">
        <v>201</v>
      </c>
      <c r="BE16" s="3" t="s">
        <v>204</v>
      </c>
      <c r="BF16" s="3" t="s">
        <v>204</v>
      </c>
      <c r="BG16" s="3" t="s">
        <v>204</v>
      </c>
      <c r="BH16" s="3" t="s">
        <v>204</v>
      </c>
      <c r="BI16" s="3" t="s">
        <v>204</v>
      </c>
      <c r="BJ16" s="3" t="s">
        <v>202</v>
      </c>
      <c r="BK16" s="3" t="s">
        <v>205</v>
      </c>
      <c r="BL16" s="3" t="s">
        <v>202</v>
      </c>
      <c r="BM16" s="3" t="s">
        <v>204</v>
      </c>
      <c r="BN16" s="3" t="s">
        <v>202</v>
      </c>
      <c r="BO16" s="3" t="s">
        <v>204</v>
      </c>
      <c r="BP16" s="3" t="s">
        <v>204</v>
      </c>
      <c r="BQ16" s="3" t="s">
        <v>204</v>
      </c>
      <c r="BR16" s="3" t="s">
        <v>204</v>
      </c>
      <c r="BS16" s="3"/>
      <c r="BT16" s="3" t="s">
        <v>206</v>
      </c>
      <c r="BU16" s="3" t="s">
        <v>202</v>
      </c>
      <c r="BV16" s="3" t="s">
        <v>202</v>
      </c>
      <c r="BW16" s="3" t="s">
        <v>202</v>
      </c>
      <c r="BX16" s="3" t="s">
        <v>202</v>
      </c>
      <c r="BY16" s="3" t="s">
        <v>202</v>
      </c>
      <c r="BZ16" s="3" t="s">
        <v>202</v>
      </c>
      <c r="CA16" s="3" t="s">
        <v>202</v>
      </c>
      <c r="CB16" s="3" t="s">
        <v>202</v>
      </c>
      <c r="CC16" s="3" t="s">
        <v>202</v>
      </c>
      <c r="CD16" s="3" t="s">
        <v>202</v>
      </c>
      <c r="CE16" s="3" t="s">
        <v>202</v>
      </c>
      <c r="CF16" s="3" t="s">
        <v>202</v>
      </c>
      <c r="CG16" s="3"/>
      <c r="CH16" s="3" t="s">
        <v>207</v>
      </c>
      <c r="CI16" s="3" t="s">
        <v>208</v>
      </c>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t="s">
        <v>301</v>
      </c>
      <c r="DW16" s="3" t="s">
        <v>208</v>
      </c>
      <c r="DX16" s="3"/>
      <c r="DY16" s="3" t="s">
        <v>247</v>
      </c>
      <c r="DZ16" s="3"/>
      <c r="EA16" s="3"/>
      <c r="EB16" s="3"/>
      <c r="EC16" s="3" t="s">
        <v>204</v>
      </c>
      <c r="ED16" s="3" t="s">
        <v>204</v>
      </c>
      <c r="EE16" s="3" t="s">
        <v>204</v>
      </c>
      <c r="EF16" s="3" t="s">
        <v>202</v>
      </c>
      <c r="EG16" s="3" t="s">
        <v>203</v>
      </c>
      <c r="EH16" s="3" t="s">
        <v>204</v>
      </c>
      <c r="EI16" s="3" t="s">
        <v>204</v>
      </c>
      <c r="EJ16" s="3" t="s">
        <v>202</v>
      </c>
      <c r="EK16" s="3" t="s">
        <v>204</v>
      </c>
      <c r="EL16" s="3" t="s">
        <v>202</v>
      </c>
      <c r="EM16" s="3" t="s">
        <v>203</v>
      </c>
      <c r="EN16" s="3" t="s">
        <v>205</v>
      </c>
      <c r="EO16" s="3" t="s">
        <v>201</v>
      </c>
      <c r="EP16" s="3"/>
      <c r="EQ16" s="3" t="s">
        <v>205</v>
      </c>
      <c r="ER16" s="3" t="s">
        <v>203</v>
      </c>
      <c r="ES16" s="3"/>
      <c r="ET16" s="3"/>
      <c r="EU16" s="3"/>
      <c r="EV16" s="3"/>
      <c r="EW16" s="3"/>
      <c r="EX16" s="3"/>
      <c r="EY16" s="3"/>
      <c r="EZ16" s="3"/>
      <c r="FA16" s="3"/>
      <c r="FB16" s="3"/>
      <c r="FC16" s="3"/>
      <c r="FD16" s="3"/>
      <c r="FE16" s="3"/>
      <c r="FF16" s="3"/>
      <c r="FG16" s="3"/>
      <c r="FH16" s="3" t="s">
        <v>202</v>
      </c>
      <c r="FI16" s="3" t="s">
        <v>202</v>
      </c>
      <c r="FJ16" s="3" t="s">
        <v>204</v>
      </c>
      <c r="FK16" s="3" t="s">
        <v>205</v>
      </c>
      <c r="FL16" s="3" t="s">
        <v>202</v>
      </c>
      <c r="FM16" s="3" t="s">
        <v>202</v>
      </c>
      <c r="FN16" s="3" t="s">
        <v>204</v>
      </c>
      <c r="FO16" s="3" t="s">
        <v>204</v>
      </c>
      <c r="FP16" s="3" t="s">
        <v>204</v>
      </c>
      <c r="FQ16" s="3" t="s">
        <v>204</v>
      </c>
      <c r="FR16" s="3" t="s">
        <v>204</v>
      </c>
      <c r="FS16" s="3" t="s">
        <v>204</v>
      </c>
      <c r="FT16" s="3" t="s">
        <v>204</v>
      </c>
      <c r="FU16" s="3" t="s">
        <v>204</v>
      </c>
      <c r="FV16" s="3"/>
      <c r="FW16" s="3" t="s">
        <v>238</v>
      </c>
      <c r="FX16" s="3"/>
      <c r="FY16" s="3" t="s">
        <v>204</v>
      </c>
      <c r="FZ16" s="3" t="s">
        <v>202</v>
      </c>
      <c r="GA16" s="3" t="s">
        <v>201</v>
      </c>
      <c r="GB16" s="3" t="s">
        <v>202</v>
      </c>
      <c r="GC16" s="3"/>
      <c r="GD16" s="3"/>
      <c r="GE16" s="3" t="s">
        <v>201</v>
      </c>
      <c r="GF16" s="3" t="s">
        <v>202</v>
      </c>
      <c r="GG16" s="3" t="s">
        <v>202</v>
      </c>
      <c r="GH16" s="3" t="s">
        <v>203</v>
      </c>
      <c r="GI16" s="3" t="s">
        <v>202</v>
      </c>
      <c r="GJ16" s="3" t="s">
        <v>202</v>
      </c>
      <c r="GK16" s="3"/>
      <c r="GL16" s="5">
        <f>DATE(2025,6,25)+TIME(16,58,27)</f>
        <v>45833.707256944443</v>
      </c>
    </row>
    <row r="17" spans="1:194" ht="47.25" x14ac:dyDescent="0.25">
      <c r="A17" s="6" t="s">
        <v>289</v>
      </c>
      <c r="B17" s="6" t="s">
        <v>290</v>
      </c>
      <c r="C17" s="6" t="s">
        <v>291</v>
      </c>
      <c r="D17" s="6" t="s">
        <v>302</v>
      </c>
      <c r="E17" s="6"/>
      <c r="F17" s="6" t="s">
        <v>233</v>
      </c>
      <c r="G17" s="6"/>
      <c r="H17" s="6"/>
      <c r="I17" s="6"/>
      <c r="J17" s="6"/>
      <c r="K17" s="6"/>
      <c r="L17" s="6"/>
      <c r="M17" s="6"/>
      <c r="N17" s="6"/>
      <c r="O17" s="6"/>
      <c r="P17" s="6"/>
      <c r="Q17" s="6"/>
      <c r="R17" s="6"/>
      <c r="S17" s="6"/>
      <c r="T17" s="6"/>
      <c r="U17" s="6"/>
      <c r="V17" s="6"/>
      <c r="W17" s="6"/>
      <c r="X17" s="6"/>
      <c r="Y17" s="6"/>
      <c r="Z17" s="6"/>
      <c r="AA17" s="6"/>
      <c r="AB17" s="6" t="s">
        <v>303</v>
      </c>
      <c r="AC17" s="6"/>
      <c r="AD17" s="6"/>
      <c r="AE17" s="6"/>
      <c r="AF17" s="4" t="s">
        <v>303</v>
      </c>
      <c r="AG17" s="6" t="s">
        <v>235</v>
      </c>
      <c r="AH17" s="6" t="s">
        <v>202</v>
      </c>
      <c r="AI17" s="6" t="s">
        <v>202</v>
      </c>
      <c r="AJ17" s="6" t="s">
        <v>202</v>
      </c>
      <c r="AK17" s="6" t="s">
        <v>201</v>
      </c>
      <c r="AL17" s="6" t="s">
        <v>201</v>
      </c>
      <c r="AM17" s="6" t="s">
        <v>201</v>
      </c>
      <c r="AN17" s="6" t="s">
        <v>202</v>
      </c>
      <c r="AO17" s="6" t="s">
        <v>204</v>
      </c>
      <c r="AP17" s="6" t="s">
        <v>204</v>
      </c>
      <c r="AQ17" s="6" t="s">
        <v>204</v>
      </c>
      <c r="AR17" s="6" t="s">
        <v>202</v>
      </c>
      <c r="AS17" s="6"/>
      <c r="AT17" s="6" t="s">
        <v>204</v>
      </c>
      <c r="AU17" s="6" t="s">
        <v>204</v>
      </c>
      <c r="AV17" s="6" t="s">
        <v>204</v>
      </c>
      <c r="AW17" s="6" t="s">
        <v>202</v>
      </c>
      <c r="AX17" s="6" t="s">
        <v>204</v>
      </c>
      <c r="AY17" s="6" t="s">
        <v>202</v>
      </c>
      <c r="AZ17" s="6" t="s">
        <v>204</v>
      </c>
      <c r="BA17" s="6" t="s">
        <v>204</v>
      </c>
      <c r="BB17" s="6" t="s">
        <v>202</v>
      </c>
      <c r="BC17" s="6" t="s">
        <v>204</v>
      </c>
      <c r="BD17" s="6" t="s">
        <v>202</v>
      </c>
      <c r="BE17" s="6" t="s">
        <v>204</v>
      </c>
      <c r="BF17" s="6" t="s">
        <v>204</v>
      </c>
      <c r="BG17" s="6" t="s">
        <v>204</v>
      </c>
      <c r="BH17" s="6" t="s">
        <v>204</v>
      </c>
      <c r="BI17" s="6" t="s">
        <v>204</v>
      </c>
      <c r="BJ17" s="6" t="s">
        <v>204</v>
      </c>
      <c r="BK17" s="6" t="s">
        <v>204</v>
      </c>
      <c r="BL17" s="6" t="s">
        <v>204</v>
      </c>
      <c r="BM17" s="6" t="s">
        <v>204</v>
      </c>
      <c r="BN17" s="6" t="s">
        <v>204</v>
      </c>
      <c r="BO17" s="6" t="s">
        <v>204</v>
      </c>
      <c r="BP17" s="6" t="s">
        <v>204</v>
      </c>
      <c r="BQ17" s="6" t="s">
        <v>204</v>
      </c>
      <c r="BR17" s="6" t="s">
        <v>204</v>
      </c>
      <c r="BS17" s="6"/>
      <c r="BT17" s="6" t="s">
        <v>206</v>
      </c>
      <c r="BU17" s="6" t="s">
        <v>203</v>
      </c>
      <c r="BV17" s="6" t="s">
        <v>202</v>
      </c>
      <c r="BW17" s="6" t="s">
        <v>204</v>
      </c>
      <c r="BX17" s="6" t="s">
        <v>204</v>
      </c>
      <c r="BY17" s="6" t="s">
        <v>204</v>
      </c>
      <c r="BZ17" s="6" t="s">
        <v>204</v>
      </c>
      <c r="CA17" s="6" t="s">
        <v>204</v>
      </c>
      <c r="CB17" s="6" t="s">
        <v>204</v>
      </c>
      <c r="CC17" s="6" t="s">
        <v>204</v>
      </c>
      <c r="CD17" s="6" t="s">
        <v>203</v>
      </c>
      <c r="CE17" s="6" t="s">
        <v>203</v>
      </c>
      <c r="CF17" s="6" t="s">
        <v>203</v>
      </c>
      <c r="CG17" s="6"/>
      <c r="CH17" s="6" t="s">
        <v>207</v>
      </c>
      <c r="CI17" s="6" t="s">
        <v>207</v>
      </c>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t="s">
        <v>288</v>
      </c>
      <c r="DT17" s="6"/>
      <c r="DU17" s="6"/>
      <c r="DV17" s="6"/>
      <c r="DW17" s="6" t="s">
        <v>228</v>
      </c>
      <c r="DX17" s="6"/>
      <c r="DY17" s="6"/>
      <c r="DZ17" s="6"/>
      <c r="EA17" s="6"/>
      <c r="EB17" s="6"/>
      <c r="EC17" s="6"/>
      <c r="ED17" s="6"/>
      <c r="EE17" s="6"/>
      <c r="EF17" s="6" t="s">
        <v>204</v>
      </c>
      <c r="EG17" s="6" t="s">
        <v>204</v>
      </c>
      <c r="EH17" s="6" t="s">
        <v>204</v>
      </c>
      <c r="EI17" s="6" t="s">
        <v>204</v>
      </c>
      <c r="EJ17" s="6" t="s">
        <v>204</v>
      </c>
      <c r="EK17" s="6" t="s">
        <v>204</v>
      </c>
      <c r="EL17" s="6" t="s">
        <v>205</v>
      </c>
      <c r="EM17" s="6"/>
      <c r="EN17" s="6"/>
      <c r="EO17" s="6"/>
      <c r="EP17" s="6"/>
      <c r="EQ17" s="6" t="s">
        <v>203</v>
      </c>
      <c r="ER17" s="6" t="s">
        <v>205</v>
      </c>
      <c r="ES17" s="6"/>
      <c r="ET17" s="6" t="s">
        <v>204</v>
      </c>
      <c r="EU17" s="6" t="s">
        <v>204</v>
      </c>
      <c r="EV17" s="6" t="s">
        <v>204</v>
      </c>
      <c r="EW17" s="6" t="s">
        <v>204</v>
      </c>
      <c r="EX17" s="6"/>
      <c r="EY17" s="6" t="s">
        <v>204</v>
      </c>
      <c r="EZ17" s="6" t="s">
        <v>204</v>
      </c>
      <c r="FA17" s="6" t="s">
        <v>204</v>
      </c>
      <c r="FB17" s="6" t="s">
        <v>204</v>
      </c>
      <c r="FC17" s="6" t="s">
        <v>204</v>
      </c>
      <c r="FD17" s="6" t="s">
        <v>204</v>
      </c>
      <c r="FE17" s="6" t="s">
        <v>204</v>
      </c>
      <c r="FF17" s="6" t="s">
        <v>204</v>
      </c>
      <c r="FG17" s="6" t="s">
        <v>204</v>
      </c>
      <c r="FH17" s="6"/>
      <c r="FI17" s="6"/>
      <c r="FJ17" s="6"/>
      <c r="FK17" s="6"/>
      <c r="FL17" s="6"/>
      <c r="FM17" s="6"/>
      <c r="FN17" s="6"/>
      <c r="FO17" s="6"/>
      <c r="FP17" s="6"/>
      <c r="FQ17" s="6"/>
      <c r="FR17" s="6" t="s">
        <v>204</v>
      </c>
      <c r="FS17" s="6" t="s">
        <v>204</v>
      </c>
      <c r="FT17" s="6" t="s">
        <v>204</v>
      </c>
      <c r="FU17" s="6" t="s">
        <v>204</v>
      </c>
      <c r="FV17" s="6"/>
      <c r="FW17" s="6" t="s">
        <v>238</v>
      </c>
      <c r="FX17" s="6"/>
      <c r="FY17" s="6" t="s">
        <v>204</v>
      </c>
      <c r="FZ17" s="6" t="s">
        <v>204</v>
      </c>
      <c r="GA17" s="6" t="s">
        <v>204</v>
      </c>
      <c r="GB17" s="6" t="s">
        <v>204</v>
      </c>
      <c r="GC17" s="6" t="s">
        <v>204</v>
      </c>
      <c r="GD17" s="6"/>
      <c r="GE17" s="6" t="s">
        <v>202</v>
      </c>
      <c r="GF17" s="6" t="s">
        <v>203</v>
      </c>
      <c r="GG17" s="6" t="s">
        <v>202</v>
      </c>
      <c r="GH17" s="6" t="s">
        <v>203</v>
      </c>
      <c r="GI17" s="6" t="s">
        <v>201</v>
      </c>
      <c r="GJ17" s="6" t="s">
        <v>201</v>
      </c>
      <c r="GK17" s="6"/>
      <c r="GL17" s="7">
        <f>DATE(2025,6,6)+TIME(16,49,8)</f>
        <v>45814.700787037036</v>
      </c>
    </row>
    <row r="18" spans="1:194" ht="409.5" x14ac:dyDescent="0.25">
      <c r="A18" s="3" t="s">
        <v>304</v>
      </c>
      <c r="B18" s="3" t="s">
        <v>305</v>
      </c>
      <c r="C18" s="3" t="s">
        <v>306</v>
      </c>
      <c r="D18" s="3" t="s">
        <v>307</v>
      </c>
      <c r="E18" s="3"/>
      <c r="F18" s="3" t="s">
        <v>269</v>
      </c>
      <c r="G18" s="3"/>
      <c r="H18" s="3"/>
      <c r="I18" s="3"/>
      <c r="J18" s="3"/>
      <c r="K18" s="3"/>
      <c r="L18" s="3"/>
      <c r="M18" s="3"/>
      <c r="N18" s="3"/>
      <c r="O18" s="3"/>
      <c r="P18" s="3"/>
      <c r="Q18" s="3"/>
      <c r="R18" s="3"/>
      <c r="S18" s="3"/>
      <c r="T18" s="3"/>
      <c r="U18" s="3"/>
      <c r="V18" s="3"/>
      <c r="W18" s="3" t="s">
        <v>308</v>
      </c>
      <c r="X18" s="3"/>
      <c r="Y18" s="3"/>
      <c r="Z18" s="3"/>
      <c r="AA18" s="3"/>
      <c r="AB18" s="3"/>
      <c r="AC18" s="3"/>
      <c r="AD18" s="3"/>
      <c r="AE18" s="3"/>
      <c r="AF18" s="4" t="s">
        <v>308</v>
      </c>
      <c r="AG18" s="3" t="s">
        <v>200</v>
      </c>
      <c r="AH18" s="3" t="s">
        <v>203</v>
      </c>
      <c r="AI18" s="3" t="s">
        <v>203</v>
      </c>
      <c r="AJ18" s="3" t="s">
        <v>203</v>
      </c>
      <c r="AK18" s="3" t="s">
        <v>203</v>
      </c>
      <c r="AL18" s="3" t="s">
        <v>203</v>
      </c>
      <c r="AM18" s="3" t="s">
        <v>204</v>
      </c>
      <c r="AN18" s="3" t="s">
        <v>205</v>
      </c>
      <c r="AO18" s="3" t="s">
        <v>205</v>
      </c>
      <c r="AP18" s="3" t="s">
        <v>205</v>
      </c>
      <c r="AQ18" s="3" t="s">
        <v>205</v>
      </c>
      <c r="AR18" s="3" t="s">
        <v>205</v>
      </c>
      <c r="AS18" s="3"/>
      <c r="AT18" s="3" t="s">
        <v>205</v>
      </c>
      <c r="AU18" s="3" t="s">
        <v>205</v>
      </c>
      <c r="AV18" s="3" t="s">
        <v>205</v>
      </c>
      <c r="AW18" s="3" t="s">
        <v>205</v>
      </c>
      <c r="AX18" s="3" t="s">
        <v>205</v>
      </c>
      <c r="AY18" s="3" t="s">
        <v>205</v>
      </c>
      <c r="AZ18" s="3" t="s">
        <v>203</v>
      </c>
      <c r="BA18" s="3" t="s">
        <v>201</v>
      </c>
      <c r="BB18" s="3" t="s">
        <v>203</v>
      </c>
      <c r="BC18" s="3" t="s">
        <v>203</v>
      </c>
      <c r="BD18" s="3" t="s">
        <v>203</v>
      </c>
      <c r="BE18" s="3" t="s">
        <v>205</v>
      </c>
      <c r="BF18" s="3" t="s">
        <v>205</v>
      </c>
      <c r="BG18" s="3" t="s">
        <v>205</v>
      </c>
      <c r="BH18" s="3" t="s">
        <v>205</v>
      </c>
      <c r="BI18" s="3" t="s">
        <v>205</v>
      </c>
      <c r="BJ18" s="3" t="s">
        <v>203</v>
      </c>
      <c r="BK18" s="3" t="s">
        <v>202</v>
      </c>
      <c r="BL18" s="3" t="s">
        <v>203</v>
      </c>
      <c r="BM18" s="3" t="s">
        <v>203</v>
      </c>
      <c r="BN18" s="3" t="s">
        <v>203</v>
      </c>
      <c r="BO18" s="3" t="s">
        <v>205</v>
      </c>
      <c r="BP18" s="3" t="s">
        <v>205</v>
      </c>
      <c r="BQ18" s="3" t="s">
        <v>205</v>
      </c>
      <c r="BR18" s="3" t="s">
        <v>205</v>
      </c>
      <c r="BS18" s="3"/>
      <c r="BT18" s="3" t="s">
        <v>271</v>
      </c>
      <c r="BU18" s="3" t="s">
        <v>203</v>
      </c>
      <c r="BV18" s="3" t="s">
        <v>205</v>
      </c>
      <c r="BW18" s="3" t="s">
        <v>203</v>
      </c>
      <c r="BX18" s="3" t="s">
        <v>202</v>
      </c>
      <c r="BY18" s="3" t="s">
        <v>205</v>
      </c>
      <c r="BZ18" s="3" t="s">
        <v>202</v>
      </c>
      <c r="CA18" s="3" t="s">
        <v>203</v>
      </c>
      <c r="CB18" s="3" t="s">
        <v>205</v>
      </c>
      <c r="CC18" s="3" t="s">
        <v>203</v>
      </c>
      <c r="CD18" s="3" t="s">
        <v>203</v>
      </c>
      <c r="CE18" s="3" t="s">
        <v>205</v>
      </c>
      <c r="CF18" s="3" t="s">
        <v>203</v>
      </c>
      <c r="CG18" s="3"/>
      <c r="CH18" s="3" t="s">
        <v>207</v>
      </c>
      <c r="CI18" s="3" t="s">
        <v>207</v>
      </c>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t="s">
        <v>236</v>
      </c>
      <c r="DQ18" s="3" t="s">
        <v>237</v>
      </c>
      <c r="DR18" s="3"/>
      <c r="DS18" s="3"/>
      <c r="DT18" s="3"/>
      <c r="DU18" s="3"/>
      <c r="DV18" s="3" t="s">
        <v>309</v>
      </c>
      <c r="DW18" s="3" t="s">
        <v>207</v>
      </c>
      <c r="DX18" s="3"/>
      <c r="DY18" s="3"/>
      <c r="DZ18" s="3"/>
      <c r="EA18" s="3"/>
      <c r="EB18" s="3"/>
      <c r="EC18" s="3"/>
      <c r="ED18" s="3"/>
      <c r="EE18" s="3"/>
      <c r="EF18" s="3" t="s">
        <v>201</v>
      </c>
      <c r="EG18" s="3" t="s">
        <v>203</v>
      </c>
      <c r="EH18" s="3" t="s">
        <v>203</v>
      </c>
      <c r="EI18" s="3" t="s">
        <v>201</v>
      </c>
      <c r="EJ18" s="3" t="s">
        <v>201</v>
      </c>
      <c r="EK18" s="3" t="s">
        <v>201</v>
      </c>
      <c r="EL18" s="3" t="s">
        <v>202</v>
      </c>
      <c r="EM18" s="3"/>
      <c r="EN18" s="3"/>
      <c r="EO18" s="3"/>
      <c r="EP18" s="3"/>
      <c r="EQ18" s="3" t="s">
        <v>203</v>
      </c>
      <c r="ER18" s="3" t="s">
        <v>205</v>
      </c>
      <c r="ES18" s="3"/>
      <c r="ET18" s="3" t="s">
        <v>205</v>
      </c>
      <c r="EU18" s="3" t="s">
        <v>205</v>
      </c>
      <c r="EV18" s="3" t="s">
        <v>205</v>
      </c>
      <c r="EW18" s="3" t="s">
        <v>205</v>
      </c>
      <c r="EX18" s="3"/>
      <c r="EY18" s="3" t="s">
        <v>203</v>
      </c>
      <c r="EZ18" s="3" t="s">
        <v>202</v>
      </c>
      <c r="FA18" s="3" t="s">
        <v>203</v>
      </c>
      <c r="FB18" s="3" t="s">
        <v>203</v>
      </c>
      <c r="FC18" s="3" t="s">
        <v>203</v>
      </c>
      <c r="FD18" s="3" t="s">
        <v>203</v>
      </c>
      <c r="FE18" s="3" t="s">
        <v>205</v>
      </c>
      <c r="FF18" s="3" t="s">
        <v>205</v>
      </c>
      <c r="FG18" s="3" t="s">
        <v>205</v>
      </c>
      <c r="FH18" s="3"/>
      <c r="FI18" s="3"/>
      <c r="FJ18" s="3"/>
      <c r="FK18" s="3"/>
      <c r="FL18" s="3"/>
      <c r="FM18" s="3"/>
      <c r="FN18" s="3"/>
      <c r="FO18" s="3"/>
      <c r="FP18" s="3"/>
      <c r="FQ18" s="3"/>
      <c r="FR18" s="3" t="s">
        <v>205</v>
      </c>
      <c r="FS18" s="3" t="s">
        <v>205</v>
      </c>
      <c r="FT18" s="3" t="s">
        <v>205</v>
      </c>
      <c r="FU18" s="3" t="s">
        <v>205</v>
      </c>
      <c r="FV18" s="3"/>
      <c r="FW18" s="3" t="s">
        <v>271</v>
      </c>
      <c r="FX18" s="3"/>
      <c r="FY18" s="3" t="s">
        <v>202</v>
      </c>
      <c r="FZ18" s="3" t="s">
        <v>203</v>
      </c>
      <c r="GA18" s="3" t="s">
        <v>203</v>
      </c>
      <c r="GB18" s="3" t="s">
        <v>205</v>
      </c>
      <c r="GC18" s="3" t="s">
        <v>205</v>
      </c>
      <c r="GD18" s="3"/>
      <c r="GE18" s="3" t="s">
        <v>202</v>
      </c>
      <c r="GF18" s="3" t="s">
        <v>203</v>
      </c>
      <c r="GG18" s="3" t="s">
        <v>202</v>
      </c>
      <c r="GH18" s="3" t="s">
        <v>203</v>
      </c>
      <c r="GI18" s="3" t="s">
        <v>202</v>
      </c>
      <c r="GJ18" s="3" t="s">
        <v>202</v>
      </c>
      <c r="GK18" s="3" t="s">
        <v>310</v>
      </c>
      <c r="GL18" s="5">
        <f>DATE(2025,6,6)+TIME(13,5,41)</f>
        <v>45814.545613425929</v>
      </c>
    </row>
    <row r="19" spans="1:194" ht="110.25" x14ac:dyDescent="0.25">
      <c r="A19" s="6" t="s">
        <v>311</v>
      </c>
      <c r="B19" s="6" t="s">
        <v>312</v>
      </c>
      <c r="C19" s="6" t="s">
        <v>313</v>
      </c>
      <c r="D19" s="6" t="s">
        <v>314</v>
      </c>
      <c r="E19" s="6"/>
      <c r="F19" s="6" t="s">
        <v>250</v>
      </c>
      <c r="G19" s="6"/>
      <c r="H19" s="6"/>
      <c r="I19" s="6"/>
      <c r="J19" s="6"/>
      <c r="K19" s="6"/>
      <c r="L19" s="6"/>
      <c r="M19" s="6"/>
      <c r="N19" s="6"/>
      <c r="O19" s="6"/>
      <c r="P19" s="6"/>
      <c r="Q19" s="6"/>
      <c r="R19" s="6"/>
      <c r="S19" s="6"/>
      <c r="T19" s="6"/>
      <c r="U19" s="6"/>
      <c r="V19" s="6"/>
      <c r="W19" s="6"/>
      <c r="X19" s="6" t="s">
        <v>315</v>
      </c>
      <c r="Y19" s="6"/>
      <c r="Z19" s="6"/>
      <c r="AA19" s="6"/>
      <c r="AB19" s="6"/>
      <c r="AC19" s="6"/>
      <c r="AD19" s="6"/>
      <c r="AE19" s="6"/>
      <c r="AF19" s="4" t="s">
        <v>315</v>
      </c>
      <c r="AG19" s="6" t="s">
        <v>235</v>
      </c>
      <c r="AH19" s="6" t="s">
        <v>202</v>
      </c>
      <c r="AI19" s="6" t="s">
        <v>205</v>
      </c>
      <c r="AJ19" s="6" t="s">
        <v>204</v>
      </c>
      <c r="AK19" s="6" t="s">
        <v>203</v>
      </c>
      <c r="AL19" s="6" t="s">
        <v>203</v>
      </c>
      <c r="AM19" s="6" t="s">
        <v>204</v>
      </c>
      <c r="AN19" s="6" t="s">
        <v>205</v>
      </c>
      <c r="AO19" s="6" t="s">
        <v>203</v>
      </c>
      <c r="AP19" s="6" t="s">
        <v>203</v>
      </c>
      <c r="AQ19" s="6" t="s">
        <v>205</v>
      </c>
      <c r="AR19" s="6" t="s">
        <v>205</v>
      </c>
      <c r="AS19" s="6"/>
      <c r="AT19" s="6" t="s">
        <v>203</v>
      </c>
      <c r="AU19" s="6" t="s">
        <v>203</v>
      </c>
      <c r="AV19" s="6" t="s">
        <v>205</v>
      </c>
      <c r="AW19" s="6" t="s">
        <v>203</v>
      </c>
      <c r="AX19" s="6" t="s">
        <v>205</v>
      </c>
      <c r="AY19" s="6" t="s">
        <v>204</v>
      </c>
      <c r="AZ19" s="6" t="s">
        <v>203</v>
      </c>
      <c r="BA19" s="6" t="s">
        <v>204</v>
      </c>
      <c r="BB19" s="6" t="s">
        <v>204</v>
      </c>
      <c r="BC19" s="6" t="s">
        <v>204</v>
      </c>
      <c r="BD19" s="6" t="s">
        <v>204</v>
      </c>
      <c r="BE19" s="6" t="s">
        <v>204</v>
      </c>
      <c r="BF19" s="6" t="s">
        <v>204</v>
      </c>
      <c r="BG19" s="6" t="s">
        <v>204</v>
      </c>
      <c r="BH19" s="6" t="s">
        <v>204</v>
      </c>
      <c r="BI19" s="6" t="s">
        <v>204</v>
      </c>
      <c r="BJ19" s="6" t="s">
        <v>202</v>
      </c>
      <c r="BK19" s="6" t="s">
        <v>203</v>
      </c>
      <c r="BL19" s="6" t="s">
        <v>203</v>
      </c>
      <c r="BM19" s="6" t="s">
        <v>205</v>
      </c>
      <c r="BN19" s="6" t="s">
        <v>204</v>
      </c>
      <c r="BO19" s="6" t="s">
        <v>202</v>
      </c>
      <c r="BP19" s="6" t="s">
        <v>203</v>
      </c>
      <c r="BQ19" s="6" t="s">
        <v>204</v>
      </c>
      <c r="BR19" s="6" t="s">
        <v>204</v>
      </c>
      <c r="BS19" s="6"/>
      <c r="BT19" s="6" t="s">
        <v>206</v>
      </c>
      <c r="BU19" s="6" t="s">
        <v>202</v>
      </c>
      <c r="BV19" s="6" t="s">
        <v>202</v>
      </c>
      <c r="BW19" s="6" t="s">
        <v>202</v>
      </c>
      <c r="BX19" s="6" t="s">
        <v>202</v>
      </c>
      <c r="BY19" s="6" t="s">
        <v>202</v>
      </c>
      <c r="BZ19" s="6" t="s">
        <v>202</v>
      </c>
      <c r="CA19" s="6" t="s">
        <v>202</v>
      </c>
      <c r="CB19" s="6" t="s">
        <v>202</v>
      </c>
      <c r="CC19" s="6" t="s">
        <v>202</v>
      </c>
      <c r="CD19" s="6" t="s">
        <v>202</v>
      </c>
      <c r="CE19" s="6" t="s">
        <v>202</v>
      </c>
      <c r="CF19" s="6" t="s">
        <v>202</v>
      </c>
      <c r="CG19" s="6"/>
      <c r="CH19" s="6" t="s">
        <v>207</v>
      </c>
      <c r="CI19" s="6" t="s">
        <v>207</v>
      </c>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t="s">
        <v>294</v>
      </c>
      <c r="DV19" s="6"/>
      <c r="DW19" s="6" t="s">
        <v>208</v>
      </c>
      <c r="DX19" s="6" t="s">
        <v>246</v>
      </c>
      <c r="DY19" s="6" t="s">
        <v>247</v>
      </c>
      <c r="DZ19" s="6"/>
      <c r="EA19" s="6"/>
      <c r="EB19" s="6" t="s">
        <v>316</v>
      </c>
      <c r="EC19" s="6" t="s">
        <v>204</v>
      </c>
      <c r="ED19" s="6" t="s">
        <v>204</v>
      </c>
      <c r="EE19" s="6" t="s">
        <v>204</v>
      </c>
      <c r="EF19" s="6" t="s">
        <v>204</v>
      </c>
      <c r="EG19" s="6" t="s">
        <v>204</v>
      </c>
      <c r="EH19" s="6" t="s">
        <v>204</v>
      </c>
      <c r="EI19" s="6" t="s">
        <v>204</v>
      </c>
      <c r="EJ19" s="6" t="s">
        <v>204</v>
      </c>
      <c r="EK19" s="6" t="s">
        <v>204</v>
      </c>
      <c r="EL19" s="6" t="s">
        <v>204</v>
      </c>
      <c r="EM19" s="6"/>
      <c r="EN19" s="6"/>
      <c r="EO19" s="6"/>
      <c r="EP19" s="6"/>
      <c r="EQ19" s="6" t="s">
        <v>203</v>
      </c>
      <c r="ER19" s="6" t="s">
        <v>203</v>
      </c>
      <c r="ES19" s="6"/>
      <c r="ET19" s="6" t="s">
        <v>204</v>
      </c>
      <c r="EU19" s="6" t="s">
        <v>204</v>
      </c>
      <c r="EV19" s="6" t="s">
        <v>204</v>
      </c>
      <c r="EW19" s="6" t="s">
        <v>204</v>
      </c>
      <c r="EX19" s="6"/>
      <c r="EY19" s="6" t="s">
        <v>203</v>
      </c>
      <c r="EZ19" s="6" t="s">
        <v>205</v>
      </c>
      <c r="FA19" s="6" t="s">
        <v>203</v>
      </c>
      <c r="FB19" s="6" t="s">
        <v>204</v>
      </c>
      <c r="FC19" s="6" t="s">
        <v>202</v>
      </c>
      <c r="FD19" s="6" t="s">
        <v>202</v>
      </c>
      <c r="FE19" s="6" t="s">
        <v>204</v>
      </c>
      <c r="FF19" s="6" t="s">
        <v>204</v>
      </c>
      <c r="FG19" s="6" t="s">
        <v>204</v>
      </c>
      <c r="FH19" s="6" t="s">
        <v>204</v>
      </c>
      <c r="FI19" s="6" t="s">
        <v>204</v>
      </c>
      <c r="FJ19" s="6" t="s">
        <v>204</v>
      </c>
      <c r="FK19" s="6" t="s">
        <v>204</v>
      </c>
      <c r="FL19" s="6" t="s">
        <v>204</v>
      </c>
      <c r="FM19" s="6" t="s">
        <v>204</v>
      </c>
      <c r="FN19" s="6" t="s">
        <v>204</v>
      </c>
      <c r="FO19" s="6" t="s">
        <v>204</v>
      </c>
      <c r="FP19" s="6" t="s">
        <v>204</v>
      </c>
      <c r="FQ19" s="6" t="s">
        <v>204</v>
      </c>
      <c r="FR19" s="6" t="s">
        <v>203</v>
      </c>
      <c r="FS19" s="6" t="s">
        <v>203</v>
      </c>
      <c r="FT19" s="6" t="s">
        <v>204</v>
      </c>
      <c r="FU19" s="6" t="s">
        <v>204</v>
      </c>
      <c r="FV19" s="6"/>
      <c r="FW19" s="6" t="s">
        <v>238</v>
      </c>
      <c r="FX19" s="6"/>
      <c r="FY19" s="6" t="s">
        <v>202</v>
      </c>
      <c r="FZ19" s="6" t="s">
        <v>202</v>
      </c>
      <c r="GA19" s="6" t="s">
        <v>202</v>
      </c>
      <c r="GB19" s="6" t="s">
        <v>203</v>
      </c>
      <c r="GC19" s="6" t="s">
        <v>205</v>
      </c>
      <c r="GD19" s="6"/>
      <c r="GE19" s="6" t="s">
        <v>203</v>
      </c>
      <c r="GF19" s="6" t="s">
        <v>202</v>
      </c>
      <c r="GG19" s="6" t="s">
        <v>201</v>
      </c>
      <c r="GH19" s="6" t="s">
        <v>203</v>
      </c>
      <c r="GI19" s="6" t="s">
        <v>201</v>
      </c>
      <c r="GJ19" s="6" t="s">
        <v>202</v>
      </c>
      <c r="GK19" s="6" t="s">
        <v>317</v>
      </c>
      <c r="GL19" s="7">
        <f>DATE(2025,6,6)+TIME(9,47,30)</f>
        <v>45814.407986111109</v>
      </c>
    </row>
    <row r="20" spans="1:194" ht="393.75" x14ac:dyDescent="0.25">
      <c r="A20" s="3" t="s">
        <v>318</v>
      </c>
      <c r="B20" s="3" t="s">
        <v>319</v>
      </c>
      <c r="C20" s="3" t="s">
        <v>320</v>
      </c>
      <c r="D20" s="3" t="s">
        <v>321</v>
      </c>
      <c r="E20" s="3"/>
      <c r="F20" s="3" t="s">
        <v>269</v>
      </c>
      <c r="G20" s="3"/>
      <c r="H20" s="3"/>
      <c r="I20" s="3"/>
      <c r="J20" s="3"/>
      <c r="K20" s="3"/>
      <c r="L20" s="3"/>
      <c r="M20" s="3"/>
      <c r="N20" s="3"/>
      <c r="O20" s="3"/>
      <c r="P20" s="3"/>
      <c r="Q20" s="3"/>
      <c r="R20" s="3"/>
      <c r="S20" s="3"/>
      <c r="T20" s="3"/>
      <c r="U20" s="3"/>
      <c r="V20" s="3"/>
      <c r="W20" s="3" t="s">
        <v>322</v>
      </c>
      <c r="X20" s="3"/>
      <c r="Y20" s="3"/>
      <c r="Z20" s="3"/>
      <c r="AA20" s="3"/>
      <c r="AB20" s="3"/>
      <c r="AC20" s="3"/>
      <c r="AD20" s="3"/>
      <c r="AE20" s="3"/>
      <c r="AF20" s="4" t="s">
        <v>322</v>
      </c>
      <c r="AG20" s="3" t="s">
        <v>200</v>
      </c>
      <c r="AH20" s="3" t="s">
        <v>203</v>
      </c>
      <c r="AI20" s="3" t="s">
        <v>203</v>
      </c>
      <c r="AJ20" s="3" t="s">
        <v>204</v>
      </c>
      <c r="AK20" s="3" t="s">
        <v>203</v>
      </c>
      <c r="AL20" s="3" t="s">
        <v>204</v>
      </c>
      <c r="AM20" s="3" t="s">
        <v>204</v>
      </c>
      <c r="AN20" s="3" t="s">
        <v>204</v>
      </c>
      <c r="AO20" s="3" t="s">
        <v>204</v>
      </c>
      <c r="AP20" s="3" t="s">
        <v>203</v>
      </c>
      <c r="AQ20" s="3" t="s">
        <v>203</v>
      </c>
      <c r="AR20" s="3" t="s">
        <v>203</v>
      </c>
      <c r="AS20" s="3"/>
      <c r="AT20" s="3" t="s">
        <v>205</v>
      </c>
      <c r="AU20" s="3" t="s">
        <v>203</v>
      </c>
      <c r="AV20" s="3" t="s">
        <v>203</v>
      </c>
      <c r="AW20" s="3" t="s">
        <v>203</v>
      </c>
      <c r="AX20" s="3" t="s">
        <v>203</v>
      </c>
      <c r="AY20" s="3" t="s">
        <v>204</v>
      </c>
      <c r="AZ20" s="3" t="s">
        <v>203</v>
      </c>
      <c r="BA20" s="3" t="s">
        <v>201</v>
      </c>
      <c r="BB20" s="3" t="s">
        <v>202</v>
      </c>
      <c r="BC20" s="3" t="s">
        <v>203</v>
      </c>
      <c r="BD20" s="3" t="s">
        <v>204</v>
      </c>
      <c r="BE20" s="3" t="s">
        <v>204</v>
      </c>
      <c r="BF20" s="3" t="s">
        <v>204</v>
      </c>
      <c r="BG20" s="3" t="s">
        <v>204</v>
      </c>
      <c r="BH20" s="3" t="s">
        <v>204</v>
      </c>
      <c r="BI20" s="3" t="s">
        <v>204</v>
      </c>
      <c r="BJ20" s="3" t="s">
        <v>203</v>
      </c>
      <c r="BK20" s="3" t="s">
        <v>202</v>
      </c>
      <c r="BL20" s="3" t="s">
        <v>202</v>
      </c>
      <c r="BM20" s="3" t="s">
        <v>203</v>
      </c>
      <c r="BN20" s="3" t="s">
        <v>203</v>
      </c>
      <c r="BO20" s="3" t="s">
        <v>205</v>
      </c>
      <c r="BP20" s="3" t="s">
        <v>205</v>
      </c>
      <c r="BQ20" s="3" t="s">
        <v>205</v>
      </c>
      <c r="BR20" s="3" t="s">
        <v>205</v>
      </c>
      <c r="BS20" s="3"/>
      <c r="BT20" s="3" t="s">
        <v>271</v>
      </c>
      <c r="BU20" s="3" t="s">
        <v>203</v>
      </c>
      <c r="BV20" s="3" t="s">
        <v>205</v>
      </c>
      <c r="BW20" s="3" t="s">
        <v>203</v>
      </c>
      <c r="BX20" s="3" t="s">
        <v>203</v>
      </c>
      <c r="BY20" s="3" t="s">
        <v>205</v>
      </c>
      <c r="BZ20" s="3" t="s">
        <v>203</v>
      </c>
      <c r="CA20" s="3" t="s">
        <v>203</v>
      </c>
      <c r="CB20" s="3" t="s">
        <v>205</v>
      </c>
      <c r="CC20" s="3" t="s">
        <v>203</v>
      </c>
      <c r="CD20" s="3" t="s">
        <v>203</v>
      </c>
      <c r="CE20" s="3" t="s">
        <v>205</v>
      </c>
      <c r="CF20" s="3" t="s">
        <v>203</v>
      </c>
      <c r="CG20" s="3"/>
      <c r="CH20" s="3" t="s">
        <v>207</v>
      </c>
      <c r="CI20" s="3" t="s">
        <v>207</v>
      </c>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t="s">
        <v>236</v>
      </c>
      <c r="DQ20" s="3"/>
      <c r="DR20" s="3"/>
      <c r="DS20" s="3"/>
      <c r="DT20" s="3"/>
      <c r="DU20" s="3"/>
      <c r="DV20" s="3"/>
      <c r="DW20" s="3" t="s">
        <v>207</v>
      </c>
      <c r="DX20" s="3"/>
      <c r="DY20" s="3"/>
      <c r="DZ20" s="3"/>
      <c r="EA20" s="3"/>
      <c r="EB20" s="3"/>
      <c r="EC20" s="3"/>
      <c r="ED20" s="3"/>
      <c r="EE20" s="3"/>
      <c r="EF20" s="3" t="s">
        <v>201</v>
      </c>
      <c r="EG20" s="3" t="s">
        <v>203</v>
      </c>
      <c r="EH20" s="3" t="s">
        <v>203</v>
      </c>
      <c r="EI20" s="3" t="s">
        <v>201</v>
      </c>
      <c r="EJ20" s="3" t="s">
        <v>201</v>
      </c>
      <c r="EK20" s="3" t="s">
        <v>201</v>
      </c>
      <c r="EL20" s="3" t="s">
        <v>202</v>
      </c>
      <c r="EM20" s="3"/>
      <c r="EN20" s="3"/>
      <c r="EO20" s="3"/>
      <c r="EP20" s="3"/>
      <c r="EQ20" s="3" t="s">
        <v>202</v>
      </c>
      <c r="ER20" s="3" t="s">
        <v>202</v>
      </c>
      <c r="ES20" s="3"/>
      <c r="ET20" s="3" t="s">
        <v>202</v>
      </c>
      <c r="EU20" s="3" t="s">
        <v>202</v>
      </c>
      <c r="EV20" s="3" t="s">
        <v>202</v>
      </c>
      <c r="EW20" s="3" t="s">
        <v>204</v>
      </c>
      <c r="EX20" s="3"/>
      <c r="EY20" s="3" t="s">
        <v>202</v>
      </c>
      <c r="EZ20" s="3" t="s">
        <v>205</v>
      </c>
      <c r="FA20" s="3" t="s">
        <v>202</v>
      </c>
      <c r="FB20" s="3" t="s">
        <v>202</v>
      </c>
      <c r="FC20" s="3" t="s">
        <v>202</v>
      </c>
      <c r="FD20" s="3" t="s">
        <v>202</v>
      </c>
      <c r="FE20" s="3" t="s">
        <v>202</v>
      </c>
      <c r="FF20" s="3" t="s">
        <v>202</v>
      </c>
      <c r="FG20" s="3" t="s">
        <v>202</v>
      </c>
      <c r="FH20" s="3" t="s">
        <v>202</v>
      </c>
      <c r="FI20" s="3" t="s">
        <v>202</v>
      </c>
      <c r="FJ20" s="3" t="s">
        <v>203</v>
      </c>
      <c r="FK20" s="3" t="s">
        <v>202</v>
      </c>
      <c r="FL20" s="3" t="s">
        <v>202</v>
      </c>
      <c r="FM20" s="3" t="s">
        <v>202</v>
      </c>
      <c r="FN20" s="3" t="s">
        <v>202</v>
      </c>
      <c r="FO20" s="3" t="s">
        <v>202</v>
      </c>
      <c r="FP20" s="3" t="s">
        <v>202</v>
      </c>
      <c r="FQ20" s="3" t="s">
        <v>202</v>
      </c>
      <c r="FR20" s="3" t="s">
        <v>201</v>
      </c>
      <c r="FS20" s="3" t="s">
        <v>202</v>
      </c>
      <c r="FT20" s="3" t="s">
        <v>204</v>
      </c>
      <c r="FU20" s="3" t="s">
        <v>204</v>
      </c>
      <c r="FV20" s="3"/>
      <c r="FW20" s="3" t="s">
        <v>271</v>
      </c>
      <c r="FX20" s="3"/>
      <c r="FY20" s="3" t="s">
        <v>203</v>
      </c>
      <c r="FZ20" s="3" t="s">
        <v>205</v>
      </c>
      <c r="GA20" s="3" t="s">
        <v>203</v>
      </c>
      <c r="GB20" s="3" t="s">
        <v>205</v>
      </c>
      <c r="GC20" s="3" t="s">
        <v>204</v>
      </c>
      <c r="GD20" s="3"/>
      <c r="GE20" s="3" t="s">
        <v>202</v>
      </c>
      <c r="GF20" s="3" t="s">
        <v>203</v>
      </c>
      <c r="GG20" s="3" t="s">
        <v>201</v>
      </c>
      <c r="GH20" s="3" t="s">
        <v>203</v>
      </c>
      <c r="GI20" s="3" t="s">
        <v>203</v>
      </c>
      <c r="GJ20" s="3" t="s">
        <v>201</v>
      </c>
      <c r="GK20" s="3" t="s">
        <v>323</v>
      </c>
      <c r="GL20" s="5">
        <f>DATE(2025,6,5)+TIME(11,17,44)</f>
        <v>45813.470648148148</v>
      </c>
    </row>
    <row r="21" spans="1:194" ht="409.5" x14ac:dyDescent="0.25">
      <c r="A21" s="6" t="s">
        <v>289</v>
      </c>
      <c r="B21" s="6" t="s">
        <v>290</v>
      </c>
      <c r="C21" s="6" t="s">
        <v>291</v>
      </c>
      <c r="D21" s="6" t="s">
        <v>324</v>
      </c>
      <c r="E21" s="6"/>
      <c r="F21" s="6" t="s">
        <v>233</v>
      </c>
      <c r="G21" s="6"/>
      <c r="H21" s="6"/>
      <c r="I21" s="6"/>
      <c r="J21" s="6"/>
      <c r="K21" s="6"/>
      <c r="L21" s="6"/>
      <c r="M21" s="6"/>
      <c r="N21" s="6"/>
      <c r="O21" s="6"/>
      <c r="P21" s="6"/>
      <c r="Q21" s="6"/>
      <c r="R21" s="6"/>
      <c r="S21" s="6"/>
      <c r="T21" s="6"/>
      <c r="U21" s="6"/>
      <c r="V21" s="6"/>
      <c r="W21" s="6"/>
      <c r="X21" s="6"/>
      <c r="Y21" s="6"/>
      <c r="Z21" s="6"/>
      <c r="AA21" s="6"/>
      <c r="AB21" s="6" t="s">
        <v>325</v>
      </c>
      <c r="AC21" s="6"/>
      <c r="AD21" s="6"/>
      <c r="AE21" s="6"/>
      <c r="AF21" s="4" t="s">
        <v>325</v>
      </c>
      <c r="AG21" s="6" t="s">
        <v>235</v>
      </c>
      <c r="AH21" s="6" t="s">
        <v>202</v>
      </c>
      <c r="AI21" s="6" t="s">
        <v>203</v>
      </c>
      <c r="AJ21" s="6" t="s">
        <v>203</v>
      </c>
      <c r="AK21" s="6" t="s">
        <v>203</v>
      </c>
      <c r="AL21" s="6" t="s">
        <v>203</v>
      </c>
      <c r="AM21" s="6" t="s">
        <v>203</v>
      </c>
      <c r="AN21" s="6" t="s">
        <v>203</v>
      </c>
      <c r="AO21" s="6" t="s">
        <v>202</v>
      </c>
      <c r="AP21" s="6" t="s">
        <v>202</v>
      </c>
      <c r="AQ21" s="6" t="s">
        <v>202</v>
      </c>
      <c r="AR21" s="6" t="s">
        <v>201</v>
      </c>
      <c r="AS21" s="6"/>
      <c r="AT21" s="6" t="s">
        <v>205</v>
      </c>
      <c r="AU21" s="6" t="s">
        <v>205</v>
      </c>
      <c r="AV21" s="6" t="s">
        <v>205</v>
      </c>
      <c r="AW21" s="6" t="s">
        <v>202</v>
      </c>
      <c r="AX21" s="6" t="s">
        <v>203</v>
      </c>
      <c r="AY21" s="6" t="s">
        <v>203</v>
      </c>
      <c r="AZ21" s="6" t="s">
        <v>203</v>
      </c>
      <c r="BA21" s="6" t="s">
        <v>203</v>
      </c>
      <c r="BB21" s="6" t="s">
        <v>203</v>
      </c>
      <c r="BC21" s="6" t="s">
        <v>203</v>
      </c>
      <c r="BD21" s="6" t="s">
        <v>203</v>
      </c>
      <c r="BE21" s="6" t="s">
        <v>203</v>
      </c>
      <c r="BF21" s="6" t="s">
        <v>205</v>
      </c>
      <c r="BG21" s="6" t="s">
        <v>202</v>
      </c>
      <c r="BH21" s="6" t="s">
        <v>203</v>
      </c>
      <c r="BI21" s="6" t="s">
        <v>203</v>
      </c>
      <c r="BJ21" s="6" t="s">
        <v>201</v>
      </c>
      <c r="BK21" s="6" t="s">
        <v>205</v>
      </c>
      <c r="BL21" s="6" t="s">
        <v>202</v>
      </c>
      <c r="BM21" s="6" t="s">
        <v>203</v>
      </c>
      <c r="BN21" s="6" t="s">
        <v>203</v>
      </c>
      <c r="BO21" s="6" t="s">
        <v>202</v>
      </c>
      <c r="BP21" s="6" t="s">
        <v>204</v>
      </c>
      <c r="BQ21" s="6" t="s">
        <v>205</v>
      </c>
      <c r="BR21" s="6" t="s">
        <v>204</v>
      </c>
      <c r="BS21" s="6"/>
      <c r="BT21" s="6" t="s">
        <v>206</v>
      </c>
      <c r="BU21" s="6" t="s">
        <v>202</v>
      </c>
      <c r="BV21" s="6" t="s">
        <v>202</v>
      </c>
      <c r="BW21" s="6" t="s">
        <v>202</v>
      </c>
      <c r="BX21" s="6" t="s">
        <v>202</v>
      </c>
      <c r="BY21" s="6" t="s">
        <v>202</v>
      </c>
      <c r="BZ21" s="6" t="s">
        <v>202</v>
      </c>
      <c r="CA21" s="6" t="s">
        <v>203</v>
      </c>
      <c r="CB21" s="6" t="s">
        <v>203</v>
      </c>
      <c r="CC21" s="6" t="s">
        <v>202</v>
      </c>
      <c r="CD21" s="6" t="s">
        <v>202</v>
      </c>
      <c r="CE21" s="6" t="s">
        <v>202</v>
      </c>
      <c r="CF21" s="6" t="s">
        <v>202</v>
      </c>
      <c r="CG21" s="6"/>
      <c r="CH21" s="6" t="s">
        <v>207</v>
      </c>
      <c r="CI21" s="6" t="s">
        <v>207</v>
      </c>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t="s">
        <v>294</v>
      </c>
      <c r="DV21" s="6"/>
      <c r="DW21" s="6" t="s">
        <v>207</v>
      </c>
      <c r="DX21" s="6"/>
      <c r="DY21" s="6"/>
      <c r="DZ21" s="6"/>
      <c r="EA21" s="6"/>
      <c r="EB21" s="6"/>
      <c r="EC21" s="6"/>
      <c r="ED21" s="6"/>
      <c r="EE21" s="6"/>
      <c r="EF21" s="6" t="s">
        <v>203</v>
      </c>
      <c r="EG21" s="6" t="s">
        <v>203</v>
      </c>
      <c r="EH21" s="6" t="s">
        <v>203</v>
      </c>
      <c r="EI21" s="6" t="s">
        <v>203</v>
      </c>
      <c r="EJ21" s="6" t="s">
        <v>202</v>
      </c>
      <c r="EK21" s="6" t="s">
        <v>205</v>
      </c>
      <c r="EL21" s="6" t="s">
        <v>202</v>
      </c>
      <c r="EM21" s="6"/>
      <c r="EN21" s="6"/>
      <c r="EO21" s="6"/>
      <c r="EP21" s="6"/>
      <c r="EQ21" s="6" t="s">
        <v>203</v>
      </c>
      <c r="ER21" s="6" t="s">
        <v>203</v>
      </c>
      <c r="ES21" s="6"/>
      <c r="ET21" s="6" t="s">
        <v>203</v>
      </c>
      <c r="EU21" s="6" t="s">
        <v>203</v>
      </c>
      <c r="EV21" s="6" t="s">
        <v>202</v>
      </c>
      <c r="EW21" s="6"/>
      <c r="EX21" s="6"/>
      <c r="EY21" s="6" t="s">
        <v>203</v>
      </c>
      <c r="EZ21" s="6" t="s">
        <v>205</v>
      </c>
      <c r="FA21" s="6" t="s">
        <v>203</v>
      </c>
      <c r="FB21" s="6" t="s">
        <v>203</v>
      </c>
      <c r="FC21" s="6" t="s">
        <v>203</v>
      </c>
      <c r="FD21" s="6" t="s">
        <v>205</v>
      </c>
      <c r="FE21" s="6" t="s">
        <v>203</v>
      </c>
      <c r="FF21" s="6" t="s">
        <v>203</v>
      </c>
      <c r="FG21" s="6" t="s">
        <v>205</v>
      </c>
      <c r="FH21" s="6" t="s">
        <v>203</v>
      </c>
      <c r="FI21" s="6" t="s">
        <v>203</v>
      </c>
      <c r="FJ21" s="6" t="s">
        <v>205</v>
      </c>
      <c r="FK21" s="6" t="s">
        <v>204</v>
      </c>
      <c r="FL21" s="6" t="s">
        <v>203</v>
      </c>
      <c r="FM21" s="6" t="s">
        <v>204</v>
      </c>
      <c r="FN21" s="6" t="s">
        <v>205</v>
      </c>
      <c r="FO21" s="6" t="s">
        <v>203</v>
      </c>
      <c r="FP21" s="6" t="s">
        <v>203</v>
      </c>
      <c r="FQ21" s="6" t="s">
        <v>205</v>
      </c>
      <c r="FR21" s="6" t="s">
        <v>203</v>
      </c>
      <c r="FS21" s="6" t="s">
        <v>205</v>
      </c>
      <c r="FT21" s="6" t="s">
        <v>205</v>
      </c>
      <c r="FU21" s="6" t="s">
        <v>205</v>
      </c>
      <c r="FV21" s="6"/>
      <c r="FW21" s="6" t="s">
        <v>238</v>
      </c>
      <c r="FX21" s="6"/>
      <c r="FY21" s="6" t="s">
        <v>202</v>
      </c>
      <c r="FZ21" s="6" t="s">
        <v>202</v>
      </c>
      <c r="GA21" s="6" t="s">
        <v>202</v>
      </c>
      <c r="GB21" s="6" t="s">
        <v>202</v>
      </c>
      <c r="GC21" s="6"/>
      <c r="GD21" s="6"/>
      <c r="GE21" s="6" t="s">
        <v>201</v>
      </c>
      <c r="GF21" s="6" t="s">
        <v>201</v>
      </c>
      <c r="GG21" s="6" t="s">
        <v>201</v>
      </c>
      <c r="GH21" s="6" t="s">
        <v>205</v>
      </c>
      <c r="GI21" s="6" t="s">
        <v>201</v>
      </c>
      <c r="GJ21" s="6" t="s">
        <v>202</v>
      </c>
      <c r="GK21" s="6" t="s">
        <v>326</v>
      </c>
      <c r="GL21" s="7">
        <f>DATE(2025,6,4)+TIME(19,41,40)</f>
        <v>45812.820601851854</v>
      </c>
    </row>
    <row r="22" spans="1:194" ht="409.5" x14ac:dyDescent="0.25">
      <c r="A22" s="3" t="s">
        <v>327</v>
      </c>
      <c r="B22" s="3" t="s">
        <v>328</v>
      </c>
      <c r="C22" s="3" t="s">
        <v>329</v>
      </c>
      <c r="D22" s="3" t="s">
        <v>330</v>
      </c>
      <c r="E22" s="3"/>
      <c r="F22" s="3" t="s">
        <v>269</v>
      </c>
      <c r="G22" s="3"/>
      <c r="H22" s="3"/>
      <c r="I22" s="3"/>
      <c r="J22" s="3"/>
      <c r="K22" s="3"/>
      <c r="L22" s="3"/>
      <c r="M22" s="3"/>
      <c r="N22" s="3"/>
      <c r="O22" s="3"/>
      <c r="P22" s="3"/>
      <c r="Q22" s="3"/>
      <c r="R22" s="3"/>
      <c r="S22" s="3"/>
      <c r="T22" s="3"/>
      <c r="U22" s="3"/>
      <c r="V22" s="3"/>
      <c r="W22" s="3" t="s">
        <v>331</v>
      </c>
      <c r="X22" s="3"/>
      <c r="Y22" s="3"/>
      <c r="Z22" s="3"/>
      <c r="AA22" s="3"/>
      <c r="AB22" s="3"/>
      <c r="AC22" s="3"/>
      <c r="AD22" s="3"/>
      <c r="AE22" s="3"/>
      <c r="AF22" s="4" t="s">
        <v>331</v>
      </c>
      <c r="AG22" s="3" t="s">
        <v>235</v>
      </c>
      <c r="AH22" s="3" t="s">
        <v>202</v>
      </c>
      <c r="AI22" s="3" t="s">
        <v>202</v>
      </c>
      <c r="AJ22" s="3" t="s">
        <v>202</v>
      </c>
      <c r="AK22" s="3" t="s">
        <v>202</v>
      </c>
      <c r="AL22" s="3" t="s">
        <v>202</v>
      </c>
      <c r="AM22" s="3" t="s">
        <v>204</v>
      </c>
      <c r="AN22" s="3" t="s">
        <v>204</v>
      </c>
      <c r="AO22" s="3" t="s">
        <v>202</v>
      </c>
      <c r="AP22" s="3" t="s">
        <v>204</v>
      </c>
      <c r="AQ22" s="3" t="s">
        <v>204</v>
      </c>
      <c r="AR22" s="3" t="s">
        <v>202</v>
      </c>
      <c r="AS22" s="3"/>
      <c r="AT22" s="3" t="s">
        <v>205</v>
      </c>
      <c r="AU22" s="3" t="s">
        <v>202</v>
      </c>
      <c r="AV22" s="3" t="s">
        <v>203</v>
      </c>
      <c r="AW22" s="3" t="s">
        <v>203</v>
      </c>
      <c r="AX22" s="3" t="s">
        <v>203</v>
      </c>
      <c r="AY22" s="3" t="s">
        <v>204</v>
      </c>
      <c r="AZ22" s="3" t="s">
        <v>203</v>
      </c>
      <c r="BA22" s="3" t="s">
        <v>201</v>
      </c>
      <c r="BB22" s="3" t="s">
        <v>202</v>
      </c>
      <c r="BC22" s="3" t="s">
        <v>203</v>
      </c>
      <c r="BD22" s="3" t="s">
        <v>203</v>
      </c>
      <c r="BE22" s="3" t="s">
        <v>203</v>
      </c>
      <c r="BF22" s="3" t="s">
        <v>203</v>
      </c>
      <c r="BG22" s="3" t="s">
        <v>203</v>
      </c>
      <c r="BH22" s="3" t="s">
        <v>203</v>
      </c>
      <c r="BI22" s="3" t="s">
        <v>204</v>
      </c>
      <c r="BJ22" s="3" t="s">
        <v>203</v>
      </c>
      <c r="BK22" s="3" t="s">
        <v>201</v>
      </c>
      <c r="BL22" s="3" t="s">
        <v>202</v>
      </c>
      <c r="BM22" s="3" t="s">
        <v>202</v>
      </c>
      <c r="BN22" s="3" t="s">
        <v>203</v>
      </c>
      <c r="BO22" s="3" t="s">
        <v>201</v>
      </c>
      <c r="BP22" s="3" t="s">
        <v>203</v>
      </c>
      <c r="BQ22" s="3" t="s">
        <v>203</v>
      </c>
      <c r="BR22" s="3" t="s">
        <v>204</v>
      </c>
      <c r="BS22" s="3"/>
      <c r="BT22" s="3" t="s">
        <v>206</v>
      </c>
      <c r="BU22" s="3" t="s">
        <v>201</v>
      </c>
      <c r="BV22" s="3" t="s">
        <v>202</v>
      </c>
      <c r="BW22" s="3" t="s">
        <v>204</v>
      </c>
      <c r="BX22" s="3" t="s">
        <v>201</v>
      </c>
      <c r="BY22" s="3" t="s">
        <v>202</v>
      </c>
      <c r="BZ22" s="3" t="s">
        <v>204</v>
      </c>
      <c r="CA22" s="3" t="s">
        <v>201</v>
      </c>
      <c r="CB22" s="3" t="s">
        <v>202</v>
      </c>
      <c r="CC22" s="3" t="s">
        <v>204</v>
      </c>
      <c r="CD22" s="3" t="s">
        <v>201</v>
      </c>
      <c r="CE22" s="3" t="s">
        <v>202</v>
      </c>
      <c r="CF22" s="3" t="s">
        <v>204</v>
      </c>
      <c r="CG22" s="3"/>
      <c r="CH22" s="3" t="s">
        <v>207</v>
      </c>
      <c r="CI22" s="3" t="s">
        <v>207</v>
      </c>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t="s">
        <v>209</v>
      </c>
      <c r="DS22" s="3"/>
      <c r="DT22" s="3" t="s">
        <v>214</v>
      </c>
      <c r="DU22" s="3" t="s">
        <v>294</v>
      </c>
      <c r="DV22" s="3"/>
      <c r="DW22" s="3" t="s">
        <v>208</v>
      </c>
      <c r="DX22" s="3" t="s">
        <v>246</v>
      </c>
      <c r="DY22" s="3" t="s">
        <v>247</v>
      </c>
      <c r="DZ22" s="3" t="s">
        <v>219</v>
      </c>
      <c r="EA22" s="3"/>
      <c r="EB22" s="3"/>
      <c r="EC22" s="3" t="s">
        <v>204</v>
      </c>
      <c r="ED22" s="3" t="s">
        <v>204</v>
      </c>
      <c r="EE22" s="3" t="s">
        <v>204</v>
      </c>
      <c r="EF22" s="3" t="s">
        <v>203</v>
      </c>
      <c r="EG22" s="3" t="s">
        <v>203</v>
      </c>
      <c r="EH22" s="3" t="s">
        <v>203</v>
      </c>
      <c r="EI22" s="3" t="s">
        <v>201</v>
      </c>
      <c r="EJ22" s="3" t="s">
        <v>201</v>
      </c>
      <c r="EK22" s="3" t="s">
        <v>201</v>
      </c>
      <c r="EL22" s="3" t="s">
        <v>201</v>
      </c>
      <c r="EM22" s="3"/>
      <c r="EN22" s="3"/>
      <c r="EO22" s="3"/>
      <c r="EP22" s="3"/>
      <c r="EQ22" s="3" t="s">
        <v>203</v>
      </c>
      <c r="ER22" s="3" t="s">
        <v>205</v>
      </c>
      <c r="ES22" s="3"/>
      <c r="ET22" s="3" t="s">
        <v>202</v>
      </c>
      <c r="EU22" s="3" t="s">
        <v>202</v>
      </c>
      <c r="EV22" s="3" t="s">
        <v>203</v>
      </c>
      <c r="EW22" s="3"/>
      <c r="EX22" s="3"/>
      <c r="EY22" s="3" t="s">
        <v>203</v>
      </c>
      <c r="EZ22" s="3" t="s">
        <v>203</v>
      </c>
      <c r="FA22" s="3" t="s">
        <v>202</v>
      </c>
      <c r="FB22" s="3" t="s">
        <v>203</v>
      </c>
      <c r="FC22" s="3" t="s">
        <v>203</v>
      </c>
      <c r="FD22" s="3" t="s">
        <v>204</v>
      </c>
      <c r="FE22" s="3" t="s">
        <v>203</v>
      </c>
      <c r="FF22" s="3" t="s">
        <v>203</v>
      </c>
      <c r="FG22" s="3" t="s">
        <v>203</v>
      </c>
      <c r="FH22" s="3"/>
      <c r="FI22" s="3"/>
      <c r="FJ22" s="3"/>
      <c r="FK22" s="3"/>
      <c r="FL22" s="3"/>
      <c r="FM22" s="3"/>
      <c r="FN22" s="3"/>
      <c r="FO22" s="3"/>
      <c r="FP22" s="3"/>
      <c r="FQ22" s="3"/>
      <c r="FR22" s="3" t="s">
        <v>201</v>
      </c>
      <c r="FS22" s="3" t="s">
        <v>203</v>
      </c>
      <c r="FT22" s="3" t="s">
        <v>204</v>
      </c>
      <c r="FU22" s="3" t="s">
        <v>204</v>
      </c>
      <c r="FV22" s="3"/>
      <c r="FW22" s="3" t="s">
        <v>238</v>
      </c>
      <c r="FX22" s="3"/>
      <c r="FY22" s="3" t="s">
        <v>201</v>
      </c>
      <c r="FZ22" s="3" t="s">
        <v>203</v>
      </c>
      <c r="GA22" s="3" t="s">
        <v>202</v>
      </c>
      <c r="GB22" s="3" t="s">
        <v>203</v>
      </c>
      <c r="GC22" s="3" t="s">
        <v>204</v>
      </c>
      <c r="GD22" s="3"/>
      <c r="GE22" s="3" t="s">
        <v>202</v>
      </c>
      <c r="GF22" s="3" t="s">
        <v>202</v>
      </c>
      <c r="GG22" s="3" t="s">
        <v>202</v>
      </c>
      <c r="GH22" s="3" t="s">
        <v>203</v>
      </c>
      <c r="GI22" s="3" t="s">
        <v>203</v>
      </c>
      <c r="GJ22" s="3" t="s">
        <v>202</v>
      </c>
      <c r="GK22" s="11" t="s">
        <v>332</v>
      </c>
      <c r="GL22" s="5">
        <f>DATE(2025,6,4)+TIME(16,47,47)</f>
        <v>45812.699849537035</v>
      </c>
    </row>
    <row r="23" spans="1:194" ht="110.25" x14ac:dyDescent="0.25">
      <c r="A23" s="6"/>
      <c r="B23" s="6"/>
      <c r="C23" s="6" t="s">
        <v>333</v>
      </c>
      <c r="D23" s="6" t="s">
        <v>334</v>
      </c>
      <c r="E23" s="6"/>
      <c r="F23" s="6" t="s">
        <v>335</v>
      </c>
      <c r="G23" s="6"/>
      <c r="H23" s="6"/>
      <c r="I23" s="6"/>
      <c r="J23" s="6"/>
      <c r="K23" s="6"/>
      <c r="L23" s="6"/>
      <c r="M23" s="6"/>
      <c r="N23" s="6"/>
      <c r="O23" s="6" t="s">
        <v>336</v>
      </c>
      <c r="P23" s="6"/>
      <c r="Q23" s="6"/>
      <c r="R23" s="6"/>
      <c r="S23" s="6"/>
      <c r="T23" s="6"/>
      <c r="U23" s="6"/>
      <c r="V23" s="6"/>
      <c r="W23" s="6"/>
      <c r="X23" s="6"/>
      <c r="Y23" s="6"/>
      <c r="Z23" s="6"/>
      <c r="AA23" s="6"/>
      <c r="AB23" s="6"/>
      <c r="AC23" s="6"/>
      <c r="AD23" s="6"/>
      <c r="AE23" s="6"/>
      <c r="AF23" s="4" t="s">
        <v>336</v>
      </c>
      <c r="AG23" s="6" t="s">
        <v>213</v>
      </c>
      <c r="AH23" s="6" t="s">
        <v>202</v>
      </c>
      <c r="AI23" s="6" t="s">
        <v>203</v>
      </c>
      <c r="AJ23" s="6" t="s">
        <v>204</v>
      </c>
      <c r="AK23" s="6" t="s">
        <v>203</v>
      </c>
      <c r="AL23" s="6" t="s">
        <v>203</v>
      </c>
      <c r="AM23" s="6" t="s">
        <v>203</v>
      </c>
      <c r="AN23" s="6" t="s">
        <v>204</v>
      </c>
      <c r="AO23" s="6" t="s">
        <v>202</v>
      </c>
      <c r="AP23" s="6" t="s">
        <v>203</v>
      </c>
      <c r="AQ23" s="6" t="s">
        <v>203</v>
      </c>
      <c r="AR23" s="6" t="s">
        <v>202</v>
      </c>
      <c r="AS23" s="6"/>
      <c r="AT23" s="6" t="s">
        <v>201</v>
      </c>
      <c r="AU23" s="6" t="s">
        <v>203</v>
      </c>
      <c r="AV23" s="6" t="s">
        <v>205</v>
      </c>
      <c r="AW23" s="6" t="s">
        <v>203</v>
      </c>
      <c r="AX23" s="6" t="s">
        <v>203</v>
      </c>
      <c r="AY23" s="6" t="s">
        <v>201</v>
      </c>
      <c r="AZ23" s="6" t="s">
        <v>203</v>
      </c>
      <c r="BA23" s="6" t="s">
        <v>205</v>
      </c>
      <c r="BB23" s="6" t="s">
        <v>203</v>
      </c>
      <c r="BC23" s="6" t="s">
        <v>203</v>
      </c>
      <c r="BD23" s="6" t="s">
        <v>201</v>
      </c>
      <c r="BE23" s="6" t="s">
        <v>204</v>
      </c>
      <c r="BF23" s="6" t="s">
        <v>204</v>
      </c>
      <c r="BG23" s="6" t="s">
        <v>204</v>
      </c>
      <c r="BH23" s="6" t="s">
        <v>204</v>
      </c>
      <c r="BI23" s="6" t="s">
        <v>204</v>
      </c>
      <c r="BJ23" s="6" t="s">
        <v>203</v>
      </c>
      <c r="BK23" s="6" t="s">
        <v>205</v>
      </c>
      <c r="BL23" s="6" t="s">
        <v>203</v>
      </c>
      <c r="BM23" s="6" t="s">
        <v>203</v>
      </c>
      <c r="BN23" s="6" t="s">
        <v>201</v>
      </c>
      <c r="BO23" s="6" t="s">
        <v>202</v>
      </c>
      <c r="BP23" s="6" t="s">
        <v>202</v>
      </c>
      <c r="BQ23" s="6" t="s">
        <v>204</v>
      </c>
      <c r="BR23" s="6" t="s">
        <v>204</v>
      </c>
      <c r="BS23" s="6"/>
      <c r="BT23" s="6" t="s">
        <v>206</v>
      </c>
      <c r="BU23" s="6" t="s">
        <v>201</v>
      </c>
      <c r="BV23" s="6" t="s">
        <v>201</v>
      </c>
      <c r="BW23" s="6" t="s">
        <v>201</v>
      </c>
      <c r="BX23" s="6" t="s">
        <v>201</v>
      </c>
      <c r="BY23" s="6" t="s">
        <v>201</v>
      </c>
      <c r="BZ23" s="6" t="s">
        <v>201</v>
      </c>
      <c r="CA23" s="6" t="s">
        <v>201</v>
      </c>
      <c r="CB23" s="6" t="s">
        <v>201</v>
      </c>
      <c r="CC23" s="6" t="s">
        <v>201</v>
      </c>
      <c r="CD23" s="6" t="s">
        <v>201</v>
      </c>
      <c r="CE23" s="6" t="s">
        <v>201</v>
      </c>
      <c r="CF23" s="6" t="s">
        <v>201</v>
      </c>
      <c r="CG23" s="6"/>
      <c r="CH23" s="6" t="s">
        <v>207</v>
      </c>
      <c r="CI23" s="6" t="s">
        <v>207</v>
      </c>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t="s">
        <v>209</v>
      </c>
      <c r="DS23" s="6"/>
      <c r="DT23" s="6"/>
      <c r="DU23" s="6" t="s">
        <v>294</v>
      </c>
      <c r="DV23" s="6" t="s">
        <v>337</v>
      </c>
      <c r="DW23" s="6" t="s">
        <v>208</v>
      </c>
      <c r="DX23" s="6" t="s">
        <v>246</v>
      </c>
      <c r="DY23" s="6" t="s">
        <v>247</v>
      </c>
      <c r="DZ23" s="6" t="s">
        <v>219</v>
      </c>
      <c r="EA23" s="6"/>
      <c r="EB23" s="6"/>
      <c r="EC23" s="6" t="s">
        <v>203</v>
      </c>
      <c r="ED23" s="6" t="s">
        <v>205</v>
      </c>
      <c r="EE23" s="6" t="s">
        <v>204</v>
      </c>
      <c r="EF23" s="6" t="s">
        <v>205</v>
      </c>
      <c r="EG23" s="6" t="s">
        <v>202</v>
      </c>
      <c r="EH23" s="6" t="s">
        <v>202</v>
      </c>
      <c r="EI23" s="6" t="s">
        <v>202</v>
      </c>
      <c r="EJ23" s="6" t="s">
        <v>201</v>
      </c>
      <c r="EK23" s="6" t="s">
        <v>205</v>
      </c>
      <c r="EL23" s="6" t="s">
        <v>201</v>
      </c>
      <c r="EM23" s="6"/>
      <c r="EN23" s="6"/>
      <c r="EO23" s="6"/>
      <c r="EP23" s="6"/>
      <c r="EQ23" s="6" t="s">
        <v>205</v>
      </c>
      <c r="ER23" s="6" t="s">
        <v>205</v>
      </c>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t="s">
        <v>201</v>
      </c>
      <c r="FZ23" s="6" t="s">
        <v>201</v>
      </c>
      <c r="GA23" s="6" t="s">
        <v>201</v>
      </c>
      <c r="GB23" s="6" t="s">
        <v>201</v>
      </c>
      <c r="GC23" s="6"/>
      <c r="GD23" s="6"/>
      <c r="GE23" s="6" t="s">
        <v>201</v>
      </c>
      <c r="GF23" s="6" t="s">
        <v>201</v>
      </c>
      <c r="GG23" s="6" t="s">
        <v>201</v>
      </c>
      <c r="GH23" s="6" t="s">
        <v>202</v>
      </c>
      <c r="GI23" s="6" t="s">
        <v>202</v>
      </c>
      <c r="GJ23" s="6" t="s">
        <v>202</v>
      </c>
      <c r="GK23" s="6"/>
      <c r="GL23" s="7">
        <f>DATE(2025,6,4)+TIME(13,37,7)</f>
        <v>45812.567442129628</v>
      </c>
    </row>
    <row r="24" spans="1:194" ht="110.25" x14ac:dyDescent="0.25">
      <c r="A24" s="3" t="s">
        <v>289</v>
      </c>
      <c r="B24" s="3" t="s">
        <v>290</v>
      </c>
      <c r="C24" s="3" t="s">
        <v>291</v>
      </c>
      <c r="D24" s="3" t="s">
        <v>338</v>
      </c>
      <c r="E24" s="3"/>
      <c r="F24" s="3" t="s">
        <v>233</v>
      </c>
      <c r="G24" s="3"/>
      <c r="H24" s="3"/>
      <c r="I24" s="3"/>
      <c r="J24" s="3"/>
      <c r="K24" s="3"/>
      <c r="L24" s="3"/>
      <c r="M24" s="3"/>
      <c r="N24" s="3"/>
      <c r="O24" s="3"/>
      <c r="P24" s="3"/>
      <c r="Q24" s="3"/>
      <c r="R24" s="3"/>
      <c r="S24" s="3"/>
      <c r="T24" s="3"/>
      <c r="U24" s="3"/>
      <c r="V24" s="3"/>
      <c r="W24" s="3"/>
      <c r="X24" s="3"/>
      <c r="Y24" s="3"/>
      <c r="Z24" s="3"/>
      <c r="AA24" s="3"/>
      <c r="AB24" s="3" t="s">
        <v>339</v>
      </c>
      <c r="AC24" s="3"/>
      <c r="AD24" s="3"/>
      <c r="AE24" s="3"/>
      <c r="AF24" s="4" t="s">
        <v>339</v>
      </c>
      <c r="AG24" s="3" t="s">
        <v>235</v>
      </c>
      <c r="AH24" s="3" t="s">
        <v>203</v>
      </c>
      <c r="AI24" s="3" t="s">
        <v>205</v>
      </c>
      <c r="AJ24" s="3" t="s">
        <v>204</v>
      </c>
      <c r="AK24" s="3" t="s">
        <v>204</v>
      </c>
      <c r="AL24" s="3" t="s">
        <v>204</v>
      </c>
      <c r="AM24" s="3" t="s">
        <v>204</v>
      </c>
      <c r="AN24" s="3" t="s">
        <v>204</v>
      </c>
      <c r="AO24" s="3" t="s">
        <v>205</v>
      </c>
      <c r="AP24" s="3" t="s">
        <v>205</v>
      </c>
      <c r="AQ24" s="3" t="s">
        <v>205</v>
      </c>
      <c r="AR24" s="3" t="s">
        <v>205</v>
      </c>
      <c r="AS24" s="3"/>
      <c r="AT24" s="3" t="s">
        <v>205</v>
      </c>
      <c r="AU24" s="3" t="s">
        <v>203</v>
      </c>
      <c r="AV24" s="3" t="s">
        <v>203</v>
      </c>
      <c r="AW24" s="3" t="s">
        <v>205</v>
      </c>
      <c r="AX24" s="3" t="s">
        <v>205</v>
      </c>
      <c r="AY24" s="3" t="s">
        <v>204</v>
      </c>
      <c r="AZ24" s="3" t="s">
        <v>203</v>
      </c>
      <c r="BA24" s="3" t="s">
        <v>202</v>
      </c>
      <c r="BB24" s="3" t="s">
        <v>203</v>
      </c>
      <c r="BC24" s="3" t="s">
        <v>205</v>
      </c>
      <c r="BD24" s="3" t="s">
        <v>204</v>
      </c>
      <c r="BE24" s="3" t="s">
        <v>204</v>
      </c>
      <c r="BF24" s="3" t="s">
        <v>204</v>
      </c>
      <c r="BG24" s="3" t="s">
        <v>204</v>
      </c>
      <c r="BH24" s="3" t="s">
        <v>204</v>
      </c>
      <c r="BI24" s="3" t="s">
        <v>204</v>
      </c>
      <c r="BJ24" s="3" t="s">
        <v>203</v>
      </c>
      <c r="BK24" s="3" t="s">
        <v>205</v>
      </c>
      <c r="BL24" s="3" t="s">
        <v>203</v>
      </c>
      <c r="BM24" s="3" t="s">
        <v>205</v>
      </c>
      <c r="BN24" s="3" t="s">
        <v>204</v>
      </c>
      <c r="BO24" s="3" t="s">
        <v>203</v>
      </c>
      <c r="BP24" s="3" t="s">
        <v>205</v>
      </c>
      <c r="BQ24" s="3" t="s">
        <v>203</v>
      </c>
      <c r="BR24" s="3"/>
      <c r="BS24" s="3"/>
      <c r="BT24" s="3" t="s">
        <v>206</v>
      </c>
      <c r="BU24" s="3" t="s">
        <v>201</v>
      </c>
      <c r="BV24" s="3" t="s">
        <v>203</v>
      </c>
      <c r="BW24" s="3" t="s">
        <v>201</v>
      </c>
      <c r="BX24" s="3" t="s">
        <v>203</v>
      </c>
      <c r="BY24" s="3" t="s">
        <v>203</v>
      </c>
      <c r="BZ24" s="3" t="s">
        <v>203</v>
      </c>
      <c r="CA24" s="3" t="s">
        <v>204</v>
      </c>
      <c r="CB24" s="3" t="s">
        <v>204</v>
      </c>
      <c r="CC24" s="3" t="s">
        <v>204</v>
      </c>
      <c r="CD24" s="3" t="s">
        <v>203</v>
      </c>
      <c r="CE24" s="3" t="s">
        <v>203</v>
      </c>
      <c r="CF24" s="3" t="s">
        <v>203</v>
      </c>
      <c r="CG24" s="3"/>
      <c r="CH24" s="3" t="s">
        <v>207</v>
      </c>
      <c r="CI24" s="3" t="s">
        <v>207</v>
      </c>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t="s">
        <v>237</v>
      </c>
      <c r="DR24" s="3"/>
      <c r="DS24" s="3"/>
      <c r="DT24" s="3"/>
      <c r="DU24" s="3" t="s">
        <v>294</v>
      </c>
      <c r="DV24" s="3"/>
      <c r="DW24" s="3" t="s">
        <v>207</v>
      </c>
      <c r="DX24" s="3"/>
      <c r="DY24" s="3"/>
      <c r="DZ24" s="3"/>
      <c r="EA24" s="3"/>
      <c r="EB24" s="3"/>
      <c r="EC24" s="3"/>
      <c r="ED24" s="3"/>
      <c r="EE24" s="3"/>
      <c r="EF24" s="3" t="s">
        <v>204</v>
      </c>
      <c r="EG24" s="3" t="s">
        <v>204</v>
      </c>
      <c r="EH24" s="3" t="s">
        <v>204</v>
      </c>
      <c r="EI24" s="3" t="s">
        <v>204</v>
      </c>
      <c r="EJ24" s="3" t="s">
        <v>204</v>
      </c>
      <c r="EK24" s="3" t="s">
        <v>204</v>
      </c>
      <c r="EL24" s="3" t="s">
        <v>204</v>
      </c>
      <c r="EM24" s="3"/>
      <c r="EN24" s="3"/>
      <c r="EO24" s="3"/>
      <c r="EP24" s="3"/>
      <c r="EQ24" s="3" t="s">
        <v>205</v>
      </c>
      <c r="ER24" s="3" t="s">
        <v>205</v>
      </c>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t="s">
        <v>202</v>
      </c>
      <c r="FZ24" s="3" t="s">
        <v>203</v>
      </c>
      <c r="GA24" s="3" t="s">
        <v>203</v>
      </c>
      <c r="GB24" s="3" t="s">
        <v>203</v>
      </c>
      <c r="GC24" s="3"/>
      <c r="GD24" s="3"/>
      <c r="GE24" s="3" t="s">
        <v>203</v>
      </c>
      <c r="GF24" s="3" t="s">
        <v>203</v>
      </c>
      <c r="GG24" s="3" t="s">
        <v>201</v>
      </c>
      <c r="GH24" s="3" t="s">
        <v>205</v>
      </c>
      <c r="GI24" s="3" t="s">
        <v>203</v>
      </c>
      <c r="GJ24" s="3" t="s">
        <v>201</v>
      </c>
      <c r="GK24" s="3"/>
      <c r="GL24" s="5">
        <f>DATE(2025,6,4)+TIME(10,31,40)</f>
        <v>45812.438657407409</v>
      </c>
    </row>
    <row r="25" spans="1:194" ht="409.5" x14ac:dyDescent="0.25">
      <c r="A25" s="6" t="s">
        <v>289</v>
      </c>
      <c r="B25" s="6" t="s">
        <v>290</v>
      </c>
      <c r="C25" s="6" t="s">
        <v>291</v>
      </c>
      <c r="D25" s="6" t="s">
        <v>340</v>
      </c>
      <c r="E25" s="6"/>
      <c r="F25" s="6" t="s">
        <v>233</v>
      </c>
      <c r="G25" s="6"/>
      <c r="H25" s="6"/>
      <c r="I25" s="6"/>
      <c r="J25" s="6"/>
      <c r="K25" s="6"/>
      <c r="L25" s="6"/>
      <c r="M25" s="6"/>
      <c r="N25" s="6"/>
      <c r="O25" s="6"/>
      <c r="P25" s="6"/>
      <c r="Q25" s="6"/>
      <c r="R25" s="6"/>
      <c r="S25" s="6"/>
      <c r="T25" s="6"/>
      <c r="U25" s="6"/>
      <c r="V25" s="6"/>
      <c r="W25" s="6"/>
      <c r="X25" s="6"/>
      <c r="Y25" s="6"/>
      <c r="Z25" s="6"/>
      <c r="AA25" s="6"/>
      <c r="AB25" s="6" t="s">
        <v>341</v>
      </c>
      <c r="AC25" s="6"/>
      <c r="AD25" s="6"/>
      <c r="AE25" s="6"/>
      <c r="AF25" s="4" t="s">
        <v>341</v>
      </c>
      <c r="AG25" s="6" t="s">
        <v>213</v>
      </c>
      <c r="AH25" s="6" t="s">
        <v>201</v>
      </c>
      <c r="AI25" s="6" t="s">
        <v>201</v>
      </c>
      <c r="AJ25" s="6" t="s">
        <v>204</v>
      </c>
      <c r="AK25" s="6" t="s">
        <v>201</v>
      </c>
      <c r="AL25" s="6" t="s">
        <v>201</v>
      </c>
      <c r="AM25" s="6" t="s">
        <v>205</v>
      </c>
      <c r="AN25" s="6" t="s">
        <v>204</v>
      </c>
      <c r="AO25" s="6" t="s">
        <v>201</v>
      </c>
      <c r="AP25" s="6" t="s">
        <v>201</v>
      </c>
      <c r="AQ25" s="6" t="s">
        <v>204</v>
      </c>
      <c r="AR25" s="6" t="s">
        <v>201</v>
      </c>
      <c r="AS25" s="6"/>
      <c r="AT25" s="6" t="s">
        <v>201</v>
      </c>
      <c r="AU25" s="6" t="s">
        <v>202</v>
      </c>
      <c r="AV25" s="6" t="s">
        <v>205</v>
      </c>
      <c r="AW25" s="6" t="s">
        <v>201</v>
      </c>
      <c r="AX25" s="6" t="s">
        <v>202</v>
      </c>
      <c r="AY25" s="6" t="s">
        <v>204</v>
      </c>
      <c r="AZ25" s="6" t="s">
        <v>201</v>
      </c>
      <c r="BA25" s="6" t="s">
        <v>204</v>
      </c>
      <c r="BB25" s="6" t="s">
        <v>201</v>
      </c>
      <c r="BC25" s="6" t="s">
        <v>201</v>
      </c>
      <c r="BD25" s="6" t="s">
        <v>201</v>
      </c>
      <c r="BE25" s="6" t="s">
        <v>204</v>
      </c>
      <c r="BF25" s="6" t="s">
        <v>204</v>
      </c>
      <c r="BG25" s="6" t="s">
        <v>204</v>
      </c>
      <c r="BH25" s="6" t="s">
        <v>204</v>
      </c>
      <c r="BI25" s="6" t="s">
        <v>204</v>
      </c>
      <c r="BJ25" s="6" t="s">
        <v>201</v>
      </c>
      <c r="BK25" s="6" t="s">
        <v>205</v>
      </c>
      <c r="BL25" s="6" t="s">
        <v>201</v>
      </c>
      <c r="BM25" s="6" t="s">
        <v>201</v>
      </c>
      <c r="BN25" s="6" t="s">
        <v>204</v>
      </c>
      <c r="BO25" s="6" t="s">
        <v>201</v>
      </c>
      <c r="BP25" s="6" t="s">
        <v>202</v>
      </c>
      <c r="BQ25" s="6" t="s">
        <v>203</v>
      </c>
      <c r="BR25" s="6" t="s">
        <v>204</v>
      </c>
      <c r="BS25" s="6"/>
      <c r="BT25" s="6" t="s">
        <v>206</v>
      </c>
      <c r="BU25" s="6" t="s">
        <v>201</v>
      </c>
      <c r="BV25" s="6" t="s">
        <v>203</v>
      </c>
      <c r="BW25" s="6" t="s">
        <v>201</v>
      </c>
      <c r="BX25" s="6" t="s">
        <v>201</v>
      </c>
      <c r="BY25" s="6" t="s">
        <v>202</v>
      </c>
      <c r="BZ25" s="6" t="s">
        <v>201</v>
      </c>
      <c r="CA25" s="6" t="s">
        <v>201</v>
      </c>
      <c r="CB25" s="6" t="s">
        <v>201</v>
      </c>
      <c r="CC25" s="6" t="s">
        <v>201</v>
      </c>
      <c r="CD25" s="6" t="s">
        <v>201</v>
      </c>
      <c r="CE25" s="6" t="s">
        <v>202</v>
      </c>
      <c r="CF25" s="6" t="s">
        <v>201</v>
      </c>
      <c r="CG25" s="6"/>
      <c r="CH25" s="6" t="s">
        <v>207</v>
      </c>
      <c r="CI25" s="6" t="s">
        <v>208</v>
      </c>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t="s">
        <v>209</v>
      </c>
      <c r="DS25" s="6" t="s">
        <v>288</v>
      </c>
      <c r="DT25" s="6"/>
      <c r="DU25" s="6"/>
      <c r="DV25" s="6"/>
      <c r="DW25" s="6" t="s">
        <v>208</v>
      </c>
      <c r="DX25" s="6" t="s">
        <v>246</v>
      </c>
      <c r="DY25" s="6" t="s">
        <v>247</v>
      </c>
      <c r="DZ25" s="6" t="s">
        <v>219</v>
      </c>
      <c r="EA25" s="6"/>
      <c r="EB25" s="6" t="s">
        <v>342</v>
      </c>
      <c r="EC25" s="6" t="s">
        <v>203</v>
      </c>
      <c r="ED25" s="6" t="s">
        <v>205</v>
      </c>
      <c r="EE25" s="6" t="s">
        <v>201</v>
      </c>
      <c r="EF25" s="6" t="s">
        <v>203</v>
      </c>
      <c r="EG25" s="6" t="s">
        <v>202</v>
      </c>
      <c r="EH25" s="6" t="s">
        <v>202</v>
      </c>
      <c r="EI25" s="6" t="s">
        <v>203</v>
      </c>
      <c r="EJ25" s="6" t="s">
        <v>201</v>
      </c>
      <c r="EK25" s="6" t="s">
        <v>205</v>
      </c>
      <c r="EL25" s="6" t="s">
        <v>202</v>
      </c>
      <c r="EM25" s="6" t="s">
        <v>201</v>
      </c>
      <c r="EN25" s="6" t="s">
        <v>201</v>
      </c>
      <c r="EO25" s="6" t="s">
        <v>203</v>
      </c>
      <c r="EP25" s="6"/>
      <c r="EQ25" s="6" t="s">
        <v>202</v>
      </c>
      <c r="ER25" s="6" t="s">
        <v>202</v>
      </c>
      <c r="ES25" s="6"/>
      <c r="ET25" s="6" t="s">
        <v>201</v>
      </c>
      <c r="EU25" s="6" t="s">
        <v>201</v>
      </c>
      <c r="EV25" s="6" t="s">
        <v>204</v>
      </c>
      <c r="EW25" s="6" t="s">
        <v>204</v>
      </c>
      <c r="EX25" s="6"/>
      <c r="EY25" s="6" t="s">
        <v>201</v>
      </c>
      <c r="EZ25" s="6" t="s">
        <v>203</v>
      </c>
      <c r="FA25" s="6" t="s">
        <v>202</v>
      </c>
      <c r="FB25" s="6" t="s">
        <v>202</v>
      </c>
      <c r="FC25" s="6" t="s">
        <v>202</v>
      </c>
      <c r="FD25" s="6" t="s">
        <v>202</v>
      </c>
      <c r="FE25" s="6" t="s">
        <v>202</v>
      </c>
      <c r="FF25" s="6" t="s">
        <v>202</v>
      </c>
      <c r="FG25" s="6" t="s">
        <v>202</v>
      </c>
      <c r="FH25" s="6" t="s">
        <v>202</v>
      </c>
      <c r="FI25" s="6" t="s">
        <v>202</v>
      </c>
      <c r="FJ25" s="6" t="s">
        <v>202</v>
      </c>
      <c r="FK25" s="6" t="s">
        <v>201</v>
      </c>
      <c r="FL25" s="6" t="s">
        <v>201</v>
      </c>
      <c r="FM25" s="6" t="s">
        <v>201</v>
      </c>
      <c r="FN25" s="6" t="s">
        <v>201</v>
      </c>
      <c r="FO25" s="6" t="s">
        <v>202</v>
      </c>
      <c r="FP25" s="6" t="s">
        <v>202</v>
      </c>
      <c r="FQ25" s="6" t="s">
        <v>201</v>
      </c>
      <c r="FR25" s="6" t="s">
        <v>202</v>
      </c>
      <c r="FS25" s="6" t="s">
        <v>202</v>
      </c>
      <c r="FT25" s="6" t="s">
        <v>202</v>
      </c>
      <c r="FU25" s="6" t="s">
        <v>204</v>
      </c>
      <c r="FV25" s="6"/>
      <c r="FW25" s="6" t="s">
        <v>238</v>
      </c>
      <c r="FX25" s="6"/>
      <c r="FY25" s="6" t="s">
        <v>201</v>
      </c>
      <c r="FZ25" s="6" t="s">
        <v>201</v>
      </c>
      <c r="GA25" s="6" t="s">
        <v>201</v>
      </c>
      <c r="GB25" s="6" t="s">
        <v>201</v>
      </c>
      <c r="GC25" s="6" t="s">
        <v>204</v>
      </c>
      <c r="GD25" s="6"/>
      <c r="GE25" s="6" t="s">
        <v>201</v>
      </c>
      <c r="GF25" s="6" t="s">
        <v>201</v>
      </c>
      <c r="GG25" s="6" t="s">
        <v>202</v>
      </c>
      <c r="GH25" s="6" t="s">
        <v>202</v>
      </c>
      <c r="GI25" s="6" t="s">
        <v>201</v>
      </c>
      <c r="GJ25" s="6" t="s">
        <v>201</v>
      </c>
      <c r="GK25" s="6" t="s">
        <v>343</v>
      </c>
      <c r="GL25" s="7">
        <f>DATE(2025,6,3)+TIME(10,11,9)</f>
        <v>45811.424409722225</v>
      </c>
    </row>
    <row r="26" spans="1:194" ht="409.5" x14ac:dyDescent="0.25">
      <c r="A26" s="3" t="s">
        <v>344</v>
      </c>
      <c r="B26" s="3" t="s">
        <v>345</v>
      </c>
      <c r="C26" s="3" t="s">
        <v>346</v>
      </c>
      <c r="D26" s="3" t="s">
        <v>347</v>
      </c>
      <c r="E26" s="3"/>
      <c r="F26" s="3" t="s">
        <v>335</v>
      </c>
      <c r="G26" s="3"/>
      <c r="H26" s="3"/>
      <c r="I26" s="3"/>
      <c r="J26" s="3"/>
      <c r="K26" s="3"/>
      <c r="L26" s="3"/>
      <c r="M26" s="3"/>
      <c r="N26" s="3"/>
      <c r="O26" s="3" t="s">
        <v>348</v>
      </c>
      <c r="P26" s="3"/>
      <c r="Q26" s="3"/>
      <c r="R26" s="3"/>
      <c r="S26" s="3"/>
      <c r="T26" s="3"/>
      <c r="U26" s="3"/>
      <c r="V26" s="3"/>
      <c r="W26" s="3"/>
      <c r="X26" s="3"/>
      <c r="Y26" s="3"/>
      <c r="Z26" s="3"/>
      <c r="AA26" s="3"/>
      <c r="AB26" s="3"/>
      <c r="AC26" s="3"/>
      <c r="AD26" s="3"/>
      <c r="AE26" s="3"/>
      <c r="AF26" s="4" t="s">
        <v>348</v>
      </c>
      <c r="AG26" s="3" t="s">
        <v>213</v>
      </c>
      <c r="AH26" s="3" t="s">
        <v>202</v>
      </c>
      <c r="AI26" s="3" t="s">
        <v>203</v>
      </c>
      <c r="AJ26" s="3" t="s">
        <v>204</v>
      </c>
      <c r="AK26" s="3" t="s">
        <v>204</v>
      </c>
      <c r="AL26" s="3" t="s">
        <v>204</v>
      </c>
      <c r="AM26" s="3" t="s">
        <v>205</v>
      </c>
      <c r="AN26" s="3" t="s">
        <v>205</v>
      </c>
      <c r="AO26" s="3" t="s">
        <v>204</v>
      </c>
      <c r="AP26" s="3" t="s">
        <v>204</v>
      </c>
      <c r="AQ26" s="3" t="s">
        <v>204</v>
      </c>
      <c r="AR26" s="3" t="s">
        <v>203</v>
      </c>
      <c r="AS26" s="3"/>
      <c r="AT26" s="3" t="s">
        <v>202</v>
      </c>
      <c r="AU26" s="3" t="s">
        <v>202</v>
      </c>
      <c r="AV26" s="3" t="s">
        <v>205</v>
      </c>
      <c r="AW26" s="3" t="s">
        <v>202</v>
      </c>
      <c r="AX26" s="3" t="s">
        <v>202</v>
      </c>
      <c r="AY26" s="3" t="s">
        <v>201</v>
      </c>
      <c r="AZ26" s="3" t="s">
        <v>203</v>
      </c>
      <c r="BA26" s="3" t="s">
        <v>205</v>
      </c>
      <c r="BB26" s="3" t="s">
        <v>203</v>
      </c>
      <c r="BC26" s="3" t="s">
        <v>203</v>
      </c>
      <c r="BD26" s="3" t="s">
        <v>202</v>
      </c>
      <c r="BE26" s="3" t="s">
        <v>204</v>
      </c>
      <c r="BF26" s="3" t="s">
        <v>204</v>
      </c>
      <c r="BG26" s="3" t="s">
        <v>204</v>
      </c>
      <c r="BH26" s="3" t="s">
        <v>204</v>
      </c>
      <c r="BI26" s="3" t="s">
        <v>204</v>
      </c>
      <c r="BJ26" s="3" t="s">
        <v>204</v>
      </c>
      <c r="BK26" s="3" t="s">
        <v>204</v>
      </c>
      <c r="BL26" s="3" t="s">
        <v>204</v>
      </c>
      <c r="BM26" s="3" t="s">
        <v>204</v>
      </c>
      <c r="BN26" s="3" t="s">
        <v>204</v>
      </c>
      <c r="BO26" s="3" t="s">
        <v>204</v>
      </c>
      <c r="BP26" s="3" t="s">
        <v>204</v>
      </c>
      <c r="BQ26" s="3" t="s">
        <v>204</v>
      </c>
      <c r="BR26" s="3" t="s">
        <v>204</v>
      </c>
      <c r="BS26" s="3"/>
      <c r="BT26" s="3" t="s">
        <v>210</v>
      </c>
      <c r="BU26" s="3" t="s">
        <v>201</v>
      </c>
      <c r="BV26" s="3" t="s">
        <v>203</v>
      </c>
      <c r="BW26" s="3" t="s">
        <v>202</v>
      </c>
      <c r="BX26" s="3" t="s">
        <v>201</v>
      </c>
      <c r="BY26" s="3" t="s">
        <v>203</v>
      </c>
      <c r="BZ26" s="3" t="s">
        <v>204</v>
      </c>
      <c r="CA26" s="3" t="s">
        <v>201</v>
      </c>
      <c r="CB26" s="3" t="s">
        <v>203</v>
      </c>
      <c r="CC26" s="3" t="s">
        <v>204</v>
      </c>
      <c r="CD26" s="3" t="s">
        <v>201</v>
      </c>
      <c r="CE26" s="3" t="s">
        <v>203</v>
      </c>
      <c r="CF26" s="3" t="s">
        <v>204</v>
      </c>
      <c r="CG26" s="3"/>
      <c r="CH26" s="3" t="s">
        <v>207</v>
      </c>
      <c r="CI26" s="3" t="s">
        <v>208</v>
      </c>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t="s">
        <v>294</v>
      </c>
      <c r="DV26" s="3"/>
      <c r="DW26" s="3" t="s">
        <v>208</v>
      </c>
      <c r="DX26" s="3" t="s">
        <v>246</v>
      </c>
      <c r="DY26" s="3"/>
      <c r="DZ26" s="3" t="s">
        <v>219</v>
      </c>
      <c r="EA26" s="3"/>
      <c r="EB26" s="3"/>
      <c r="EC26" s="3" t="s">
        <v>204</v>
      </c>
      <c r="ED26" s="3" t="s">
        <v>205</v>
      </c>
      <c r="EE26" s="3" t="s">
        <v>204</v>
      </c>
      <c r="EF26" s="3" t="s">
        <v>205</v>
      </c>
      <c r="EG26" s="3" t="s">
        <v>203</v>
      </c>
      <c r="EH26" s="3" t="s">
        <v>204</v>
      </c>
      <c r="EI26" s="3" t="s">
        <v>202</v>
      </c>
      <c r="EJ26" s="3" t="s">
        <v>201</v>
      </c>
      <c r="EK26" s="3" t="s">
        <v>205</v>
      </c>
      <c r="EL26" s="3" t="s">
        <v>202</v>
      </c>
      <c r="EM26" s="3" t="s">
        <v>204</v>
      </c>
      <c r="EN26" s="3" t="s">
        <v>205</v>
      </c>
      <c r="EO26" s="3" t="s">
        <v>201</v>
      </c>
      <c r="EP26" s="3"/>
      <c r="EQ26" s="3" t="s">
        <v>203</v>
      </c>
      <c r="ER26" s="3" t="s">
        <v>203</v>
      </c>
      <c r="ES26" s="3"/>
      <c r="ET26" s="3" t="s">
        <v>204</v>
      </c>
      <c r="EU26" s="3" t="s">
        <v>204</v>
      </c>
      <c r="EV26" s="3" t="s">
        <v>204</v>
      </c>
      <c r="EW26" s="3" t="s">
        <v>204</v>
      </c>
      <c r="EX26" s="3"/>
      <c r="EY26" s="3" t="s">
        <v>203</v>
      </c>
      <c r="EZ26" s="3" t="s">
        <v>205</v>
      </c>
      <c r="FA26" s="3" t="s">
        <v>202</v>
      </c>
      <c r="FB26" s="3" t="s">
        <v>202</v>
      </c>
      <c r="FC26" s="3" t="s">
        <v>204</v>
      </c>
      <c r="FD26" s="3" t="s">
        <v>204</v>
      </c>
      <c r="FE26" s="3" t="s">
        <v>204</v>
      </c>
      <c r="FF26" s="3" t="s">
        <v>204</v>
      </c>
      <c r="FG26" s="3" t="s">
        <v>204</v>
      </c>
      <c r="FH26" s="3" t="s">
        <v>202</v>
      </c>
      <c r="FI26" s="3" t="s">
        <v>203</v>
      </c>
      <c r="FJ26" s="3" t="s">
        <v>205</v>
      </c>
      <c r="FK26" s="3" t="s">
        <v>202</v>
      </c>
      <c r="FL26" s="3" t="s">
        <v>202</v>
      </c>
      <c r="FM26" s="3" t="s">
        <v>204</v>
      </c>
      <c r="FN26" s="3" t="s">
        <v>204</v>
      </c>
      <c r="FO26" s="3" t="s">
        <v>204</v>
      </c>
      <c r="FP26" s="3" t="s">
        <v>204</v>
      </c>
      <c r="FQ26" s="3" t="s">
        <v>204</v>
      </c>
      <c r="FR26" s="3" t="s">
        <v>204</v>
      </c>
      <c r="FS26" s="3" t="s">
        <v>204</v>
      </c>
      <c r="FT26" s="3" t="s">
        <v>204</v>
      </c>
      <c r="FU26" s="3" t="s">
        <v>204</v>
      </c>
      <c r="FV26" s="3"/>
      <c r="FW26" s="3" t="s">
        <v>210</v>
      </c>
      <c r="FX26" s="3"/>
      <c r="FY26" s="3" t="s">
        <v>202</v>
      </c>
      <c r="FZ26" s="3" t="s">
        <v>202</v>
      </c>
      <c r="GA26" s="3" t="s">
        <v>202</v>
      </c>
      <c r="GB26" s="3" t="s">
        <v>202</v>
      </c>
      <c r="GC26" s="3" t="s">
        <v>204</v>
      </c>
      <c r="GD26" s="3"/>
      <c r="GE26" s="3" t="s">
        <v>203</v>
      </c>
      <c r="GF26" s="3" t="s">
        <v>201</v>
      </c>
      <c r="GG26" s="3" t="s">
        <v>201</v>
      </c>
      <c r="GH26" s="3" t="s">
        <v>202</v>
      </c>
      <c r="GI26" s="3" t="s">
        <v>202</v>
      </c>
      <c r="GJ26" s="3" t="s">
        <v>201</v>
      </c>
      <c r="GK26" s="3" t="s">
        <v>349</v>
      </c>
      <c r="GL26" s="5">
        <f>DATE(2025,6,2)+TIME(14,10,22)</f>
        <v>45810.590532407405</v>
      </c>
    </row>
    <row r="27" spans="1:194" ht="47.25" x14ac:dyDescent="0.25">
      <c r="A27" s="6" t="s">
        <v>350</v>
      </c>
      <c r="B27" s="6" t="s">
        <v>351</v>
      </c>
      <c r="C27" s="6" t="s">
        <v>352</v>
      </c>
      <c r="D27" s="6" t="s">
        <v>353</v>
      </c>
      <c r="E27" s="6"/>
      <c r="F27" s="6" t="s">
        <v>198</v>
      </c>
      <c r="G27" s="6"/>
      <c r="H27" s="6"/>
      <c r="I27" s="6"/>
      <c r="J27" s="6"/>
      <c r="K27" s="6" t="s">
        <v>354</v>
      </c>
      <c r="L27" s="6"/>
      <c r="M27" s="6"/>
      <c r="N27" s="6"/>
      <c r="O27" s="6"/>
      <c r="P27" s="6"/>
      <c r="Q27" s="6"/>
      <c r="R27" s="6"/>
      <c r="S27" s="6"/>
      <c r="T27" s="6"/>
      <c r="U27" s="6"/>
      <c r="V27" s="6"/>
      <c r="W27" s="6"/>
      <c r="X27" s="6"/>
      <c r="Y27" s="6"/>
      <c r="Z27" s="6"/>
      <c r="AA27" s="6"/>
      <c r="AB27" s="6"/>
      <c r="AC27" s="6"/>
      <c r="AD27" s="6"/>
      <c r="AE27" s="6"/>
      <c r="AF27" s="4" t="s">
        <v>354</v>
      </c>
      <c r="AG27" s="6" t="s">
        <v>213</v>
      </c>
      <c r="AH27" s="6" t="s">
        <v>201</v>
      </c>
      <c r="AI27" s="6" t="s">
        <v>204</v>
      </c>
      <c r="AJ27" s="6" t="s">
        <v>204</v>
      </c>
      <c r="AK27" s="6" t="s">
        <v>201</v>
      </c>
      <c r="AL27" s="6" t="s">
        <v>201</v>
      </c>
      <c r="AM27" s="6" t="s">
        <v>201</v>
      </c>
      <c r="AN27" s="6" t="s">
        <v>201</v>
      </c>
      <c r="AO27" s="6" t="s">
        <v>201</v>
      </c>
      <c r="AP27" s="6" t="s">
        <v>201</v>
      </c>
      <c r="AQ27" s="6" t="s">
        <v>201</v>
      </c>
      <c r="AR27" s="6" t="s">
        <v>201</v>
      </c>
      <c r="AS27" s="6"/>
      <c r="AT27" s="6" t="s">
        <v>201</v>
      </c>
      <c r="AU27" s="6" t="s">
        <v>201</v>
      </c>
      <c r="AV27" s="6" t="s">
        <v>201</v>
      </c>
      <c r="AW27" s="6" t="s">
        <v>201</v>
      </c>
      <c r="AX27" s="6" t="s">
        <v>201</v>
      </c>
      <c r="AY27" s="6" t="s">
        <v>201</v>
      </c>
      <c r="AZ27" s="6" t="s">
        <v>204</v>
      </c>
      <c r="BA27" s="6" t="s">
        <v>204</v>
      </c>
      <c r="BB27" s="6" t="s">
        <v>204</v>
      </c>
      <c r="BC27" s="6" t="s">
        <v>204</v>
      </c>
      <c r="BD27" s="6" t="s">
        <v>204</v>
      </c>
      <c r="BE27" s="6" t="s">
        <v>204</v>
      </c>
      <c r="BF27" s="6" t="s">
        <v>204</v>
      </c>
      <c r="BG27" s="6" t="s">
        <v>204</v>
      </c>
      <c r="BH27" s="6" t="s">
        <v>204</v>
      </c>
      <c r="BI27" s="6" t="s">
        <v>204</v>
      </c>
      <c r="BJ27" s="6" t="s">
        <v>201</v>
      </c>
      <c r="BK27" s="6" t="s">
        <v>201</v>
      </c>
      <c r="BL27" s="6" t="s">
        <v>201</v>
      </c>
      <c r="BM27" s="6" t="s">
        <v>201</v>
      </c>
      <c r="BN27" s="6" t="s">
        <v>201</v>
      </c>
      <c r="BO27" s="6" t="s">
        <v>201</v>
      </c>
      <c r="BP27" s="6" t="s">
        <v>201</v>
      </c>
      <c r="BQ27" s="6" t="s">
        <v>201</v>
      </c>
      <c r="BR27" s="6" t="s">
        <v>204</v>
      </c>
      <c r="BS27" s="6"/>
      <c r="BT27" s="6" t="s">
        <v>210</v>
      </c>
      <c r="BU27" s="6" t="s">
        <v>201</v>
      </c>
      <c r="BV27" s="6" t="s">
        <v>201</v>
      </c>
      <c r="BW27" s="6" t="s">
        <v>201</v>
      </c>
      <c r="BX27" s="6" t="s">
        <v>201</v>
      </c>
      <c r="BY27" s="6" t="s">
        <v>201</v>
      </c>
      <c r="BZ27" s="6" t="s">
        <v>201</v>
      </c>
      <c r="CA27" s="6" t="s">
        <v>201</v>
      </c>
      <c r="CB27" s="6" t="s">
        <v>201</v>
      </c>
      <c r="CC27" s="6" t="s">
        <v>201</v>
      </c>
      <c r="CD27" s="6" t="s">
        <v>201</v>
      </c>
      <c r="CE27" s="6" t="s">
        <v>201</v>
      </c>
      <c r="CF27" s="6" t="s">
        <v>201</v>
      </c>
      <c r="CG27" s="6"/>
      <c r="CH27" s="6" t="s">
        <v>208</v>
      </c>
      <c r="CI27" s="6" t="s">
        <v>208</v>
      </c>
      <c r="CJ27" s="6" t="s">
        <v>201</v>
      </c>
      <c r="CK27" s="6" t="s">
        <v>201</v>
      </c>
      <c r="CL27" s="6" t="s">
        <v>201</v>
      </c>
      <c r="CM27" s="6" t="s">
        <v>201</v>
      </c>
      <c r="CN27" s="6" t="s">
        <v>201</v>
      </c>
      <c r="CO27" s="6" t="s">
        <v>201</v>
      </c>
      <c r="CP27" s="6" t="s">
        <v>201</v>
      </c>
      <c r="CQ27" s="6" t="s">
        <v>201</v>
      </c>
      <c r="CR27" s="6" t="s">
        <v>201</v>
      </c>
      <c r="CS27" s="6" t="s">
        <v>201</v>
      </c>
      <c r="CT27" s="6" t="s">
        <v>201</v>
      </c>
      <c r="CU27" s="6" t="s">
        <v>201</v>
      </c>
      <c r="CV27" s="6" t="s">
        <v>201</v>
      </c>
      <c r="CW27" s="6" t="s">
        <v>201</v>
      </c>
      <c r="CX27" s="6" t="s">
        <v>201</v>
      </c>
      <c r="CY27" s="6" t="s">
        <v>201</v>
      </c>
      <c r="CZ27" s="6" t="s">
        <v>201</v>
      </c>
      <c r="DA27" s="6" t="s">
        <v>201</v>
      </c>
      <c r="DB27" s="6" t="s">
        <v>264</v>
      </c>
      <c r="DC27" s="6" t="s">
        <v>258</v>
      </c>
      <c r="DD27" s="6" t="s">
        <v>259</v>
      </c>
      <c r="DE27" s="6" t="s">
        <v>355</v>
      </c>
      <c r="DF27" s="6" t="s">
        <v>217</v>
      </c>
      <c r="DG27" s="6"/>
      <c r="DH27" s="6" t="s">
        <v>204</v>
      </c>
      <c r="DI27" s="6" t="s">
        <v>201</v>
      </c>
      <c r="DJ27" s="6" t="s">
        <v>204</v>
      </c>
      <c r="DK27" s="6" t="s">
        <v>201</v>
      </c>
      <c r="DL27" s="6" t="s">
        <v>204</v>
      </c>
      <c r="DM27" s="6" t="s">
        <v>204</v>
      </c>
      <c r="DN27" s="6" t="s">
        <v>204</v>
      </c>
      <c r="DO27" s="6"/>
      <c r="DP27" s="6"/>
      <c r="DQ27" s="6"/>
      <c r="DR27" s="6"/>
      <c r="DS27" s="6"/>
      <c r="DT27" s="6"/>
      <c r="DU27" s="6"/>
      <c r="DV27" s="6"/>
      <c r="DW27" s="6" t="s">
        <v>228</v>
      </c>
      <c r="DX27" s="6"/>
      <c r="DY27" s="6"/>
      <c r="DZ27" s="6"/>
      <c r="EA27" s="6"/>
      <c r="EB27" s="6"/>
      <c r="EC27" s="6"/>
      <c r="ED27" s="6"/>
      <c r="EE27" s="6"/>
      <c r="EF27" s="6" t="s">
        <v>201</v>
      </c>
      <c r="EG27" s="6" t="s">
        <v>201</v>
      </c>
      <c r="EH27" s="6" t="s">
        <v>201</v>
      </c>
      <c r="EI27" s="6" t="s">
        <v>201</v>
      </c>
      <c r="EJ27" s="6" t="s">
        <v>201</v>
      </c>
      <c r="EK27" s="6" t="s">
        <v>201</v>
      </c>
      <c r="EL27" s="6" t="s">
        <v>201</v>
      </c>
      <c r="EM27" s="6" t="s">
        <v>202</v>
      </c>
      <c r="EN27" s="6" t="s">
        <v>202</v>
      </c>
      <c r="EO27" s="6" t="s">
        <v>202</v>
      </c>
      <c r="EP27" s="6"/>
      <c r="EQ27" s="6" t="s">
        <v>202</v>
      </c>
      <c r="ER27" s="6" t="s">
        <v>202</v>
      </c>
      <c r="ES27" s="6"/>
      <c r="ET27" s="6" t="s">
        <v>203</v>
      </c>
      <c r="EU27" s="6" t="s">
        <v>201</v>
      </c>
      <c r="EV27" s="6" t="s">
        <v>201</v>
      </c>
      <c r="EW27" s="6"/>
      <c r="EX27" s="6"/>
      <c r="EY27" s="6" t="s">
        <v>201</v>
      </c>
      <c r="EZ27" s="6" t="s">
        <v>201</v>
      </c>
      <c r="FA27" s="6" t="s">
        <v>201</v>
      </c>
      <c r="FB27" s="6" t="s">
        <v>201</v>
      </c>
      <c r="FC27" s="6" t="s">
        <v>201</v>
      </c>
      <c r="FD27" s="6" t="s">
        <v>201</v>
      </c>
      <c r="FE27" s="6" t="s">
        <v>201</v>
      </c>
      <c r="FF27" s="6" t="s">
        <v>201</v>
      </c>
      <c r="FG27" s="6" t="s">
        <v>201</v>
      </c>
      <c r="FH27" s="6" t="s">
        <v>202</v>
      </c>
      <c r="FI27" s="6" t="s">
        <v>202</v>
      </c>
      <c r="FJ27" s="6" t="s">
        <v>202</v>
      </c>
      <c r="FK27" s="6" t="s">
        <v>201</v>
      </c>
      <c r="FL27" s="6" t="s">
        <v>201</v>
      </c>
      <c r="FM27" s="6" t="s">
        <v>201</v>
      </c>
      <c r="FN27" s="6" t="s">
        <v>201</v>
      </c>
      <c r="FO27" s="6" t="s">
        <v>201</v>
      </c>
      <c r="FP27" s="6" t="s">
        <v>201</v>
      </c>
      <c r="FQ27" s="6" t="s">
        <v>201</v>
      </c>
      <c r="FR27" s="6" t="s">
        <v>201</v>
      </c>
      <c r="FS27" s="6" t="s">
        <v>202</v>
      </c>
      <c r="FT27" s="6" t="s">
        <v>204</v>
      </c>
      <c r="FU27" s="6" t="s">
        <v>204</v>
      </c>
      <c r="FV27" s="6"/>
      <c r="FW27" s="6" t="s">
        <v>210</v>
      </c>
      <c r="FX27" s="6"/>
      <c r="FY27" s="6" t="s">
        <v>202</v>
      </c>
      <c r="FZ27" s="6" t="s">
        <v>201</v>
      </c>
      <c r="GA27" s="6" t="s">
        <v>202</v>
      </c>
      <c r="GB27" s="6" t="s">
        <v>201</v>
      </c>
      <c r="GC27" s="6" t="s">
        <v>204</v>
      </c>
      <c r="GD27" s="6"/>
      <c r="GE27" s="6" t="s">
        <v>201</v>
      </c>
      <c r="GF27" s="6" t="s">
        <v>201</v>
      </c>
      <c r="GG27" s="6" t="s">
        <v>201</v>
      </c>
      <c r="GH27" s="6" t="s">
        <v>201</v>
      </c>
      <c r="GI27" s="6" t="s">
        <v>202</v>
      </c>
      <c r="GJ27" s="6" t="s">
        <v>201</v>
      </c>
      <c r="GK27" s="6"/>
      <c r="GL27" s="7">
        <f>DATE(2025,6,10)+TIME(12,44,29)</f>
        <v>45818.530891203707</v>
      </c>
    </row>
    <row r="28" spans="1:194" ht="409.5" x14ac:dyDescent="0.25">
      <c r="A28" s="3"/>
      <c r="B28" s="3"/>
      <c r="C28" s="3" t="s">
        <v>356</v>
      </c>
      <c r="D28" s="3" t="s">
        <v>357</v>
      </c>
      <c r="E28" s="3"/>
      <c r="F28" s="3" t="s">
        <v>256</v>
      </c>
      <c r="G28" s="3"/>
      <c r="H28" s="3"/>
      <c r="I28" s="3" t="s">
        <v>358</v>
      </c>
      <c r="J28" s="3"/>
      <c r="K28" s="3"/>
      <c r="L28" s="3"/>
      <c r="M28" s="3"/>
      <c r="N28" s="3"/>
      <c r="O28" s="3"/>
      <c r="P28" s="3"/>
      <c r="Q28" s="3"/>
      <c r="R28" s="3"/>
      <c r="S28" s="3"/>
      <c r="T28" s="3"/>
      <c r="U28" s="3"/>
      <c r="V28" s="3"/>
      <c r="W28" s="3"/>
      <c r="X28" s="3"/>
      <c r="Y28" s="3"/>
      <c r="Z28" s="3"/>
      <c r="AA28" s="3"/>
      <c r="AB28" s="3"/>
      <c r="AC28" s="3"/>
      <c r="AD28" s="3"/>
      <c r="AE28" s="3"/>
      <c r="AF28" s="4" t="s">
        <v>358</v>
      </c>
      <c r="AG28" s="3" t="s">
        <v>235</v>
      </c>
      <c r="AH28" s="3" t="s">
        <v>201</v>
      </c>
      <c r="AI28" s="3" t="s">
        <v>202</v>
      </c>
      <c r="AJ28" s="3" t="s">
        <v>202</v>
      </c>
      <c r="AK28" s="3" t="s">
        <v>202</v>
      </c>
      <c r="AL28" s="3" t="s">
        <v>202</v>
      </c>
      <c r="AM28" s="3" t="s">
        <v>201</v>
      </c>
      <c r="AN28" s="3" t="s">
        <v>201</v>
      </c>
      <c r="AO28" s="3" t="s">
        <v>201</v>
      </c>
      <c r="AP28" s="3" t="s">
        <v>201</v>
      </c>
      <c r="AQ28" s="3" t="s">
        <v>202</v>
      </c>
      <c r="AR28" s="3" t="s">
        <v>203</v>
      </c>
      <c r="AS28" s="3"/>
      <c r="AT28" s="3" t="s">
        <v>201</v>
      </c>
      <c r="AU28" s="3" t="s">
        <v>201</v>
      </c>
      <c r="AV28" s="3" t="s">
        <v>204</v>
      </c>
      <c r="AW28" s="3" t="s">
        <v>201</v>
      </c>
      <c r="AX28" s="3" t="s">
        <v>202</v>
      </c>
      <c r="AY28" s="3" t="s">
        <v>203</v>
      </c>
      <c r="AZ28" s="3" t="s">
        <v>202</v>
      </c>
      <c r="BA28" s="3" t="s">
        <v>204</v>
      </c>
      <c r="BB28" s="3" t="s">
        <v>202</v>
      </c>
      <c r="BC28" s="3" t="s">
        <v>202</v>
      </c>
      <c r="BD28" s="3" t="s">
        <v>203</v>
      </c>
      <c r="BE28" s="3" t="s">
        <v>201</v>
      </c>
      <c r="BF28" s="3" t="s">
        <v>204</v>
      </c>
      <c r="BG28" s="3" t="s">
        <v>202</v>
      </c>
      <c r="BH28" s="3" t="s">
        <v>202</v>
      </c>
      <c r="BI28" s="3" t="s">
        <v>202</v>
      </c>
      <c r="BJ28" s="3" t="s">
        <v>203</v>
      </c>
      <c r="BK28" s="3" t="s">
        <v>204</v>
      </c>
      <c r="BL28" s="3" t="s">
        <v>202</v>
      </c>
      <c r="BM28" s="3" t="s">
        <v>203</v>
      </c>
      <c r="BN28" s="3" t="s">
        <v>203</v>
      </c>
      <c r="BO28" s="3" t="s">
        <v>201</v>
      </c>
      <c r="BP28" s="3" t="s">
        <v>201</v>
      </c>
      <c r="BQ28" s="3" t="s">
        <v>203</v>
      </c>
      <c r="BR28" s="3" t="s">
        <v>204</v>
      </c>
      <c r="BS28" s="3"/>
      <c r="BT28" s="3" t="s">
        <v>206</v>
      </c>
      <c r="BU28" s="3" t="s">
        <v>201</v>
      </c>
      <c r="BV28" s="3" t="s">
        <v>202</v>
      </c>
      <c r="BW28" s="3" t="s">
        <v>202</v>
      </c>
      <c r="BX28" s="3" t="s">
        <v>201</v>
      </c>
      <c r="BY28" s="3" t="s">
        <v>201</v>
      </c>
      <c r="BZ28" s="3" t="s">
        <v>201</v>
      </c>
      <c r="CA28" s="3" t="s">
        <v>201</v>
      </c>
      <c r="CB28" s="3" t="s">
        <v>202</v>
      </c>
      <c r="CC28" s="3" t="s">
        <v>201</v>
      </c>
      <c r="CD28" s="3" t="s">
        <v>202</v>
      </c>
      <c r="CE28" s="3" t="s">
        <v>203</v>
      </c>
      <c r="CF28" s="3" t="s">
        <v>203</v>
      </c>
      <c r="CG28" s="3"/>
      <c r="CH28" s="3" t="s">
        <v>208</v>
      </c>
      <c r="CI28" s="3" t="s">
        <v>208</v>
      </c>
      <c r="CJ28" s="3" t="s">
        <v>201</v>
      </c>
      <c r="CK28" s="3" t="s">
        <v>202</v>
      </c>
      <c r="CL28" s="3" t="s">
        <v>201</v>
      </c>
      <c r="CM28" s="3" t="s">
        <v>204</v>
      </c>
      <c r="CN28" s="3" t="s">
        <v>203</v>
      </c>
      <c r="CO28" s="3" t="s">
        <v>201</v>
      </c>
      <c r="CP28" s="3" t="s">
        <v>201</v>
      </c>
      <c r="CQ28" s="3" t="s">
        <v>201</v>
      </c>
      <c r="CR28" s="3" t="s">
        <v>202</v>
      </c>
      <c r="CS28" s="3" t="s">
        <v>202</v>
      </c>
      <c r="CT28" s="3" t="s">
        <v>202</v>
      </c>
      <c r="CU28" s="3" t="s">
        <v>203</v>
      </c>
      <c r="CV28" s="3" t="s">
        <v>201</v>
      </c>
      <c r="CW28" s="3" t="s">
        <v>201</v>
      </c>
      <c r="CX28" s="3" t="s">
        <v>202</v>
      </c>
      <c r="CY28" s="3" t="s">
        <v>201</v>
      </c>
      <c r="CZ28" s="3" t="s">
        <v>202</v>
      </c>
      <c r="DA28" s="3" t="s">
        <v>203</v>
      </c>
      <c r="DB28" s="3"/>
      <c r="DC28" s="3"/>
      <c r="DD28" s="3"/>
      <c r="DE28" s="3" t="s">
        <v>355</v>
      </c>
      <c r="DF28" s="3" t="s">
        <v>217</v>
      </c>
      <c r="DG28" s="3"/>
      <c r="DH28" s="3" t="s">
        <v>203</v>
      </c>
      <c r="DI28" s="3" t="s">
        <v>205</v>
      </c>
      <c r="DJ28" s="3" t="s">
        <v>202</v>
      </c>
      <c r="DK28" s="3" t="s">
        <v>202</v>
      </c>
      <c r="DL28" s="3" t="s">
        <v>202</v>
      </c>
      <c r="DM28" s="3" t="s">
        <v>203</v>
      </c>
      <c r="DN28" s="3"/>
      <c r="DO28" s="3"/>
      <c r="DP28" s="3"/>
      <c r="DQ28" s="3"/>
      <c r="DR28" s="3"/>
      <c r="DS28" s="3"/>
      <c r="DT28" s="3"/>
      <c r="DU28" s="3"/>
      <c r="DV28" s="3"/>
      <c r="DW28" s="3" t="s">
        <v>208</v>
      </c>
      <c r="DX28" s="3" t="s">
        <v>246</v>
      </c>
      <c r="DY28" s="3" t="s">
        <v>247</v>
      </c>
      <c r="DZ28" s="3" t="s">
        <v>219</v>
      </c>
      <c r="EA28" s="3"/>
      <c r="EB28" s="3"/>
      <c r="EC28" s="3" t="s">
        <v>201</v>
      </c>
      <c r="ED28" s="3" t="s">
        <v>202</v>
      </c>
      <c r="EE28" s="3" t="s">
        <v>203</v>
      </c>
      <c r="EF28" s="3" t="s">
        <v>203</v>
      </c>
      <c r="EG28" s="3" t="s">
        <v>204</v>
      </c>
      <c r="EH28" s="3" t="s">
        <v>203</v>
      </c>
      <c r="EI28" s="3" t="s">
        <v>201</v>
      </c>
      <c r="EJ28" s="3" t="s">
        <v>201</v>
      </c>
      <c r="EK28" s="3" t="s">
        <v>204</v>
      </c>
      <c r="EL28" s="3" t="s">
        <v>201</v>
      </c>
      <c r="EM28" s="3" t="s">
        <v>201</v>
      </c>
      <c r="EN28" s="3" t="s">
        <v>203</v>
      </c>
      <c r="EO28" s="3" t="s">
        <v>201</v>
      </c>
      <c r="EP28" s="3"/>
      <c r="EQ28" s="3" t="s">
        <v>201</v>
      </c>
      <c r="ER28" s="3" t="s">
        <v>202</v>
      </c>
      <c r="ES28" s="3"/>
      <c r="ET28" s="3" t="s">
        <v>201</v>
      </c>
      <c r="EU28" s="3" t="s">
        <v>205</v>
      </c>
      <c r="EV28" s="3" t="s">
        <v>202</v>
      </c>
      <c r="EW28" s="3"/>
      <c r="EX28" s="3"/>
      <c r="EY28" s="3" t="s">
        <v>203</v>
      </c>
      <c r="EZ28" s="3" t="s">
        <v>202</v>
      </c>
      <c r="FA28" s="3" t="s">
        <v>202</v>
      </c>
      <c r="FB28" s="3" t="s">
        <v>202</v>
      </c>
      <c r="FC28" s="3" t="s">
        <v>202</v>
      </c>
      <c r="FD28" s="3" t="s">
        <v>202</v>
      </c>
      <c r="FE28" s="3" t="s">
        <v>202</v>
      </c>
      <c r="FF28" s="3" t="s">
        <v>202</v>
      </c>
      <c r="FG28" s="3" t="s">
        <v>202</v>
      </c>
      <c r="FH28" s="3" t="s">
        <v>201</v>
      </c>
      <c r="FI28" s="3" t="s">
        <v>202</v>
      </c>
      <c r="FJ28" s="3" t="s">
        <v>204</v>
      </c>
      <c r="FK28" s="3" t="s">
        <v>202</v>
      </c>
      <c r="FL28" s="3" t="s">
        <v>202</v>
      </c>
      <c r="FM28" s="3" t="s">
        <v>202</v>
      </c>
      <c r="FN28" s="3" t="s">
        <v>202</v>
      </c>
      <c r="FO28" s="3" t="s">
        <v>202</v>
      </c>
      <c r="FP28" s="3" t="s">
        <v>202</v>
      </c>
      <c r="FQ28" s="3" t="s">
        <v>202</v>
      </c>
      <c r="FR28" s="3" t="s">
        <v>202</v>
      </c>
      <c r="FS28" s="3" t="s">
        <v>202</v>
      </c>
      <c r="FT28" s="3" t="s">
        <v>203</v>
      </c>
      <c r="FU28" s="3"/>
      <c r="FV28" s="3"/>
      <c r="FW28" s="3" t="s">
        <v>238</v>
      </c>
      <c r="FX28" s="3"/>
      <c r="FY28" s="3" t="s">
        <v>201</v>
      </c>
      <c r="FZ28" s="3" t="s">
        <v>201</v>
      </c>
      <c r="GA28" s="3" t="s">
        <v>202</v>
      </c>
      <c r="GB28" s="3" t="s">
        <v>203</v>
      </c>
      <c r="GC28" s="3"/>
      <c r="GD28" s="3"/>
      <c r="GE28" s="3" t="s">
        <v>201</v>
      </c>
      <c r="GF28" s="3" t="s">
        <v>203</v>
      </c>
      <c r="GG28" s="3" t="s">
        <v>202</v>
      </c>
      <c r="GH28" s="3" t="s">
        <v>203</v>
      </c>
      <c r="GI28" s="3" t="s">
        <v>201</v>
      </c>
      <c r="GJ28" s="3" t="s">
        <v>201</v>
      </c>
      <c r="GK28" s="3" t="s">
        <v>359</v>
      </c>
      <c r="GL28" s="5">
        <f>DATE(2025,5,29)+TIME(15,32,20)</f>
        <v>45806.647453703707</v>
      </c>
    </row>
    <row r="29" spans="1:194" ht="409.5" x14ac:dyDescent="0.25">
      <c r="A29" s="6" t="s">
        <v>252</v>
      </c>
      <c r="B29" s="6" t="s">
        <v>253</v>
      </c>
      <c r="C29" s="6" t="s">
        <v>254</v>
      </c>
      <c r="D29" s="6" t="s">
        <v>360</v>
      </c>
      <c r="E29" s="6"/>
      <c r="F29" s="6" t="s">
        <v>256</v>
      </c>
      <c r="G29" s="6"/>
      <c r="H29" s="6"/>
      <c r="I29" s="6" t="s">
        <v>361</v>
      </c>
      <c r="J29" s="6"/>
      <c r="K29" s="6"/>
      <c r="L29" s="6"/>
      <c r="M29" s="6"/>
      <c r="N29" s="6"/>
      <c r="O29" s="6"/>
      <c r="P29" s="6"/>
      <c r="Q29" s="6"/>
      <c r="R29" s="6"/>
      <c r="S29" s="6"/>
      <c r="T29" s="6"/>
      <c r="U29" s="6"/>
      <c r="V29" s="6"/>
      <c r="W29" s="6"/>
      <c r="X29" s="6"/>
      <c r="Y29" s="6"/>
      <c r="Z29" s="6"/>
      <c r="AA29" s="6"/>
      <c r="AB29" s="6"/>
      <c r="AC29" s="6"/>
      <c r="AD29" s="6"/>
      <c r="AE29" s="6"/>
      <c r="AF29" s="4" t="s">
        <v>361</v>
      </c>
      <c r="AG29" s="6" t="s">
        <v>213</v>
      </c>
      <c r="AH29" s="6" t="s">
        <v>202</v>
      </c>
      <c r="AI29" s="6" t="s">
        <v>202</v>
      </c>
      <c r="AJ29" s="6" t="s">
        <v>205</v>
      </c>
      <c r="AK29" s="6" t="s">
        <v>203</v>
      </c>
      <c r="AL29" s="6" t="s">
        <v>204</v>
      </c>
      <c r="AM29" s="6" t="s">
        <v>204</v>
      </c>
      <c r="AN29" s="6" t="s">
        <v>204</v>
      </c>
      <c r="AO29" s="6" t="s">
        <v>203</v>
      </c>
      <c r="AP29" s="6" t="s">
        <v>203</v>
      </c>
      <c r="AQ29" s="6" t="s">
        <v>204</v>
      </c>
      <c r="AR29" s="6" t="s">
        <v>202</v>
      </c>
      <c r="AS29" s="6"/>
      <c r="AT29" s="6" t="s">
        <v>201</v>
      </c>
      <c r="AU29" s="6" t="s">
        <v>202</v>
      </c>
      <c r="AV29" s="6" t="s">
        <v>205</v>
      </c>
      <c r="AW29" s="6" t="s">
        <v>202</v>
      </c>
      <c r="AX29" s="6" t="s">
        <v>202</v>
      </c>
      <c r="AY29" s="6" t="s">
        <v>204</v>
      </c>
      <c r="AZ29" s="6" t="s">
        <v>203</v>
      </c>
      <c r="BA29" s="6" t="s">
        <v>205</v>
      </c>
      <c r="BB29" s="6" t="s">
        <v>202</v>
      </c>
      <c r="BC29" s="6" t="s">
        <v>202</v>
      </c>
      <c r="BD29" s="6" t="s">
        <v>204</v>
      </c>
      <c r="BE29" s="6" t="s">
        <v>205</v>
      </c>
      <c r="BF29" s="6" t="s">
        <v>205</v>
      </c>
      <c r="BG29" s="6" t="s">
        <v>204</v>
      </c>
      <c r="BH29" s="6" t="s">
        <v>204</v>
      </c>
      <c r="BI29" s="6" t="s">
        <v>204</v>
      </c>
      <c r="BJ29" s="6" t="s">
        <v>203</v>
      </c>
      <c r="BK29" s="6" t="s">
        <v>205</v>
      </c>
      <c r="BL29" s="6" t="s">
        <v>203</v>
      </c>
      <c r="BM29" s="6" t="s">
        <v>203</v>
      </c>
      <c r="BN29" s="6" t="s">
        <v>204</v>
      </c>
      <c r="BO29" s="6" t="s">
        <v>201</v>
      </c>
      <c r="BP29" s="6" t="s">
        <v>204</v>
      </c>
      <c r="BQ29" s="6" t="s">
        <v>204</v>
      </c>
      <c r="BR29" s="6" t="s">
        <v>204</v>
      </c>
      <c r="BS29" s="6"/>
      <c r="BT29" s="6" t="s">
        <v>210</v>
      </c>
      <c r="BU29" s="6" t="s">
        <v>201</v>
      </c>
      <c r="BV29" s="6" t="s">
        <v>201</v>
      </c>
      <c r="BW29" s="6" t="s">
        <v>201</v>
      </c>
      <c r="BX29" s="6" t="s">
        <v>201</v>
      </c>
      <c r="BY29" s="6" t="s">
        <v>201</v>
      </c>
      <c r="BZ29" s="6" t="s">
        <v>201</v>
      </c>
      <c r="CA29" s="6" t="s">
        <v>201</v>
      </c>
      <c r="CB29" s="6" t="s">
        <v>201</v>
      </c>
      <c r="CC29" s="6" t="s">
        <v>201</v>
      </c>
      <c r="CD29" s="6" t="s">
        <v>201</v>
      </c>
      <c r="CE29" s="6" t="s">
        <v>201</v>
      </c>
      <c r="CF29" s="6" t="s">
        <v>201</v>
      </c>
      <c r="CG29" s="6"/>
      <c r="CH29" s="6" t="s">
        <v>207</v>
      </c>
      <c r="CI29" s="6" t="s">
        <v>207</v>
      </c>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t="s">
        <v>288</v>
      </c>
      <c r="DT29" s="6"/>
      <c r="DU29" s="6" t="s">
        <v>294</v>
      </c>
      <c r="DV29" s="6"/>
      <c r="DW29" s="6" t="s">
        <v>208</v>
      </c>
      <c r="DX29" s="6" t="s">
        <v>246</v>
      </c>
      <c r="DY29" s="6"/>
      <c r="DZ29" s="6" t="s">
        <v>219</v>
      </c>
      <c r="EA29" s="6"/>
      <c r="EB29" s="6" t="s">
        <v>362</v>
      </c>
      <c r="EC29" s="6" t="s">
        <v>205</v>
      </c>
      <c r="ED29" s="6" t="s">
        <v>205</v>
      </c>
      <c r="EE29" s="6" t="s">
        <v>204</v>
      </c>
      <c r="EF29" s="6" t="s">
        <v>204</v>
      </c>
      <c r="EG29" s="6" t="s">
        <v>204</v>
      </c>
      <c r="EH29" s="6" t="s">
        <v>204</v>
      </c>
      <c r="EI29" s="6" t="s">
        <v>204</v>
      </c>
      <c r="EJ29" s="6" t="s">
        <v>202</v>
      </c>
      <c r="EK29" s="6" t="s">
        <v>201</v>
      </c>
      <c r="EL29" s="6" t="s">
        <v>202</v>
      </c>
      <c r="EM29" s="6"/>
      <c r="EN29" s="6"/>
      <c r="EO29" s="6"/>
      <c r="EP29" s="6"/>
      <c r="EQ29" s="6" t="s">
        <v>203</v>
      </c>
      <c r="ER29" s="6" t="s">
        <v>203</v>
      </c>
      <c r="ES29" s="6"/>
      <c r="ET29" s="6" t="s">
        <v>203</v>
      </c>
      <c r="EU29" s="6" t="s">
        <v>203</v>
      </c>
      <c r="EV29" s="6" t="s">
        <v>203</v>
      </c>
      <c r="EW29" s="6" t="s">
        <v>204</v>
      </c>
      <c r="EX29" s="6"/>
      <c r="EY29" s="6" t="s">
        <v>203</v>
      </c>
      <c r="EZ29" s="6" t="s">
        <v>205</v>
      </c>
      <c r="FA29" s="6" t="s">
        <v>203</v>
      </c>
      <c r="FB29" s="6" t="s">
        <v>203</v>
      </c>
      <c r="FC29" s="6" t="s">
        <v>203</v>
      </c>
      <c r="FD29" s="6" t="s">
        <v>204</v>
      </c>
      <c r="FE29" s="6" t="s">
        <v>204</v>
      </c>
      <c r="FF29" s="6" t="s">
        <v>204</v>
      </c>
      <c r="FG29" s="6" t="s">
        <v>204</v>
      </c>
      <c r="FH29" s="6" t="s">
        <v>203</v>
      </c>
      <c r="FI29" s="6" t="s">
        <v>203</v>
      </c>
      <c r="FJ29" s="6" t="s">
        <v>205</v>
      </c>
      <c r="FK29" s="6" t="s">
        <v>203</v>
      </c>
      <c r="FL29" s="6" t="s">
        <v>203</v>
      </c>
      <c r="FM29" s="6" t="s">
        <v>203</v>
      </c>
      <c r="FN29" s="6" t="s">
        <v>204</v>
      </c>
      <c r="FO29" s="6" t="s">
        <v>203</v>
      </c>
      <c r="FP29" s="6" t="s">
        <v>205</v>
      </c>
      <c r="FQ29" s="6" t="s">
        <v>205</v>
      </c>
      <c r="FR29" s="6" t="s">
        <v>201</v>
      </c>
      <c r="FS29" s="6" t="s">
        <v>204</v>
      </c>
      <c r="FT29" s="6" t="s">
        <v>202</v>
      </c>
      <c r="FU29" s="6" t="s">
        <v>204</v>
      </c>
      <c r="FV29" s="6"/>
      <c r="FW29" s="6" t="s">
        <v>210</v>
      </c>
      <c r="FX29" s="6"/>
      <c r="FY29" s="6" t="s">
        <v>201</v>
      </c>
      <c r="FZ29" s="6" t="s">
        <v>201</v>
      </c>
      <c r="GA29" s="6" t="s">
        <v>201</v>
      </c>
      <c r="GB29" s="6" t="s">
        <v>201</v>
      </c>
      <c r="GC29" s="6" t="s">
        <v>204</v>
      </c>
      <c r="GD29" s="6"/>
      <c r="GE29" s="6" t="s">
        <v>202</v>
      </c>
      <c r="GF29" s="6" t="s">
        <v>201</v>
      </c>
      <c r="GG29" s="6" t="s">
        <v>202</v>
      </c>
      <c r="GH29" s="6" t="s">
        <v>203</v>
      </c>
      <c r="GI29" s="6" t="s">
        <v>201</v>
      </c>
      <c r="GJ29" s="6" t="s">
        <v>202</v>
      </c>
      <c r="GK29" s="6" t="s">
        <v>363</v>
      </c>
      <c r="GL29" s="7">
        <f>DATE(2025,6,5)+TIME(17,54,52)</f>
        <v>45813.746435185189</v>
      </c>
    </row>
    <row r="30" spans="1:194" ht="47.25" x14ac:dyDescent="0.25">
      <c r="A30" s="3" t="s">
        <v>364</v>
      </c>
      <c r="B30" s="3" t="s">
        <v>365</v>
      </c>
      <c r="C30" s="3" t="s">
        <v>366</v>
      </c>
      <c r="D30" s="3" t="s">
        <v>367</v>
      </c>
      <c r="E30" s="3"/>
      <c r="F30" s="3" t="s">
        <v>225</v>
      </c>
      <c r="G30" s="3"/>
      <c r="H30" s="3"/>
      <c r="I30" s="3"/>
      <c r="J30" s="3"/>
      <c r="K30" s="3"/>
      <c r="L30" s="3"/>
      <c r="M30" s="3"/>
      <c r="N30" s="3"/>
      <c r="O30" s="3"/>
      <c r="P30" s="3"/>
      <c r="Q30" s="3"/>
      <c r="R30" s="3"/>
      <c r="S30" s="3"/>
      <c r="T30" s="3"/>
      <c r="U30" s="3"/>
      <c r="V30" s="3"/>
      <c r="W30" s="3"/>
      <c r="X30" s="3"/>
      <c r="Y30" s="3"/>
      <c r="Z30" s="3"/>
      <c r="AA30" s="3"/>
      <c r="AB30" s="3"/>
      <c r="AC30" s="3" t="s">
        <v>368</v>
      </c>
      <c r="AD30" s="3"/>
      <c r="AE30" s="3"/>
      <c r="AF30" s="4" t="s">
        <v>368</v>
      </c>
      <c r="AG30" s="3" t="s">
        <v>235</v>
      </c>
      <c r="AH30" s="3" t="s">
        <v>201</v>
      </c>
      <c r="AI30" s="3" t="s">
        <v>202</v>
      </c>
      <c r="AJ30" s="3" t="s">
        <v>202</v>
      </c>
      <c r="AK30" s="3" t="s">
        <v>201</v>
      </c>
      <c r="AL30" s="3" t="s">
        <v>201</v>
      </c>
      <c r="AM30" s="3" t="s">
        <v>201</v>
      </c>
      <c r="AN30" s="3" t="s">
        <v>201</v>
      </c>
      <c r="AO30" s="3" t="s">
        <v>201</v>
      </c>
      <c r="AP30" s="3" t="s">
        <v>201</v>
      </c>
      <c r="AQ30" s="3" t="s">
        <v>201</v>
      </c>
      <c r="AR30" s="3" t="s">
        <v>201</v>
      </c>
      <c r="AS30" s="3"/>
      <c r="AT30" s="3" t="s">
        <v>202</v>
      </c>
      <c r="AU30" s="3" t="s">
        <v>202</v>
      </c>
      <c r="AV30" s="3" t="s">
        <v>203</v>
      </c>
      <c r="AW30" s="3" t="s">
        <v>201</v>
      </c>
      <c r="AX30" s="3" t="s">
        <v>202</v>
      </c>
      <c r="AY30" s="3" t="s">
        <v>201</v>
      </c>
      <c r="AZ30" s="3" t="s">
        <v>202</v>
      </c>
      <c r="BA30" s="3" t="s">
        <v>203</v>
      </c>
      <c r="BB30" s="3" t="s">
        <v>203</v>
      </c>
      <c r="BC30" s="3" t="s">
        <v>203</v>
      </c>
      <c r="BD30" s="3" t="s">
        <v>201</v>
      </c>
      <c r="BE30" s="3" t="s">
        <v>205</v>
      </c>
      <c r="BF30" s="3" t="s">
        <v>205</v>
      </c>
      <c r="BG30" s="3" t="s">
        <v>203</v>
      </c>
      <c r="BH30" s="3" t="s">
        <v>203</v>
      </c>
      <c r="BI30" s="3" t="s">
        <v>201</v>
      </c>
      <c r="BJ30" s="3" t="s">
        <v>202</v>
      </c>
      <c r="BK30" s="3" t="s">
        <v>205</v>
      </c>
      <c r="BL30" s="3" t="s">
        <v>201</v>
      </c>
      <c r="BM30" s="3" t="s">
        <v>201</v>
      </c>
      <c r="BN30" s="3" t="s">
        <v>201</v>
      </c>
      <c r="BO30" s="3" t="s">
        <v>202</v>
      </c>
      <c r="BP30" s="3" t="s">
        <v>205</v>
      </c>
      <c r="BQ30" s="3" t="s">
        <v>203</v>
      </c>
      <c r="BR30" s="3" t="s">
        <v>204</v>
      </c>
      <c r="BS30" s="3"/>
      <c r="BT30" s="3" t="s">
        <v>206</v>
      </c>
      <c r="BU30" s="3" t="s">
        <v>201</v>
      </c>
      <c r="BV30" s="3" t="s">
        <v>201</v>
      </c>
      <c r="BW30" s="3" t="s">
        <v>201</v>
      </c>
      <c r="BX30" s="3" t="s">
        <v>201</v>
      </c>
      <c r="BY30" s="3" t="s">
        <v>201</v>
      </c>
      <c r="BZ30" s="3" t="s">
        <v>201</v>
      </c>
      <c r="CA30" s="3" t="s">
        <v>202</v>
      </c>
      <c r="CB30" s="3" t="s">
        <v>202</v>
      </c>
      <c r="CC30" s="3" t="s">
        <v>202</v>
      </c>
      <c r="CD30" s="3" t="s">
        <v>201</v>
      </c>
      <c r="CE30" s="3" t="s">
        <v>201</v>
      </c>
      <c r="CF30" s="3" t="s">
        <v>201</v>
      </c>
      <c r="CG30" s="3"/>
      <c r="CH30" s="3" t="s">
        <v>207</v>
      </c>
      <c r="CI30" s="3" t="s">
        <v>207</v>
      </c>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t="s">
        <v>237</v>
      </c>
      <c r="DR30" s="3"/>
      <c r="DS30" s="3"/>
      <c r="DT30" s="3"/>
      <c r="DU30" s="3"/>
      <c r="DV30" s="3"/>
      <c r="DW30" s="3" t="s">
        <v>207</v>
      </c>
      <c r="DX30" s="3"/>
      <c r="DY30" s="3"/>
      <c r="DZ30" s="3"/>
      <c r="EA30" s="3"/>
      <c r="EB30" s="3"/>
      <c r="EC30" s="3"/>
      <c r="ED30" s="3"/>
      <c r="EE30" s="3"/>
      <c r="EF30" s="3" t="s">
        <v>201</v>
      </c>
      <c r="EG30" s="3" t="s">
        <v>202</v>
      </c>
      <c r="EH30" s="3" t="s">
        <v>202</v>
      </c>
      <c r="EI30" s="3" t="s">
        <v>202</v>
      </c>
      <c r="EJ30" s="3" t="s">
        <v>202</v>
      </c>
      <c r="EK30" s="3" t="s">
        <v>203</v>
      </c>
      <c r="EL30" s="3" t="s">
        <v>202</v>
      </c>
      <c r="EM30" s="3"/>
      <c r="EN30" s="3"/>
      <c r="EO30" s="3"/>
      <c r="EP30" s="3"/>
      <c r="EQ30" s="3" t="s">
        <v>205</v>
      </c>
      <c r="ER30" s="3" t="s">
        <v>203</v>
      </c>
      <c r="ES30" s="3"/>
      <c r="ET30" s="3"/>
      <c r="EU30" s="3"/>
      <c r="EV30" s="3"/>
      <c r="EW30" s="3"/>
      <c r="EX30" s="3"/>
      <c r="EY30" s="3"/>
      <c r="EZ30" s="3"/>
      <c r="FA30" s="3"/>
      <c r="FB30" s="3"/>
      <c r="FC30" s="3"/>
      <c r="FD30" s="3"/>
      <c r="FE30" s="3"/>
      <c r="FF30" s="3"/>
      <c r="FG30" s="3"/>
      <c r="FH30" s="3" t="s">
        <v>202</v>
      </c>
      <c r="FI30" s="3" t="s">
        <v>202</v>
      </c>
      <c r="FJ30" s="3" t="s">
        <v>202</v>
      </c>
      <c r="FK30" s="3" t="s">
        <v>202</v>
      </c>
      <c r="FL30" s="3" t="s">
        <v>202</v>
      </c>
      <c r="FM30" s="3" t="s">
        <v>202</v>
      </c>
      <c r="FN30" s="3" t="s">
        <v>204</v>
      </c>
      <c r="FO30" s="3" t="s">
        <v>202</v>
      </c>
      <c r="FP30" s="3" t="s">
        <v>202</v>
      </c>
      <c r="FQ30" s="3" t="s">
        <v>202</v>
      </c>
      <c r="FR30" s="3" t="s">
        <v>204</v>
      </c>
      <c r="FS30" s="3" t="s">
        <v>204</v>
      </c>
      <c r="FT30" s="3" t="s">
        <v>204</v>
      </c>
      <c r="FU30" s="3" t="s">
        <v>204</v>
      </c>
      <c r="FV30" s="3"/>
      <c r="FW30" s="3" t="s">
        <v>238</v>
      </c>
      <c r="FX30" s="3"/>
      <c r="FY30" s="3" t="s">
        <v>202</v>
      </c>
      <c r="FZ30" s="3" t="s">
        <v>202</v>
      </c>
      <c r="GA30" s="3" t="s">
        <v>201</v>
      </c>
      <c r="GB30" s="3" t="s">
        <v>202</v>
      </c>
      <c r="GC30" s="3"/>
      <c r="GD30" s="3"/>
      <c r="GE30" s="3" t="s">
        <v>201</v>
      </c>
      <c r="GF30" s="3" t="s">
        <v>202</v>
      </c>
      <c r="GG30" s="3" t="s">
        <v>201</v>
      </c>
      <c r="GH30" s="3" t="s">
        <v>202</v>
      </c>
      <c r="GI30" s="3" t="s">
        <v>201</v>
      </c>
      <c r="GJ30" s="3" t="s">
        <v>201</v>
      </c>
      <c r="GK30" s="3"/>
      <c r="GL30" s="5">
        <f>DATE(2025,6,9)+TIME(17,7,8)</f>
        <v>45817.713287037041</v>
      </c>
    </row>
    <row r="31" spans="1:194" ht="409.5" x14ac:dyDescent="0.25">
      <c r="A31" s="6" t="s">
        <v>369</v>
      </c>
      <c r="B31" s="6" t="s">
        <v>370</v>
      </c>
      <c r="C31" s="6" t="s">
        <v>371</v>
      </c>
      <c r="D31" s="6" t="s">
        <v>372</v>
      </c>
      <c r="E31" s="6"/>
      <c r="F31" s="6" t="s">
        <v>335</v>
      </c>
      <c r="G31" s="6"/>
      <c r="H31" s="6"/>
      <c r="I31" s="6"/>
      <c r="J31" s="6"/>
      <c r="K31" s="6"/>
      <c r="L31" s="6"/>
      <c r="M31" s="6"/>
      <c r="N31" s="6"/>
      <c r="O31" s="6" t="s">
        <v>373</v>
      </c>
      <c r="P31" s="6"/>
      <c r="Q31" s="6"/>
      <c r="R31" s="6"/>
      <c r="S31" s="6"/>
      <c r="T31" s="6"/>
      <c r="U31" s="6"/>
      <c r="V31" s="6"/>
      <c r="W31" s="6"/>
      <c r="X31" s="6"/>
      <c r="Y31" s="6"/>
      <c r="Z31" s="6"/>
      <c r="AA31" s="6"/>
      <c r="AB31" s="6"/>
      <c r="AC31" s="6"/>
      <c r="AD31" s="6"/>
      <c r="AE31" s="6"/>
      <c r="AF31" s="4" t="s">
        <v>373</v>
      </c>
      <c r="AG31" s="6" t="s">
        <v>213</v>
      </c>
      <c r="AH31" s="6" t="s">
        <v>201</v>
      </c>
      <c r="AI31" s="6" t="s">
        <v>202</v>
      </c>
      <c r="AJ31" s="6" t="s">
        <v>202</v>
      </c>
      <c r="AK31" s="6" t="s">
        <v>201</v>
      </c>
      <c r="AL31" s="6" t="s">
        <v>202</v>
      </c>
      <c r="AM31" s="6" t="s">
        <v>201</v>
      </c>
      <c r="AN31" s="6" t="s">
        <v>202</v>
      </c>
      <c r="AO31" s="6" t="s">
        <v>201</v>
      </c>
      <c r="AP31" s="6" t="s">
        <v>201</v>
      </c>
      <c r="AQ31" s="6" t="s">
        <v>202</v>
      </c>
      <c r="AR31" s="6" t="s">
        <v>201</v>
      </c>
      <c r="AS31" s="6"/>
      <c r="AT31" s="6" t="s">
        <v>201</v>
      </c>
      <c r="AU31" s="6" t="s">
        <v>202</v>
      </c>
      <c r="AV31" s="6" t="s">
        <v>205</v>
      </c>
      <c r="AW31" s="6" t="s">
        <v>201</v>
      </c>
      <c r="AX31" s="6" t="s">
        <v>201</v>
      </c>
      <c r="AY31" s="6" t="s">
        <v>201</v>
      </c>
      <c r="AZ31" s="6" t="s">
        <v>202</v>
      </c>
      <c r="BA31" s="6" t="s">
        <v>205</v>
      </c>
      <c r="BB31" s="6" t="s">
        <v>202</v>
      </c>
      <c r="BC31" s="6" t="s">
        <v>202</v>
      </c>
      <c r="BD31" s="6" t="s">
        <v>202</v>
      </c>
      <c r="BE31" s="6" t="s">
        <v>201</v>
      </c>
      <c r="BF31" s="6" t="s">
        <v>205</v>
      </c>
      <c r="BG31" s="6" t="s">
        <v>202</v>
      </c>
      <c r="BH31" s="6" t="s">
        <v>202</v>
      </c>
      <c r="BI31" s="6" t="s">
        <v>202</v>
      </c>
      <c r="BJ31" s="6" t="s">
        <v>202</v>
      </c>
      <c r="BK31" s="6" t="s">
        <v>205</v>
      </c>
      <c r="BL31" s="6" t="s">
        <v>202</v>
      </c>
      <c r="BM31" s="6" t="s">
        <v>202</v>
      </c>
      <c r="BN31" s="6" t="s">
        <v>202</v>
      </c>
      <c r="BO31" s="6" t="s">
        <v>201</v>
      </c>
      <c r="BP31" s="6" t="s">
        <v>203</v>
      </c>
      <c r="BQ31" s="6" t="s">
        <v>203</v>
      </c>
      <c r="BR31" s="6"/>
      <c r="BS31" s="6"/>
      <c r="BT31" s="6" t="s">
        <v>210</v>
      </c>
      <c r="BU31" s="6" t="s">
        <v>201</v>
      </c>
      <c r="BV31" s="6" t="s">
        <v>202</v>
      </c>
      <c r="BW31" s="6" t="s">
        <v>201</v>
      </c>
      <c r="BX31" s="6" t="s">
        <v>201</v>
      </c>
      <c r="BY31" s="6" t="s">
        <v>202</v>
      </c>
      <c r="BZ31" s="6" t="s">
        <v>201</v>
      </c>
      <c r="CA31" s="6" t="s">
        <v>201</v>
      </c>
      <c r="CB31" s="6" t="s">
        <v>201</v>
      </c>
      <c r="CC31" s="6" t="s">
        <v>201</v>
      </c>
      <c r="CD31" s="6" t="s">
        <v>201</v>
      </c>
      <c r="CE31" s="6" t="s">
        <v>202</v>
      </c>
      <c r="CF31" s="6" t="s">
        <v>201</v>
      </c>
      <c r="CG31" s="6"/>
      <c r="CH31" s="6" t="s">
        <v>208</v>
      </c>
      <c r="CI31" s="6" t="s">
        <v>208</v>
      </c>
      <c r="CJ31" s="6" t="s">
        <v>201</v>
      </c>
      <c r="CK31" s="6" t="s">
        <v>201</v>
      </c>
      <c r="CL31" s="6" t="s">
        <v>201</v>
      </c>
      <c r="CM31" s="6" t="s">
        <v>201</v>
      </c>
      <c r="CN31" s="6" t="s">
        <v>201</v>
      </c>
      <c r="CO31" s="6" t="s">
        <v>202</v>
      </c>
      <c r="CP31" s="6" t="s">
        <v>203</v>
      </c>
      <c r="CQ31" s="6" t="s">
        <v>202</v>
      </c>
      <c r="CR31" s="6" t="s">
        <v>203</v>
      </c>
      <c r="CS31" s="6" t="s">
        <v>201</v>
      </c>
      <c r="CT31" s="6" t="s">
        <v>202</v>
      </c>
      <c r="CU31" s="6" t="s">
        <v>201</v>
      </c>
      <c r="CV31" s="6" t="s">
        <v>205</v>
      </c>
      <c r="CW31" s="6" t="s">
        <v>201</v>
      </c>
      <c r="CX31" s="6" t="s">
        <v>202</v>
      </c>
      <c r="CY31" s="6" t="s">
        <v>201</v>
      </c>
      <c r="CZ31" s="6" t="s">
        <v>201</v>
      </c>
      <c r="DA31" s="6" t="s">
        <v>201</v>
      </c>
      <c r="DB31" s="6"/>
      <c r="DC31" s="6"/>
      <c r="DD31" s="6"/>
      <c r="DE31" s="6"/>
      <c r="DF31" s="6" t="s">
        <v>217</v>
      </c>
      <c r="DG31" s="6"/>
      <c r="DH31" s="6" t="s">
        <v>201</v>
      </c>
      <c r="DI31" s="6" t="s">
        <v>201</v>
      </c>
      <c r="DJ31" s="6" t="s">
        <v>201</v>
      </c>
      <c r="DK31" s="6" t="s">
        <v>201</v>
      </c>
      <c r="DL31" s="6" t="s">
        <v>202</v>
      </c>
      <c r="DM31" s="6" t="s">
        <v>203</v>
      </c>
      <c r="DN31" s="6"/>
      <c r="DO31" s="6"/>
      <c r="DP31" s="6"/>
      <c r="DQ31" s="6"/>
      <c r="DR31" s="6"/>
      <c r="DS31" s="6"/>
      <c r="DT31" s="6"/>
      <c r="DU31" s="6"/>
      <c r="DV31" s="6"/>
      <c r="DW31" s="6" t="s">
        <v>208</v>
      </c>
      <c r="DX31" s="6"/>
      <c r="DY31" s="6" t="s">
        <v>247</v>
      </c>
      <c r="DZ31" s="6"/>
      <c r="EA31" s="6"/>
      <c r="EB31" s="6"/>
      <c r="EC31" s="6" t="s">
        <v>201</v>
      </c>
      <c r="ED31" s="6" t="s">
        <v>201</v>
      </c>
      <c r="EE31" s="6" t="s">
        <v>201</v>
      </c>
      <c r="EF31" s="6" t="s">
        <v>205</v>
      </c>
      <c r="EG31" s="6" t="s">
        <v>205</v>
      </c>
      <c r="EH31" s="6" t="s">
        <v>204</v>
      </c>
      <c r="EI31" s="6" t="s">
        <v>201</v>
      </c>
      <c r="EJ31" s="6" t="s">
        <v>201</v>
      </c>
      <c r="EK31" s="6" t="s">
        <v>201</v>
      </c>
      <c r="EL31" s="6" t="s">
        <v>201</v>
      </c>
      <c r="EM31" s="6" t="s">
        <v>203</v>
      </c>
      <c r="EN31" s="6" t="s">
        <v>205</v>
      </c>
      <c r="EO31" s="6" t="s">
        <v>205</v>
      </c>
      <c r="EP31" s="6"/>
      <c r="EQ31" s="6" t="s">
        <v>202</v>
      </c>
      <c r="ER31" s="6" t="s">
        <v>203</v>
      </c>
      <c r="ES31" s="6"/>
      <c r="ET31" s="6" t="s">
        <v>202</v>
      </c>
      <c r="EU31" s="6" t="s">
        <v>202</v>
      </c>
      <c r="EV31" s="6" t="s">
        <v>202</v>
      </c>
      <c r="EW31" s="6"/>
      <c r="EX31" s="6"/>
      <c r="EY31" s="6" t="s">
        <v>203</v>
      </c>
      <c r="EZ31" s="6" t="s">
        <v>205</v>
      </c>
      <c r="FA31" s="6" t="s">
        <v>203</v>
      </c>
      <c r="FB31" s="6" t="s">
        <v>202</v>
      </c>
      <c r="FC31" s="6" t="s">
        <v>202</v>
      </c>
      <c r="FD31" s="6" t="s">
        <v>202</v>
      </c>
      <c r="FE31" s="6" t="s">
        <v>202</v>
      </c>
      <c r="FF31" s="6" t="s">
        <v>203</v>
      </c>
      <c r="FG31" s="6" t="s">
        <v>205</v>
      </c>
      <c r="FH31" s="6" t="s">
        <v>202</v>
      </c>
      <c r="FI31" s="6" t="s">
        <v>202</v>
      </c>
      <c r="FJ31" s="6" t="s">
        <v>203</v>
      </c>
      <c r="FK31" s="6" t="s">
        <v>203</v>
      </c>
      <c r="FL31" s="6" t="s">
        <v>202</v>
      </c>
      <c r="FM31" s="6" t="s">
        <v>203</v>
      </c>
      <c r="FN31" s="6" t="s">
        <v>203</v>
      </c>
      <c r="FO31" s="6" t="s">
        <v>202</v>
      </c>
      <c r="FP31" s="6" t="s">
        <v>203</v>
      </c>
      <c r="FQ31" s="6" t="s">
        <v>205</v>
      </c>
      <c r="FR31" s="6" t="s">
        <v>201</v>
      </c>
      <c r="FS31" s="6" t="s">
        <v>203</v>
      </c>
      <c r="FT31" s="6" t="s">
        <v>205</v>
      </c>
      <c r="FU31" s="6"/>
      <c r="FV31" s="6"/>
      <c r="FW31" s="6" t="s">
        <v>210</v>
      </c>
      <c r="FX31" s="6"/>
      <c r="FY31" s="6" t="s">
        <v>201</v>
      </c>
      <c r="FZ31" s="6" t="s">
        <v>201</v>
      </c>
      <c r="GA31" s="6" t="s">
        <v>202</v>
      </c>
      <c r="GB31" s="6" t="s">
        <v>201</v>
      </c>
      <c r="GC31" s="6"/>
      <c r="GD31" s="6"/>
      <c r="GE31" s="6" t="s">
        <v>203</v>
      </c>
      <c r="GF31" s="6" t="s">
        <v>201</v>
      </c>
      <c r="GG31" s="6" t="s">
        <v>201</v>
      </c>
      <c r="GH31" s="6" t="s">
        <v>203</v>
      </c>
      <c r="GI31" s="6" t="s">
        <v>201</v>
      </c>
      <c r="GJ31" s="6" t="s">
        <v>201</v>
      </c>
      <c r="GK31" s="6" t="s">
        <v>374</v>
      </c>
      <c r="GL31" s="7">
        <f>DATE(2025,5,29)+TIME(10,41,9)</f>
        <v>45806.445243055554</v>
      </c>
    </row>
    <row r="32" spans="1:194" s="9" customFormat="1" ht="47.25" x14ac:dyDescent="0.25">
      <c r="A32" s="8" t="s">
        <v>375</v>
      </c>
      <c r="B32" s="8" t="s">
        <v>376</v>
      </c>
      <c r="C32" s="8" t="s">
        <v>377</v>
      </c>
      <c r="D32" s="8" t="s">
        <v>378</v>
      </c>
      <c r="E32" s="8"/>
      <c r="F32" s="8" t="s">
        <v>198</v>
      </c>
      <c r="G32" s="3"/>
      <c r="H32" s="3"/>
      <c r="I32" s="3"/>
      <c r="J32" s="3"/>
      <c r="K32" s="3" t="s">
        <v>379</v>
      </c>
      <c r="L32" s="3"/>
      <c r="M32" s="3"/>
      <c r="N32" s="3"/>
      <c r="O32" s="3"/>
      <c r="P32" s="3"/>
      <c r="Q32" s="3"/>
      <c r="R32" s="3"/>
      <c r="S32" s="3"/>
      <c r="T32" s="3"/>
      <c r="U32" s="3"/>
      <c r="V32" s="3"/>
      <c r="W32" s="3"/>
      <c r="X32" s="3"/>
      <c r="Y32" s="3"/>
      <c r="Z32" s="3"/>
      <c r="AA32" s="3"/>
      <c r="AB32" s="3"/>
      <c r="AC32" s="3"/>
      <c r="AD32" s="3"/>
      <c r="AE32" s="3"/>
      <c r="AF32" s="9" t="s">
        <v>379</v>
      </c>
      <c r="AG32" s="8" t="s">
        <v>213</v>
      </c>
      <c r="AH32" s="8" t="s">
        <v>203</v>
      </c>
      <c r="AI32" s="8" t="s">
        <v>202</v>
      </c>
      <c r="AJ32" s="8" t="s">
        <v>201</v>
      </c>
      <c r="AK32" s="8" t="s">
        <v>201</v>
      </c>
      <c r="AL32" s="8" t="s">
        <v>202</v>
      </c>
      <c r="AM32" s="8" t="s">
        <v>204</v>
      </c>
      <c r="AN32" s="8" t="s">
        <v>201</v>
      </c>
      <c r="AO32" s="8" t="s">
        <v>202</v>
      </c>
      <c r="AP32" s="8" t="s">
        <v>201</v>
      </c>
      <c r="AQ32" s="8" t="s">
        <v>202</v>
      </c>
      <c r="AR32" s="8" t="s">
        <v>202</v>
      </c>
      <c r="AS32" s="8"/>
      <c r="AT32" s="8" t="s">
        <v>201</v>
      </c>
      <c r="AU32" s="8" t="s">
        <v>201</v>
      </c>
      <c r="AV32" s="8" t="s">
        <v>205</v>
      </c>
      <c r="AW32" s="8" t="s">
        <v>202</v>
      </c>
      <c r="AX32" s="8" t="s">
        <v>202</v>
      </c>
      <c r="AY32" s="8" t="s">
        <v>202</v>
      </c>
      <c r="AZ32" s="8" t="s">
        <v>202</v>
      </c>
      <c r="BA32" s="8" t="s">
        <v>203</v>
      </c>
      <c r="BB32" s="8" t="s">
        <v>202</v>
      </c>
      <c r="BC32" s="8" t="s">
        <v>202</v>
      </c>
      <c r="BD32" s="8" t="s">
        <v>202</v>
      </c>
      <c r="BE32" s="8" t="s">
        <v>203</v>
      </c>
      <c r="BF32" s="8" t="s">
        <v>205</v>
      </c>
      <c r="BG32" s="8" t="s">
        <v>202</v>
      </c>
      <c r="BH32" s="8" t="s">
        <v>202</v>
      </c>
      <c r="BI32" s="8" t="s">
        <v>202</v>
      </c>
      <c r="BJ32" s="8" t="s">
        <v>201</v>
      </c>
      <c r="BK32" s="8" t="s">
        <v>205</v>
      </c>
      <c r="BL32" s="8" t="s">
        <v>202</v>
      </c>
      <c r="BM32" s="8" t="s">
        <v>203</v>
      </c>
      <c r="BN32" s="8" t="s">
        <v>205</v>
      </c>
      <c r="BO32" s="8" t="s">
        <v>201</v>
      </c>
      <c r="BP32" s="8" t="s">
        <v>202</v>
      </c>
      <c r="BQ32" s="8" t="s">
        <v>201</v>
      </c>
      <c r="BR32" s="8" t="s">
        <v>202</v>
      </c>
      <c r="BS32" s="8" t="s">
        <v>380</v>
      </c>
      <c r="BT32" s="8" t="s">
        <v>210</v>
      </c>
      <c r="BU32" s="8" t="s">
        <v>201</v>
      </c>
      <c r="BV32" s="8" t="s">
        <v>201</v>
      </c>
      <c r="BW32" s="8" t="s">
        <v>201</v>
      </c>
      <c r="BX32" s="8" t="s">
        <v>201</v>
      </c>
      <c r="BY32" s="8" t="s">
        <v>202</v>
      </c>
      <c r="BZ32" s="8" t="s">
        <v>202</v>
      </c>
      <c r="CA32" s="8" t="s">
        <v>202</v>
      </c>
      <c r="CB32" s="8" t="s">
        <v>202</v>
      </c>
      <c r="CC32" s="8" t="s">
        <v>203</v>
      </c>
      <c r="CD32" s="8" t="s">
        <v>204</v>
      </c>
      <c r="CE32" s="8" t="s">
        <v>204</v>
      </c>
      <c r="CF32" s="8" t="s">
        <v>204</v>
      </c>
      <c r="CG32" s="8"/>
      <c r="CH32" s="8" t="s">
        <v>208</v>
      </c>
      <c r="CI32" s="8" t="s">
        <v>208</v>
      </c>
      <c r="CJ32" s="8" t="s">
        <v>201</v>
      </c>
      <c r="CK32" s="8" t="s">
        <v>201</v>
      </c>
      <c r="CL32" s="8" t="s">
        <v>202</v>
      </c>
      <c r="CM32" s="8" t="s">
        <v>201</v>
      </c>
      <c r="CN32" s="8" t="s">
        <v>202</v>
      </c>
      <c r="CO32" s="8" t="s">
        <v>201</v>
      </c>
      <c r="CP32" s="8" t="s">
        <v>202</v>
      </c>
      <c r="CQ32" s="8" t="s">
        <v>203</v>
      </c>
      <c r="CR32" s="8" t="s">
        <v>203</v>
      </c>
      <c r="CS32" s="8" t="s">
        <v>201</v>
      </c>
      <c r="CT32" s="8" t="s">
        <v>203</v>
      </c>
      <c r="CU32" s="8" t="s">
        <v>201</v>
      </c>
      <c r="CV32" s="8" t="s">
        <v>203</v>
      </c>
      <c r="CW32" s="8" t="s">
        <v>201</v>
      </c>
      <c r="CX32" s="8" t="s">
        <v>202</v>
      </c>
      <c r="CY32" s="8" t="s">
        <v>202</v>
      </c>
      <c r="CZ32" s="8" t="s">
        <v>202</v>
      </c>
      <c r="DA32" s="8" t="s">
        <v>204</v>
      </c>
      <c r="DB32" s="8" t="s">
        <v>264</v>
      </c>
      <c r="DC32" s="8"/>
      <c r="DD32" s="8"/>
      <c r="DE32" s="8"/>
      <c r="DF32" s="8"/>
      <c r="DG32" s="8"/>
      <c r="DH32" s="8" t="s">
        <v>201</v>
      </c>
      <c r="DI32" s="8" t="s">
        <v>202</v>
      </c>
      <c r="DJ32" s="8" t="s">
        <v>202</v>
      </c>
      <c r="DK32" s="8" t="s">
        <v>202</v>
      </c>
      <c r="DL32" s="8" t="s">
        <v>204</v>
      </c>
      <c r="DM32" s="8" t="s">
        <v>203</v>
      </c>
      <c r="DN32" s="8" t="s">
        <v>202</v>
      </c>
      <c r="DO32" s="8" t="s">
        <v>380</v>
      </c>
      <c r="DP32" s="8"/>
      <c r="DQ32" s="8"/>
      <c r="DR32" s="8"/>
      <c r="DS32" s="8"/>
      <c r="DT32" s="8"/>
      <c r="DU32" s="8"/>
      <c r="DV32" s="8"/>
      <c r="DW32" s="8" t="s">
        <v>228</v>
      </c>
      <c r="DX32" s="8"/>
      <c r="DY32" s="8"/>
      <c r="DZ32" s="8"/>
      <c r="EA32" s="8"/>
      <c r="EB32" s="8"/>
      <c r="EC32" s="8"/>
      <c r="ED32" s="8"/>
      <c r="EE32" s="8"/>
      <c r="EF32" s="8" t="s">
        <v>203</v>
      </c>
      <c r="EG32" s="8" t="s">
        <v>203</v>
      </c>
      <c r="EH32" s="8" t="s">
        <v>203</v>
      </c>
      <c r="EI32" s="8" t="s">
        <v>203</v>
      </c>
      <c r="EJ32" s="8" t="s">
        <v>204</v>
      </c>
      <c r="EK32" s="8" t="s">
        <v>201</v>
      </c>
      <c r="EL32" s="8" t="s">
        <v>201</v>
      </c>
      <c r="EM32" s="8" t="s">
        <v>202</v>
      </c>
      <c r="EN32" s="8" t="s">
        <v>205</v>
      </c>
      <c r="EO32" s="8" t="s">
        <v>205</v>
      </c>
      <c r="EP32" s="8"/>
      <c r="EQ32" s="8" t="s">
        <v>203</v>
      </c>
      <c r="ER32" s="8" t="s">
        <v>203</v>
      </c>
      <c r="ES32" s="8"/>
      <c r="ET32" s="8" t="s">
        <v>202</v>
      </c>
      <c r="EU32" s="8" t="s">
        <v>203</v>
      </c>
      <c r="EV32" s="8" t="s">
        <v>203</v>
      </c>
      <c r="EW32" s="8" t="s">
        <v>204</v>
      </c>
      <c r="EX32" s="8"/>
      <c r="EY32" s="8" t="s">
        <v>203</v>
      </c>
      <c r="EZ32" s="8" t="s">
        <v>205</v>
      </c>
      <c r="FA32" s="8" t="s">
        <v>203</v>
      </c>
      <c r="FB32" s="8" t="s">
        <v>203</v>
      </c>
      <c r="FC32" s="8" t="s">
        <v>203</v>
      </c>
      <c r="FD32" s="8" t="s">
        <v>203</v>
      </c>
      <c r="FE32" s="8" t="s">
        <v>203</v>
      </c>
      <c r="FF32" s="8" t="s">
        <v>203</v>
      </c>
      <c r="FG32" s="8" t="s">
        <v>203</v>
      </c>
      <c r="FH32" s="8" t="s">
        <v>203</v>
      </c>
      <c r="FI32" s="8" t="s">
        <v>203</v>
      </c>
      <c r="FJ32" s="8" t="s">
        <v>205</v>
      </c>
      <c r="FK32" s="8" t="s">
        <v>203</v>
      </c>
      <c r="FL32" s="8" t="s">
        <v>203</v>
      </c>
      <c r="FM32" s="8" t="s">
        <v>203</v>
      </c>
      <c r="FN32" s="8" t="s">
        <v>203</v>
      </c>
      <c r="FO32" s="8" t="s">
        <v>203</v>
      </c>
      <c r="FP32" s="8" t="s">
        <v>203</v>
      </c>
      <c r="FQ32" s="8" t="s">
        <v>203</v>
      </c>
      <c r="FR32" s="8" t="s">
        <v>203</v>
      </c>
      <c r="FS32" s="8" t="s">
        <v>204</v>
      </c>
      <c r="FT32" s="8" t="s">
        <v>203</v>
      </c>
      <c r="FU32" s="8" t="s">
        <v>201</v>
      </c>
      <c r="FV32" s="8" t="s">
        <v>380</v>
      </c>
      <c r="FW32" s="8" t="s">
        <v>210</v>
      </c>
      <c r="FX32" s="8"/>
      <c r="FY32" s="8" t="s">
        <v>203</v>
      </c>
      <c r="FZ32" s="8" t="s">
        <v>203</v>
      </c>
      <c r="GA32" s="8" t="s">
        <v>202</v>
      </c>
      <c r="GB32" s="8" t="s">
        <v>203</v>
      </c>
      <c r="GC32" s="8"/>
      <c r="GD32" s="8"/>
      <c r="GE32" s="8" t="s">
        <v>202</v>
      </c>
      <c r="GF32" s="8" t="s">
        <v>201</v>
      </c>
      <c r="GG32" s="8" t="s">
        <v>201</v>
      </c>
      <c r="GH32" s="8" t="s">
        <v>202</v>
      </c>
      <c r="GI32" s="8" t="s">
        <v>201</v>
      </c>
      <c r="GJ32" s="8" t="s">
        <v>201</v>
      </c>
      <c r="GK32" s="8"/>
      <c r="GL32" s="10">
        <f>DATE(2025,7,11)+TIME(22,8,12)</f>
        <v>45849.922361111108</v>
      </c>
    </row>
    <row r="33" spans="1:194" ht="47.25" x14ac:dyDescent="0.25">
      <c r="A33" s="6" t="s">
        <v>194</v>
      </c>
      <c r="B33" s="6" t="s">
        <v>195</v>
      </c>
      <c r="C33" s="6" t="s">
        <v>196</v>
      </c>
      <c r="D33" s="6" t="s">
        <v>381</v>
      </c>
      <c r="E33" s="6"/>
      <c r="F33" s="6" t="s">
        <v>198</v>
      </c>
      <c r="G33" s="6"/>
      <c r="H33" s="6"/>
      <c r="I33" s="6"/>
      <c r="J33" s="6"/>
      <c r="K33" s="6" t="s">
        <v>382</v>
      </c>
      <c r="L33" s="6"/>
      <c r="M33" s="6"/>
      <c r="N33" s="6"/>
      <c r="O33" s="6"/>
      <c r="P33" s="6"/>
      <c r="Q33" s="6"/>
      <c r="R33" s="6"/>
      <c r="S33" s="6"/>
      <c r="T33" s="6"/>
      <c r="U33" s="6"/>
      <c r="V33" s="6"/>
      <c r="W33" s="6"/>
      <c r="X33" s="6"/>
      <c r="Y33" s="6"/>
      <c r="Z33" s="6"/>
      <c r="AA33" s="6"/>
      <c r="AB33" s="6"/>
      <c r="AC33" s="6"/>
      <c r="AD33" s="6"/>
      <c r="AE33" s="6"/>
      <c r="AF33" s="4" t="s">
        <v>382</v>
      </c>
      <c r="AG33" s="6" t="s">
        <v>213</v>
      </c>
      <c r="AH33" s="6" t="s">
        <v>203</v>
      </c>
      <c r="AI33" s="6" t="s">
        <v>203</v>
      </c>
      <c r="AJ33" s="6" t="s">
        <v>203</v>
      </c>
      <c r="AK33" s="6" t="s">
        <v>202</v>
      </c>
      <c r="AL33" s="6" t="s">
        <v>201</v>
      </c>
      <c r="AM33" s="6" t="s">
        <v>201</v>
      </c>
      <c r="AN33" s="6" t="s">
        <v>201</v>
      </c>
      <c r="AO33" s="6" t="s">
        <v>201</v>
      </c>
      <c r="AP33" s="6" t="s">
        <v>203</v>
      </c>
      <c r="AQ33" s="6" t="s">
        <v>201</v>
      </c>
      <c r="AR33" s="6" t="s">
        <v>201</v>
      </c>
      <c r="AS33" s="6"/>
      <c r="AT33" s="6" t="s">
        <v>205</v>
      </c>
      <c r="AU33" s="6" t="s">
        <v>203</v>
      </c>
      <c r="AV33" s="6" t="s">
        <v>205</v>
      </c>
      <c r="AW33" s="6" t="s">
        <v>203</v>
      </c>
      <c r="AX33" s="6" t="s">
        <v>203</v>
      </c>
      <c r="AY33" s="6" t="s">
        <v>204</v>
      </c>
      <c r="AZ33" s="6" t="s">
        <v>204</v>
      </c>
      <c r="BA33" s="6" t="s">
        <v>205</v>
      </c>
      <c r="BB33" s="6" t="s">
        <v>204</v>
      </c>
      <c r="BC33" s="6" t="s">
        <v>204</v>
      </c>
      <c r="BD33" s="6" t="s">
        <v>204</v>
      </c>
      <c r="BE33" s="6" t="s">
        <v>204</v>
      </c>
      <c r="BF33" s="6" t="s">
        <v>205</v>
      </c>
      <c r="BG33" s="6" t="s">
        <v>203</v>
      </c>
      <c r="BH33" s="6" t="s">
        <v>203</v>
      </c>
      <c r="BI33" s="6" t="s">
        <v>204</v>
      </c>
      <c r="BJ33" s="6" t="s">
        <v>203</v>
      </c>
      <c r="BK33" s="6" t="s">
        <v>205</v>
      </c>
      <c r="BL33" s="6" t="s">
        <v>203</v>
      </c>
      <c r="BM33" s="6" t="s">
        <v>203</v>
      </c>
      <c r="BN33" s="6" t="s">
        <v>204</v>
      </c>
      <c r="BO33" s="6" t="s">
        <v>203</v>
      </c>
      <c r="BP33" s="6" t="s">
        <v>203</v>
      </c>
      <c r="BQ33" s="6" t="s">
        <v>203</v>
      </c>
      <c r="BR33" s="6" t="s">
        <v>204</v>
      </c>
      <c r="BS33" s="6"/>
      <c r="BT33" s="6" t="s">
        <v>210</v>
      </c>
      <c r="BU33" s="6" t="s">
        <v>201</v>
      </c>
      <c r="BV33" s="6" t="s">
        <v>201</v>
      </c>
      <c r="BW33" s="6" t="s">
        <v>201</v>
      </c>
      <c r="BX33" s="6" t="s">
        <v>201</v>
      </c>
      <c r="BY33" s="6" t="s">
        <v>201</v>
      </c>
      <c r="BZ33" s="6" t="s">
        <v>201</v>
      </c>
      <c r="CA33" s="6" t="s">
        <v>201</v>
      </c>
      <c r="CB33" s="6" t="s">
        <v>201</v>
      </c>
      <c r="CC33" s="6" t="s">
        <v>201</v>
      </c>
      <c r="CD33" s="6" t="s">
        <v>201</v>
      </c>
      <c r="CE33" s="6" t="s">
        <v>201</v>
      </c>
      <c r="CF33" s="6" t="s">
        <v>201</v>
      </c>
      <c r="CG33" s="6"/>
      <c r="CH33" s="6" t="s">
        <v>208</v>
      </c>
      <c r="CI33" s="6" t="s">
        <v>208</v>
      </c>
      <c r="CJ33" s="6" t="s">
        <v>201</v>
      </c>
      <c r="CK33" s="6" t="s">
        <v>201</v>
      </c>
      <c r="CL33" s="6" t="s">
        <v>201</v>
      </c>
      <c r="CM33" s="6" t="s">
        <v>201</v>
      </c>
      <c r="CN33" s="6" t="s">
        <v>201</v>
      </c>
      <c r="CO33" s="6" t="s">
        <v>201</v>
      </c>
      <c r="CP33" s="6" t="s">
        <v>202</v>
      </c>
      <c r="CQ33" s="6" t="s">
        <v>202</v>
      </c>
      <c r="CR33" s="6" t="s">
        <v>201</v>
      </c>
      <c r="CS33" s="6" t="s">
        <v>201</v>
      </c>
      <c r="CT33" s="6" t="s">
        <v>201</v>
      </c>
      <c r="CU33" s="6" t="s">
        <v>201</v>
      </c>
      <c r="CV33" s="6" t="s">
        <v>203</v>
      </c>
      <c r="CW33" s="6" t="s">
        <v>201</v>
      </c>
      <c r="CX33" s="6" t="s">
        <v>201</v>
      </c>
      <c r="CY33" s="6" t="s">
        <v>201</v>
      </c>
      <c r="CZ33" s="6" t="s">
        <v>201</v>
      </c>
      <c r="DA33" s="6" t="s">
        <v>201</v>
      </c>
      <c r="DB33" s="6"/>
      <c r="DC33" s="6"/>
      <c r="DD33" s="6"/>
      <c r="DE33" s="6"/>
      <c r="DF33" s="6" t="s">
        <v>217</v>
      </c>
      <c r="DG33" s="6"/>
      <c r="DH33" s="6" t="s">
        <v>201</v>
      </c>
      <c r="DI33" s="6" t="s">
        <v>201</v>
      </c>
      <c r="DJ33" s="6" t="s">
        <v>201</v>
      </c>
      <c r="DK33" s="6" t="s">
        <v>201</v>
      </c>
      <c r="DL33" s="6" t="s">
        <v>201</v>
      </c>
      <c r="DM33" s="6" t="s">
        <v>201</v>
      </c>
      <c r="DN33" s="6" t="s">
        <v>204</v>
      </c>
      <c r="DO33" s="6"/>
      <c r="DP33" s="6"/>
      <c r="DQ33" s="6"/>
      <c r="DR33" s="6"/>
      <c r="DS33" s="6"/>
      <c r="DT33" s="6"/>
      <c r="DU33" s="6"/>
      <c r="DV33" s="6"/>
      <c r="DW33" s="6" t="s">
        <v>208</v>
      </c>
      <c r="DX33" s="6" t="s">
        <v>246</v>
      </c>
      <c r="DY33" s="6" t="s">
        <v>247</v>
      </c>
      <c r="DZ33" s="6" t="s">
        <v>219</v>
      </c>
      <c r="EA33" s="6" t="s">
        <v>220</v>
      </c>
      <c r="EB33" s="6"/>
      <c r="EC33" s="6" t="s">
        <v>201</v>
      </c>
      <c r="ED33" s="6" t="s">
        <v>202</v>
      </c>
      <c r="EE33" s="6" t="s">
        <v>201</v>
      </c>
      <c r="EF33" s="6" t="s">
        <v>201</v>
      </c>
      <c r="EG33" s="6" t="s">
        <v>201</v>
      </c>
      <c r="EH33" s="6" t="s">
        <v>202</v>
      </c>
      <c r="EI33" s="6" t="s">
        <v>201</v>
      </c>
      <c r="EJ33" s="6" t="s">
        <v>201</v>
      </c>
      <c r="EK33" s="6" t="s">
        <v>201</v>
      </c>
      <c r="EL33" s="6" t="s">
        <v>201</v>
      </c>
      <c r="EM33" s="6" t="s">
        <v>202</v>
      </c>
      <c r="EN33" s="6" t="s">
        <v>205</v>
      </c>
      <c r="EO33" s="6" t="s">
        <v>203</v>
      </c>
      <c r="EP33" s="6"/>
      <c r="EQ33" s="6" t="s">
        <v>201</v>
      </c>
      <c r="ER33" s="6" t="s">
        <v>205</v>
      </c>
      <c r="ES33" s="6"/>
      <c r="ET33" s="6" t="s">
        <v>201</v>
      </c>
      <c r="EU33" s="6" t="s">
        <v>203</v>
      </c>
      <c r="EV33" s="6" t="s">
        <v>203</v>
      </c>
      <c r="EW33" s="6" t="s">
        <v>204</v>
      </c>
      <c r="EX33" s="6"/>
      <c r="EY33" s="6" t="s">
        <v>202</v>
      </c>
      <c r="EZ33" s="6" t="s">
        <v>205</v>
      </c>
      <c r="FA33" s="6" t="s">
        <v>202</v>
      </c>
      <c r="FB33" s="6" t="s">
        <v>201</v>
      </c>
      <c r="FC33" s="6" t="s">
        <v>202</v>
      </c>
      <c r="FD33" s="6" t="s">
        <v>201</v>
      </c>
      <c r="FE33" s="6" t="s">
        <v>203</v>
      </c>
      <c r="FF33" s="6" t="s">
        <v>203</v>
      </c>
      <c r="FG33" s="6" t="s">
        <v>201</v>
      </c>
      <c r="FH33" s="6"/>
      <c r="FI33" s="6"/>
      <c r="FJ33" s="6"/>
      <c r="FK33" s="6"/>
      <c r="FL33" s="6"/>
      <c r="FM33" s="6"/>
      <c r="FN33" s="6"/>
      <c r="FO33" s="6"/>
      <c r="FP33" s="6"/>
      <c r="FQ33" s="6"/>
      <c r="FR33" s="6" t="s">
        <v>201</v>
      </c>
      <c r="FS33" s="6" t="s">
        <v>201</v>
      </c>
      <c r="FT33" s="6" t="s">
        <v>201</v>
      </c>
      <c r="FU33" s="6" t="s">
        <v>204</v>
      </c>
      <c r="FV33" s="6"/>
      <c r="FW33" s="6" t="s">
        <v>210</v>
      </c>
      <c r="FX33" s="6"/>
      <c r="FY33" s="6" t="s">
        <v>201</v>
      </c>
      <c r="FZ33" s="6" t="s">
        <v>201</v>
      </c>
      <c r="GA33" s="6" t="s">
        <v>201</v>
      </c>
      <c r="GB33" s="6" t="s">
        <v>201</v>
      </c>
      <c r="GC33" s="6" t="s">
        <v>204</v>
      </c>
      <c r="GD33" s="6"/>
      <c r="GE33" s="6" t="s">
        <v>203</v>
      </c>
      <c r="GF33" s="6" t="s">
        <v>201</v>
      </c>
      <c r="GG33" s="6" t="s">
        <v>201</v>
      </c>
      <c r="GH33" s="6" t="s">
        <v>201</v>
      </c>
      <c r="GI33" s="6" t="s">
        <v>201</v>
      </c>
      <c r="GJ33" s="6" t="s">
        <v>201</v>
      </c>
      <c r="GK33" s="6"/>
      <c r="GL33" s="7">
        <f>DATE(2025,7,11)+TIME(12,20,48)</f>
        <v>45849.514444444445</v>
      </c>
    </row>
    <row r="34" spans="1:194" ht="47.25" x14ac:dyDescent="0.25">
      <c r="A34" s="3" t="s">
        <v>383</v>
      </c>
      <c r="B34" s="3" t="s">
        <v>384</v>
      </c>
      <c r="C34" s="3" t="s">
        <v>385</v>
      </c>
      <c r="D34" s="3" t="s">
        <v>386</v>
      </c>
      <c r="E34" s="3"/>
      <c r="F34" s="3" t="s">
        <v>250</v>
      </c>
      <c r="G34" s="3"/>
      <c r="H34" s="3"/>
      <c r="I34" s="3"/>
      <c r="J34" s="3"/>
      <c r="K34" s="3"/>
      <c r="L34" s="3"/>
      <c r="M34" s="3"/>
      <c r="N34" s="3"/>
      <c r="O34" s="3"/>
      <c r="P34" s="3"/>
      <c r="Q34" s="3"/>
      <c r="R34" s="3"/>
      <c r="S34" s="3"/>
      <c r="T34" s="3"/>
      <c r="U34" s="3"/>
      <c r="V34" s="3"/>
      <c r="W34" s="3"/>
      <c r="X34" s="3" t="s">
        <v>387</v>
      </c>
      <c r="Y34" s="3"/>
      <c r="Z34" s="3"/>
      <c r="AA34" s="3"/>
      <c r="AB34" s="3"/>
      <c r="AC34" s="3"/>
      <c r="AD34" s="3"/>
      <c r="AE34" s="3"/>
      <c r="AF34" s="4" t="s">
        <v>387</v>
      </c>
      <c r="AG34" s="3" t="s">
        <v>235</v>
      </c>
      <c r="AH34" s="3" t="s">
        <v>201</v>
      </c>
      <c r="AI34" s="3" t="s">
        <v>201</v>
      </c>
      <c r="AJ34" s="3" t="s">
        <v>204</v>
      </c>
      <c r="AK34" s="3" t="s">
        <v>202</v>
      </c>
      <c r="AL34" s="3" t="s">
        <v>201</v>
      </c>
      <c r="AM34" s="3" t="s">
        <v>204</v>
      </c>
      <c r="AN34" s="3" t="s">
        <v>204</v>
      </c>
      <c r="AO34" s="3" t="s">
        <v>202</v>
      </c>
      <c r="AP34" s="3" t="s">
        <v>202</v>
      </c>
      <c r="AQ34" s="3" t="s">
        <v>203</v>
      </c>
      <c r="AR34" s="3" t="s">
        <v>205</v>
      </c>
      <c r="AS34" s="3"/>
      <c r="AT34" s="3" t="s">
        <v>201</v>
      </c>
      <c r="AU34" s="3" t="s">
        <v>205</v>
      </c>
      <c r="AV34" s="3" t="s">
        <v>205</v>
      </c>
      <c r="AW34" s="3" t="s">
        <v>202</v>
      </c>
      <c r="AX34" s="3" t="s">
        <v>201</v>
      </c>
      <c r="AY34" s="3" t="s">
        <v>201</v>
      </c>
      <c r="AZ34" s="3" t="s">
        <v>205</v>
      </c>
      <c r="BA34" s="3" t="s">
        <v>205</v>
      </c>
      <c r="BB34" s="3" t="s">
        <v>201</v>
      </c>
      <c r="BC34" s="3" t="s">
        <v>201</v>
      </c>
      <c r="BD34" s="3" t="s">
        <v>201</v>
      </c>
      <c r="BE34" s="3" t="s">
        <v>204</v>
      </c>
      <c r="BF34" s="3" t="s">
        <v>204</v>
      </c>
      <c r="BG34" s="3" t="s">
        <v>204</v>
      </c>
      <c r="BH34" s="3" t="s">
        <v>204</v>
      </c>
      <c r="BI34" s="3" t="s">
        <v>204</v>
      </c>
      <c r="BJ34" s="3" t="s">
        <v>205</v>
      </c>
      <c r="BK34" s="3" t="s">
        <v>205</v>
      </c>
      <c r="BL34" s="3" t="s">
        <v>201</v>
      </c>
      <c r="BM34" s="3" t="s">
        <v>201</v>
      </c>
      <c r="BN34" s="3" t="s">
        <v>201</v>
      </c>
      <c r="BO34" s="3" t="s">
        <v>201</v>
      </c>
      <c r="BP34" s="3" t="s">
        <v>204</v>
      </c>
      <c r="BQ34" s="3" t="s">
        <v>204</v>
      </c>
      <c r="BR34" s="3" t="s">
        <v>204</v>
      </c>
      <c r="BS34" s="3"/>
      <c r="BT34" s="3" t="s">
        <v>206</v>
      </c>
      <c r="BU34" s="3" t="s">
        <v>201</v>
      </c>
      <c r="BV34" s="3" t="s">
        <v>202</v>
      </c>
      <c r="BW34" s="3" t="s">
        <v>201</v>
      </c>
      <c r="BX34" s="3" t="s">
        <v>201</v>
      </c>
      <c r="BY34" s="3" t="s">
        <v>202</v>
      </c>
      <c r="BZ34" s="3" t="s">
        <v>201</v>
      </c>
      <c r="CA34" s="3" t="s">
        <v>204</v>
      </c>
      <c r="CB34" s="3" t="s">
        <v>204</v>
      </c>
      <c r="CC34" s="3" t="s">
        <v>204</v>
      </c>
      <c r="CD34" s="3" t="s">
        <v>201</v>
      </c>
      <c r="CE34" s="3" t="s">
        <v>202</v>
      </c>
      <c r="CF34" s="3" t="s">
        <v>201</v>
      </c>
      <c r="CG34" s="3"/>
      <c r="CH34" s="3" t="s">
        <v>207</v>
      </c>
      <c r="CI34" s="3" t="s">
        <v>207</v>
      </c>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t="s">
        <v>236</v>
      </c>
      <c r="DQ34" s="3"/>
      <c r="DR34" s="3"/>
      <c r="DS34" s="3" t="s">
        <v>288</v>
      </c>
      <c r="DT34" s="3"/>
      <c r="DU34" s="3"/>
      <c r="DV34" s="3"/>
      <c r="DW34" s="3" t="s">
        <v>207</v>
      </c>
      <c r="DX34" s="3"/>
      <c r="DY34" s="3"/>
      <c r="DZ34" s="3"/>
      <c r="EA34" s="3"/>
      <c r="EB34" s="3"/>
      <c r="EC34" s="3"/>
      <c r="ED34" s="3"/>
      <c r="EE34" s="3"/>
      <c r="EF34" s="3" t="s">
        <v>204</v>
      </c>
      <c r="EG34" s="3" t="s">
        <v>204</v>
      </c>
      <c r="EH34" s="3" t="s">
        <v>204</v>
      </c>
      <c r="EI34" s="3" t="s">
        <v>204</v>
      </c>
      <c r="EJ34" s="3" t="s">
        <v>204</v>
      </c>
      <c r="EK34" s="3" t="s">
        <v>204</v>
      </c>
      <c r="EL34" s="3" t="s">
        <v>204</v>
      </c>
      <c r="EM34" s="3"/>
      <c r="EN34" s="3"/>
      <c r="EO34" s="3"/>
      <c r="EP34" s="3"/>
      <c r="EQ34" s="3" t="s">
        <v>205</v>
      </c>
      <c r="ER34" s="3" t="s">
        <v>203</v>
      </c>
      <c r="ES34" s="3"/>
      <c r="ET34" s="3"/>
      <c r="EU34" s="3"/>
      <c r="EV34" s="3"/>
      <c r="EW34" s="3"/>
      <c r="EX34" s="3"/>
      <c r="EY34" s="3"/>
      <c r="EZ34" s="3"/>
      <c r="FA34" s="3"/>
      <c r="FB34" s="3"/>
      <c r="FC34" s="3"/>
      <c r="FD34" s="3"/>
      <c r="FE34" s="3"/>
      <c r="FF34" s="3"/>
      <c r="FG34" s="3"/>
      <c r="FH34" s="3" t="s">
        <v>203</v>
      </c>
      <c r="FI34" s="3" t="s">
        <v>205</v>
      </c>
      <c r="FJ34" s="3" t="s">
        <v>205</v>
      </c>
      <c r="FK34" s="3" t="s">
        <v>203</v>
      </c>
      <c r="FL34" s="3" t="s">
        <v>203</v>
      </c>
      <c r="FM34" s="3" t="s">
        <v>202</v>
      </c>
      <c r="FN34" s="3" t="s">
        <v>204</v>
      </c>
      <c r="FO34" s="3" t="s">
        <v>201</v>
      </c>
      <c r="FP34" s="3" t="s">
        <v>203</v>
      </c>
      <c r="FQ34" s="3" t="s">
        <v>202</v>
      </c>
      <c r="FR34" s="3" t="s">
        <v>201</v>
      </c>
      <c r="FS34" s="3" t="s">
        <v>204</v>
      </c>
      <c r="FT34" s="3" t="s">
        <v>204</v>
      </c>
      <c r="FU34" s="3" t="s">
        <v>204</v>
      </c>
      <c r="FV34" s="3"/>
      <c r="FW34" s="3" t="s">
        <v>210</v>
      </c>
      <c r="FX34" s="3"/>
      <c r="FY34" s="3" t="s">
        <v>201</v>
      </c>
      <c r="FZ34" s="3" t="s">
        <v>201</v>
      </c>
      <c r="GA34" s="3" t="s">
        <v>201</v>
      </c>
      <c r="GB34" s="3" t="s">
        <v>201</v>
      </c>
      <c r="GC34" s="3" t="s">
        <v>204</v>
      </c>
      <c r="GD34" s="3"/>
      <c r="GE34" s="3" t="s">
        <v>201</v>
      </c>
      <c r="GF34" s="3" t="s">
        <v>201</v>
      </c>
      <c r="GG34" s="3" t="s">
        <v>203</v>
      </c>
      <c r="GH34" s="3" t="s">
        <v>203</v>
      </c>
      <c r="GI34" s="3" t="s">
        <v>201</v>
      </c>
      <c r="GJ34" s="3" t="s">
        <v>202</v>
      </c>
      <c r="GK34" s="3"/>
      <c r="GL34" s="5">
        <f>DATE(2025,5,29)+TIME(10,48,40)</f>
        <v>45806.450462962966</v>
      </c>
    </row>
    <row r="35" spans="1:194" ht="126" x14ac:dyDescent="0.25">
      <c r="A35" s="6" t="s">
        <v>388</v>
      </c>
      <c r="B35" s="6" t="s">
        <v>389</v>
      </c>
      <c r="C35" s="6" t="s">
        <v>390</v>
      </c>
      <c r="D35" s="6" t="s">
        <v>391</v>
      </c>
      <c r="E35" s="6"/>
      <c r="F35" s="6" t="s">
        <v>250</v>
      </c>
      <c r="G35" s="6"/>
      <c r="H35" s="6"/>
      <c r="I35" s="6"/>
      <c r="J35" s="6"/>
      <c r="K35" s="6"/>
      <c r="L35" s="6"/>
      <c r="M35" s="6"/>
      <c r="N35" s="6"/>
      <c r="O35" s="6"/>
      <c r="P35" s="6"/>
      <c r="Q35" s="6"/>
      <c r="R35" s="6"/>
      <c r="S35" s="6"/>
      <c r="T35" s="6"/>
      <c r="U35" s="6"/>
      <c r="V35" s="6"/>
      <c r="W35" s="6"/>
      <c r="X35" s="6" t="s">
        <v>392</v>
      </c>
      <c r="Y35" s="6"/>
      <c r="Z35" s="6"/>
      <c r="AA35" s="6"/>
      <c r="AB35" s="6"/>
      <c r="AC35" s="6"/>
      <c r="AD35" s="6"/>
      <c r="AE35" s="6"/>
      <c r="AF35" s="4" t="s">
        <v>392</v>
      </c>
      <c r="AG35" s="6" t="s">
        <v>213</v>
      </c>
      <c r="AH35" s="6" t="s">
        <v>205</v>
      </c>
      <c r="AI35" s="6" t="s">
        <v>202</v>
      </c>
      <c r="AJ35" s="6" t="s">
        <v>203</v>
      </c>
      <c r="AK35" s="6" t="s">
        <v>201</v>
      </c>
      <c r="AL35" s="6" t="s">
        <v>204</v>
      </c>
      <c r="AM35" s="6" t="s">
        <v>201</v>
      </c>
      <c r="AN35" s="6" t="s">
        <v>202</v>
      </c>
      <c r="AO35" s="6" t="s">
        <v>202</v>
      </c>
      <c r="AP35" s="6" t="s">
        <v>202</v>
      </c>
      <c r="AQ35" s="6" t="s">
        <v>202</v>
      </c>
      <c r="AR35" s="6" t="s">
        <v>202</v>
      </c>
      <c r="AS35" s="6"/>
      <c r="AT35" s="6" t="s">
        <v>203</v>
      </c>
      <c r="AU35" s="6" t="s">
        <v>205</v>
      </c>
      <c r="AV35" s="6" t="s">
        <v>205</v>
      </c>
      <c r="AW35" s="6" t="s">
        <v>205</v>
      </c>
      <c r="AX35" s="6" t="s">
        <v>205</v>
      </c>
      <c r="AY35" s="6" t="s">
        <v>205</v>
      </c>
      <c r="AZ35" s="6" t="s">
        <v>203</v>
      </c>
      <c r="BA35" s="6" t="s">
        <v>203</v>
      </c>
      <c r="BB35" s="6" t="s">
        <v>202</v>
      </c>
      <c r="BC35" s="6" t="s">
        <v>203</v>
      </c>
      <c r="BD35" s="6" t="s">
        <v>203</v>
      </c>
      <c r="BE35" s="6" t="s">
        <v>205</v>
      </c>
      <c r="BF35" s="6" t="s">
        <v>205</v>
      </c>
      <c r="BG35" s="6" t="s">
        <v>205</v>
      </c>
      <c r="BH35" s="6" t="s">
        <v>205</v>
      </c>
      <c r="BI35" s="6" t="s">
        <v>205</v>
      </c>
      <c r="BJ35" s="6" t="s">
        <v>203</v>
      </c>
      <c r="BK35" s="6" t="s">
        <v>205</v>
      </c>
      <c r="BL35" s="6" t="s">
        <v>203</v>
      </c>
      <c r="BM35" s="6" t="s">
        <v>205</v>
      </c>
      <c r="BN35" s="6" t="s">
        <v>205</v>
      </c>
      <c r="BO35" s="6" t="s">
        <v>203</v>
      </c>
      <c r="BP35" s="6" t="s">
        <v>203</v>
      </c>
      <c r="BQ35" s="6" t="s">
        <v>203</v>
      </c>
      <c r="BR35" s="6" t="s">
        <v>205</v>
      </c>
      <c r="BS35" s="6"/>
      <c r="BT35" s="6" t="s">
        <v>210</v>
      </c>
      <c r="BU35" s="6" t="s">
        <v>201</v>
      </c>
      <c r="BV35" s="6" t="s">
        <v>201</v>
      </c>
      <c r="BW35" s="6" t="s">
        <v>201</v>
      </c>
      <c r="BX35" s="6" t="s">
        <v>204</v>
      </c>
      <c r="BY35" s="6" t="s">
        <v>204</v>
      </c>
      <c r="BZ35" s="6" t="s">
        <v>204</v>
      </c>
      <c r="CA35" s="6" t="s">
        <v>202</v>
      </c>
      <c r="CB35" s="6" t="s">
        <v>202</v>
      </c>
      <c r="CC35" s="6" t="s">
        <v>202</v>
      </c>
      <c r="CD35" s="6" t="s">
        <v>204</v>
      </c>
      <c r="CE35" s="6" t="s">
        <v>204</v>
      </c>
      <c r="CF35" s="6" t="s">
        <v>204</v>
      </c>
      <c r="CG35" s="6"/>
      <c r="CH35" s="6" t="s">
        <v>207</v>
      </c>
      <c r="CI35" s="6" t="s">
        <v>208</v>
      </c>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t="s">
        <v>393</v>
      </c>
      <c r="DW35" s="6" t="s">
        <v>207</v>
      </c>
      <c r="DX35" s="6"/>
      <c r="DY35" s="6"/>
      <c r="DZ35" s="6"/>
      <c r="EA35" s="6"/>
      <c r="EB35" s="6"/>
      <c r="EC35" s="6"/>
      <c r="ED35" s="6"/>
      <c r="EE35" s="6"/>
      <c r="EF35" s="6" t="s">
        <v>202</v>
      </c>
      <c r="EG35" s="6" t="s">
        <v>202</v>
      </c>
      <c r="EH35" s="6" t="s">
        <v>202</v>
      </c>
      <c r="EI35" s="6" t="s">
        <v>203</v>
      </c>
      <c r="EJ35" s="6" t="s">
        <v>201</v>
      </c>
      <c r="EK35" s="6" t="s">
        <v>201</v>
      </c>
      <c r="EL35" s="6" t="s">
        <v>201</v>
      </c>
      <c r="EM35" s="6" t="s">
        <v>205</v>
      </c>
      <c r="EN35" s="6" t="s">
        <v>205</v>
      </c>
      <c r="EO35" s="6" t="s">
        <v>202</v>
      </c>
      <c r="EP35" s="6"/>
      <c r="EQ35" s="6" t="s">
        <v>205</v>
      </c>
      <c r="ER35" s="6" t="s">
        <v>205</v>
      </c>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t="s">
        <v>202</v>
      </c>
      <c r="FZ35" s="6" t="s">
        <v>201</v>
      </c>
      <c r="GA35" s="6" t="s">
        <v>201</v>
      </c>
      <c r="GB35" s="6" t="s">
        <v>202</v>
      </c>
      <c r="GC35" s="6" t="s">
        <v>204</v>
      </c>
      <c r="GD35" s="6"/>
      <c r="GE35" s="6" t="s">
        <v>201</v>
      </c>
      <c r="GF35" s="6" t="s">
        <v>202</v>
      </c>
      <c r="GG35" s="6" t="s">
        <v>201</v>
      </c>
      <c r="GH35" s="6" t="s">
        <v>203</v>
      </c>
      <c r="GI35" s="6" t="s">
        <v>201</v>
      </c>
      <c r="GJ35" s="6" t="s">
        <v>202</v>
      </c>
      <c r="GK35" s="6"/>
      <c r="GL35" s="7">
        <f>DATE(2025,6,6)+TIME(11,59,32)</f>
        <v>45814.499675925923</v>
      </c>
    </row>
    <row r="36" spans="1:194" ht="47.25" x14ac:dyDescent="0.25">
      <c r="A36" s="3" t="s">
        <v>394</v>
      </c>
      <c r="B36" s="3" t="s">
        <v>395</v>
      </c>
      <c r="C36" s="3" t="s">
        <v>396</v>
      </c>
      <c r="D36" s="3" t="s">
        <v>397</v>
      </c>
      <c r="E36" s="3"/>
      <c r="F36" s="3" t="s">
        <v>256</v>
      </c>
      <c r="G36" s="3"/>
      <c r="H36" s="3"/>
      <c r="I36" s="3" t="s">
        <v>398</v>
      </c>
      <c r="J36" s="3"/>
      <c r="K36" s="3"/>
      <c r="L36" s="3"/>
      <c r="M36" s="3"/>
      <c r="N36" s="3"/>
      <c r="O36" s="3"/>
      <c r="P36" s="3"/>
      <c r="Q36" s="3"/>
      <c r="R36" s="3"/>
      <c r="S36" s="3"/>
      <c r="T36" s="3"/>
      <c r="U36" s="3"/>
      <c r="V36" s="3"/>
      <c r="W36" s="3"/>
      <c r="X36" s="3"/>
      <c r="Y36" s="3"/>
      <c r="Z36" s="3"/>
      <c r="AA36" s="3"/>
      <c r="AB36" s="3"/>
      <c r="AC36" s="3"/>
      <c r="AD36" s="3"/>
      <c r="AE36" s="3"/>
      <c r="AF36" s="4" t="s">
        <v>398</v>
      </c>
      <c r="AG36" s="3" t="s">
        <v>235</v>
      </c>
      <c r="AH36" s="3" t="s">
        <v>201</v>
      </c>
      <c r="AI36" s="3" t="s">
        <v>203</v>
      </c>
      <c r="AJ36" s="3" t="s">
        <v>203</v>
      </c>
      <c r="AK36" s="3" t="s">
        <v>201</v>
      </c>
      <c r="AL36" s="3" t="s">
        <v>201</v>
      </c>
      <c r="AM36" s="3" t="s">
        <v>201</v>
      </c>
      <c r="AN36" s="3" t="s">
        <v>202</v>
      </c>
      <c r="AO36" s="3" t="s">
        <v>201</v>
      </c>
      <c r="AP36" s="3" t="s">
        <v>202</v>
      </c>
      <c r="AQ36" s="3" t="s">
        <v>204</v>
      </c>
      <c r="AR36" s="3" t="s">
        <v>202</v>
      </c>
      <c r="AS36" s="3"/>
      <c r="AT36" s="3" t="s">
        <v>204</v>
      </c>
      <c r="AU36" s="3" t="s">
        <v>202</v>
      </c>
      <c r="AV36" s="3" t="s">
        <v>205</v>
      </c>
      <c r="AW36" s="3" t="s">
        <v>201</v>
      </c>
      <c r="AX36" s="3" t="s">
        <v>203</v>
      </c>
      <c r="AY36" s="3" t="s">
        <v>202</v>
      </c>
      <c r="AZ36" s="3" t="s">
        <v>202</v>
      </c>
      <c r="BA36" s="3" t="s">
        <v>205</v>
      </c>
      <c r="BB36" s="3" t="s">
        <v>201</v>
      </c>
      <c r="BC36" s="3" t="s">
        <v>203</v>
      </c>
      <c r="BD36" s="3" t="s">
        <v>204</v>
      </c>
      <c r="BE36" s="3" t="s">
        <v>205</v>
      </c>
      <c r="BF36" s="3" t="s">
        <v>205</v>
      </c>
      <c r="BG36" s="3" t="s">
        <v>203</v>
      </c>
      <c r="BH36" s="3" t="s">
        <v>203</v>
      </c>
      <c r="BI36" s="3" t="s">
        <v>204</v>
      </c>
      <c r="BJ36" s="3" t="s">
        <v>203</v>
      </c>
      <c r="BK36" s="3" t="s">
        <v>205</v>
      </c>
      <c r="BL36" s="3" t="s">
        <v>203</v>
      </c>
      <c r="BM36" s="3" t="s">
        <v>203</v>
      </c>
      <c r="BN36" s="3" t="s">
        <v>204</v>
      </c>
      <c r="BO36" s="3" t="s">
        <v>204</v>
      </c>
      <c r="BP36" s="3" t="s">
        <v>204</v>
      </c>
      <c r="BQ36" s="3" t="s">
        <v>204</v>
      </c>
      <c r="BR36" s="3" t="s">
        <v>204</v>
      </c>
      <c r="BS36" s="3"/>
      <c r="BT36" s="3" t="s">
        <v>206</v>
      </c>
      <c r="BU36" s="3" t="s">
        <v>201</v>
      </c>
      <c r="BV36" s="3" t="s">
        <v>201</v>
      </c>
      <c r="BW36" s="3" t="s">
        <v>201</v>
      </c>
      <c r="BX36" s="3" t="s">
        <v>202</v>
      </c>
      <c r="BY36" s="3" t="s">
        <v>202</v>
      </c>
      <c r="BZ36" s="3" t="s">
        <v>202</v>
      </c>
      <c r="CA36" s="3" t="s">
        <v>202</v>
      </c>
      <c r="CB36" s="3" t="s">
        <v>202</v>
      </c>
      <c r="CC36" s="3" t="s">
        <v>202</v>
      </c>
      <c r="CD36" s="3" t="s">
        <v>201</v>
      </c>
      <c r="CE36" s="3" t="s">
        <v>201</v>
      </c>
      <c r="CF36" s="3" t="s">
        <v>201</v>
      </c>
      <c r="CG36" s="3"/>
      <c r="CH36" s="3" t="s">
        <v>207</v>
      </c>
      <c r="CI36" s="3" t="s">
        <v>207</v>
      </c>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t="s">
        <v>237</v>
      </c>
      <c r="DR36" s="3"/>
      <c r="DS36" s="3"/>
      <c r="DT36" s="3"/>
      <c r="DU36" s="3"/>
      <c r="DV36" s="3"/>
      <c r="DW36" s="3" t="s">
        <v>207</v>
      </c>
      <c r="DX36" s="3"/>
      <c r="DY36" s="3"/>
      <c r="DZ36" s="3"/>
      <c r="EA36" s="3"/>
      <c r="EB36" s="3"/>
      <c r="EC36" s="3"/>
      <c r="ED36" s="3"/>
      <c r="EE36" s="3"/>
      <c r="EF36" s="3" t="s">
        <v>205</v>
      </c>
      <c r="EG36" s="3" t="s">
        <v>202</v>
      </c>
      <c r="EH36" s="3" t="s">
        <v>202</v>
      </c>
      <c r="EI36" s="3" t="s">
        <v>201</v>
      </c>
      <c r="EJ36" s="3" t="s">
        <v>203</v>
      </c>
      <c r="EK36" s="3" t="s">
        <v>203</v>
      </c>
      <c r="EL36" s="3" t="s">
        <v>203</v>
      </c>
      <c r="EM36" s="3"/>
      <c r="EN36" s="3"/>
      <c r="EO36" s="3"/>
      <c r="EP36" s="3"/>
      <c r="EQ36" s="3" t="s">
        <v>202</v>
      </c>
      <c r="ER36" s="3" t="s">
        <v>203</v>
      </c>
      <c r="ES36" s="3"/>
      <c r="ET36" s="3" t="s">
        <v>203</v>
      </c>
      <c r="EU36" s="3" t="s">
        <v>204</v>
      </c>
      <c r="EV36" s="3" t="s">
        <v>204</v>
      </c>
      <c r="EW36" s="3"/>
      <c r="EX36" s="3"/>
      <c r="EY36" s="3" t="s">
        <v>202</v>
      </c>
      <c r="EZ36" s="3" t="s">
        <v>205</v>
      </c>
      <c r="FA36" s="3" t="s">
        <v>203</v>
      </c>
      <c r="FB36" s="3" t="s">
        <v>203</v>
      </c>
      <c r="FC36" s="3" t="s">
        <v>203</v>
      </c>
      <c r="FD36" s="3" t="s">
        <v>203</v>
      </c>
      <c r="FE36" s="3" t="s">
        <v>204</v>
      </c>
      <c r="FF36" s="3" t="s">
        <v>204</v>
      </c>
      <c r="FG36" s="3" t="s">
        <v>204</v>
      </c>
      <c r="FH36" s="3" t="s">
        <v>205</v>
      </c>
      <c r="FI36" s="3" t="s">
        <v>203</v>
      </c>
      <c r="FJ36" s="3" t="s">
        <v>205</v>
      </c>
      <c r="FK36" s="3" t="s">
        <v>202</v>
      </c>
      <c r="FL36" s="3" t="s">
        <v>203</v>
      </c>
      <c r="FM36" s="3" t="s">
        <v>203</v>
      </c>
      <c r="FN36" s="3" t="s">
        <v>203</v>
      </c>
      <c r="FO36" s="3" t="s">
        <v>203</v>
      </c>
      <c r="FP36" s="3" t="s">
        <v>203</v>
      </c>
      <c r="FQ36" s="3" t="s">
        <v>203</v>
      </c>
      <c r="FR36" s="3" t="s">
        <v>201</v>
      </c>
      <c r="FS36" s="3" t="s">
        <v>203</v>
      </c>
      <c r="FT36" s="3" t="s">
        <v>204</v>
      </c>
      <c r="FU36" s="3" t="s">
        <v>204</v>
      </c>
      <c r="FV36" s="3"/>
      <c r="FW36" s="3" t="s">
        <v>238</v>
      </c>
      <c r="FX36" s="3"/>
      <c r="FY36" s="3" t="s">
        <v>201</v>
      </c>
      <c r="FZ36" s="3" t="s">
        <v>202</v>
      </c>
      <c r="GA36" s="3" t="s">
        <v>203</v>
      </c>
      <c r="GB36" s="3" t="s">
        <v>205</v>
      </c>
      <c r="GC36" s="3"/>
      <c r="GD36" s="3"/>
      <c r="GE36" s="3" t="s">
        <v>201</v>
      </c>
      <c r="GF36" s="3" t="s">
        <v>201</v>
      </c>
      <c r="GG36" s="3" t="s">
        <v>201</v>
      </c>
      <c r="GH36" s="3" t="s">
        <v>205</v>
      </c>
      <c r="GI36" s="3" t="s">
        <v>202</v>
      </c>
      <c r="GJ36" s="3" t="s">
        <v>201</v>
      </c>
      <c r="GK36" s="3"/>
      <c r="GL36" s="5">
        <f>DATE(2025,5,19)+TIME(2,33,38)</f>
        <v>45796.106689814813</v>
      </c>
    </row>
    <row r="37" spans="1:194" ht="110.25" x14ac:dyDescent="0.25">
      <c r="A37" s="6" t="s">
        <v>399</v>
      </c>
      <c r="B37" s="6" t="s">
        <v>400</v>
      </c>
      <c r="C37" s="6" t="s">
        <v>401</v>
      </c>
      <c r="D37" s="6" t="s">
        <v>402</v>
      </c>
      <c r="E37" s="6"/>
      <c r="F37" s="6" t="s">
        <v>277</v>
      </c>
      <c r="G37" s="6"/>
      <c r="H37" s="6"/>
      <c r="I37" s="6"/>
      <c r="J37" s="6"/>
      <c r="K37" s="6"/>
      <c r="L37" s="6"/>
      <c r="M37" s="6"/>
      <c r="N37" s="6" t="s">
        <v>403</v>
      </c>
      <c r="O37" s="6"/>
      <c r="P37" s="6"/>
      <c r="Q37" s="6"/>
      <c r="R37" s="6"/>
      <c r="S37" s="6"/>
      <c r="T37" s="6"/>
      <c r="U37" s="6"/>
      <c r="V37" s="6"/>
      <c r="W37" s="6"/>
      <c r="X37" s="6"/>
      <c r="Y37" s="6"/>
      <c r="Z37" s="6"/>
      <c r="AA37" s="6"/>
      <c r="AB37" s="6"/>
      <c r="AC37" s="6"/>
      <c r="AD37" s="6"/>
      <c r="AE37" s="6"/>
      <c r="AF37" s="4" t="s">
        <v>403</v>
      </c>
      <c r="AG37" s="6" t="s">
        <v>213</v>
      </c>
      <c r="AH37" s="6" t="s">
        <v>201</v>
      </c>
      <c r="AI37" s="6" t="s">
        <v>203</v>
      </c>
      <c r="AJ37" s="6" t="s">
        <v>203</v>
      </c>
      <c r="AK37" s="6" t="s">
        <v>202</v>
      </c>
      <c r="AL37" s="6" t="s">
        <v>201</v>
      </c>
      <c r="AM37" s="6" t="s">
        <v>201</v>
      </c>
      <c r="AN37" s="6" t="s">
        <v>201</v>
      </c>
      <c r="AO37" s="6" t="s">
        <v>201</v>
      </c>
      <c r="AP37" s="6" t="s">
        <v>201</v>
      </c>
      <c r="AQ37" s="6" t="s">
        <v>201</v>
      </c>
      <c r="AR37" s="6" t="s">
        <v>202</v>
      </c>
      <c r="AS37" s="6"/>
      <c r="AT37" s="6" t="s">
        <v>201</v>
      </c>
      <c r="AU37" s="6" t="s">
        <v>201</v>
      </c>
      <c r="AV37" s="6" t="s">
        <v>202</v>
      </c>
      <c r="AW37" s="6" t="s">
        <v>201</v>
      </c>
      <c r="AX37" s="6" t="s">
        <v>201</v>
      </c>
      <c r="AY37" s="6" t="s">
        <v>202</v>
      </c>
      <c r="AZ37" s="6" t="s">
        <v>204</v>
      </c>
      <c r="BA37" s="6" t="s">
        <v>204</v>
      </c>
      <c r="BB37" s="6" t="s">
        <v>204</v>
      </c>
      <c r="BC37" s="6" t="s">
        <v>204</v>
      </c>
      <c r="BD37" s="6" t="s">
        <v>204</v>
      </c>
      <c r="BE37" s="6" t="s">
        <v>204</v>
      </c>
      <c r="BF37" s="6" t="s">
        <v>204</v>
      </c>
      <c r="BG37" s="6" t="s">
        <v>204</v>
      </c>
      <c r="BH37" s="6" t="s">
        <v>204</v>
      </c>
      <c r="BI37" s="6" t="s">
        <v>204</v>
      </c>
      <c r="BJ37" s="6" t="s">
        <v>202</v>
      </c>
      <c r="BK37" s="6" t="s">
        <v>203</v>
      </c>
      <c r="BL37" s="6" t="s">
        <v>202</v>
      </c>
      <c r="BM37" s="6" t="s">
        <v>202</v>
      </c>
      <c r="BN37" s="6" t="s">
        <v>202</v>
      </c>
      <c r="BO37" s="6" t="s">
        <v>204</v>
      </c>
      <c r="BP37" s="6" t="s">
        <v>204</v>
      </c>
      <c r="BQ37" s="6" t="s">
        <v>204</v>
      </c>
      <c r="BR37" s="6" t="s">
        <v>204</v>
      </c>
      <c r="BS37" s="6"/>
      <c r="BT37" s="6" t="s">
        <v>210</v>
      </c>
      <c r="BU37" s="6" t="s">
        <v>201</v>
      </c>
      <c r="BV37" s="6" t="s">
        <v>203</v>
      </c>
      <c r="BW37" s="6" t="s">
        <v>201</v>
      </c>
      <c r="BX37" s="6" t="s">
        <v>201</v>
      </c>
      <c r="BY37" s="6" t="s">
        <v>203</v>
      </c>
      <c r="BZ37" s="6" t="s">
        <v>201</v>
      </c>
      <c r="CA37" s="6" t="s">
        <v>201</v>
      </c>
      <c r="CB37" s="6" t="s">
        <v>203</v>
      </c>
      <c r="CC37" s="6" t="s">
        <v>201</v>
      </c>
      <c r="CD37" s="6" t="s">
        <v>201</v>
      </c>
      <c r="CE37" s="6" t="s">
        <v>203</v>
      </c>
      <c r="CF37" s="6" t="s">
        <v>201</v>
      </c>
      <c r="CG37" s="6"/>
      <c r="CH37" s="6" t="s">
        <v>207</v>
      </c>
      <c r="CI37" s="6" t="s">
        <v>207</v>
      </c>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t="s">
        <v>288</v>
      </c>
      <c r="DT37" s="6"/>
      <c r="DU37" s="6" t="s">
        <v>294</v>
      </c>
      <c r="DV37" s="6"/>
      <c r="DW37" s="6" t="s">
        <v>208</v>
      </c>
      <c r="DX37" s="6" t="s">
        <v>246</v>
      </c>
      <c r="DY37" s="6" t="s">
        <v>247</v>
      </c>
      <c r="DZ37" s="6" t="s">
        <v>219</v>
      </c>
      <c r="EA37" s="6" t="s">
        <v>220</v>
      </c>
      <c r="EB37" s="6"/>
      <c r="EC37" s="6" t="s">
        <v>201</v>
      </c>
      <c r="ED37" s="6" t="s">
        <v>205</v>
      </c>
      <c r="EE37" s="6" t="s">
        <v>202</v>
      </c>
      <c r="EF37" s="6" t="s">
        <v>205</v>
      </c>
      <c r="EG37" s="6" t="s">
        <v>202</v>
      </c>
      <c r="EH37" s="6" t="s">
        <v>203</v>
      </c>
      <c r="EI37" s="6" t="s">
        <v>201</v>
      </c>
      <c r="EJ37" s="6" t="s">
        <v>202</v>
      </c>
      <c r="EK37" s="6" t="s">
        <v>205</v>
      </c>
      <c r="EL37" s="6" t="s">
        <v>202</v>
      </c>
      <c r="EM37" s="6"/>
      <c r="EN37" s="6"/>
      <c r="EO37" s="6"/>
      <c r="EP37" s="6"/>
      <c r="EQ37" s="6" t="s">
        <v>203</v>
      </c>
      <c r="ER37" s="6" t="s">
        <v>203</v>
      </c>
      <c r="ES37" s="6"/>
      <c r="ET37" s="6" t="s">
        <v>202</v>
      </c>
      <c r="EU37" s="6" t="s">
        <v>201</v>
      </c>
      <c r="EV37" s="6" t="s">
        <v>204</v>
      </c>
      <c r="EW37" s="6" t="s">
        <v>204</v>
      </c>
      <c r="EX37" s="6"/>
      <c r="EY37" s="6" t="s">
        <v>201</v>
      </c>
      <c r="EZ37" s="6" t="s">
        <v>203</v>
      </c>
      <c r="FA37" s="6" t="s">
        <v>201</v>
      </c>
      <c r="FB37" s="6" t="s">
        <v>202</v>
      </c>
      <c r="FC37" s="6" t="s">
        <v>201</v>
      </c>
      <c r="FD37" s="6" t="s">
        <v>204</v>
      </c>
      <c r="FE37" s="6" t="s">
        <v>203</v>
      </c>
      <c r="FF37" s="6" t="s">
        <v>203</v>
      </c>
      <c r="FG37" s="6" t="s">
        <v>203</v>
      </c>
      <c r="FH37" s="6" t="s">
        <v>204</v>
      </c>
      <c r="FI37" s="6" t="s">
        <v>204</v>
      </c>
      <c r="FJ37" s="6" t="s">
        <v>204</v>
      </c>
      <c r="FK37" s="6" t="s">
        <v>204</v>
      </c>
      <c r="FL37" s="6" t="s">
        <v>204</v>
      </c>
      <c r="FM37" s="6" t="s">
        <v>204</v>
      </c>
      <c r="FN37" s="6" t="s">
        <v>204</v>
      </c>
      <c r="FO37" s="6" t="s">
        <v>204</v>
      </c>
      <c r="FP37" s="6" t="s">
        <v>204</v>
      </c>
      <c r="FQ37" s="6" t="s">
        <v>204</v>
      </c>
      <c r="FR37" s="6" t="s">
        <v>204</v>
      </c>
      <c r="FS37" s="6" t="s">
        <v>204</v>
      </c>
      <c r="FT37" s="6" t="s">
        <v>204</v>
      </c>
      <c r="FU37" s="6" t="s">
        <v>204</v>
      </c>
      <c r="FV37" s="6"/>
      <c r="FW37" s="6" t="s">
        <v>210</v>
      </c>
      <c r="FX37" s="6"/>
      <c r="FY37" s="6" t="s">
        <v>202</v>
      </c>
      <c r="FZ37" s="6" t="s">
        <v>203</v>
      </c>
      <c r="GA37" s="6" t="s">
        <v>201</v>
      </c>
      <c r="GB37" s="6" t="s">
        <v>203</v>
      </c>
      <c r="GC37" s="6"/>
      <c r="GD37" s="6"/>
      <c r="GE37" s="6" t="s">
        <v>205</v>
      </c>
      <c r="GF37" s="6" t="s">
        <v>201</v>
      </c>
      <c r="GG37" s="6" t="s">
        <v>203</v>
      </c>
      <c r="GH37" s="6" t="s">
        <v>202</v>
      </c>
      <c r="GI37" s="6" t="s">
        <v>202</v>
      </c>
      <c r="GJ37" s="6" t="s">
        <v>202</v>
      </c>
      <c r="GK37" s="6"/>
      <c r="GL37" s="7">
        <f>DATE(2025,6,4)+TIME(9,31,41)</f>
        <v>45812.397002314814</v>
      </c>
    </row>
    <row r="38" spans="1:194" s="9" customFormat="1" ht="110.25" x14ac:dyDescent="0.25">
      <c r="A38" s="8" t="s">
        <v>404</v>
      </c>
      <c r="B38" s="8" t="s">
        <v>405</v>
      </c>
      <c r="C38" s="8" t="s">
        <v>406</v>
      </c>
      <c r="D38" s="8" t="s">
        <v>407</v>
      </c>
      <c r="E38" s="8"/>
      <c r="F38" s="8" t="s">
        <v>408</v>
      </c>
      <c r="G38" s="3"/>
      <c r="H38" s="3"/>
      <c r="I38" s="3"/>
      <c r="J38" s="3"/>
      <c r="K38" s="3"/>
      <c r="L38" s="3" t="s">
        <v>409</v>
      </c>
      <c r="M38" s="3"/>
      <c r="N38" s="3"/>
      <c r="O38" s="3"/>
      <c r="P38" s="3"/>
      <c r="Q38" s="3"/>
      <c r="R38" s="3"/>
      <c r="S38" s="3"/>
      <c r="T38" s="3"/>
      <c r="U38" s="3"/>
      <c r="V38" s="3"/>
      <c r="W38" s="3"/>
      <c r="X38" s="3"/>
      <c r="Y38" s="3"/>
      <c r="Z38" s="3"/>
      <c r="AA38" s="3"/>
      <c r="AB38" s="3"/>
      <c r="AC38" s="3"/>
      <c r="AD38" s="3"/>
      <c r="AE38" s="3"/>
      <c r="AF38" s="9" t="s">
        <v>409</v>
      </c>
      <c r="AG38" s="8" t="s">
        <v>213</v>
      </c>
      <c r="AH38" s="8" t="s">
        <v>202</v>
      </c>
      <c r="AI38" s="8" t="s">
        <v>203</v>
      </c>
      <c r="AJ38" s="8" t="s">
        <v>204</v>
      </c>
      <c r="AK38" s="8" t="s">
        <v>201</v>
      </c>
      <c r="AL38" s="8" t="s">
        <v>202</v>
      </c>
      <c r="AM38" s="8" t="s">
        <v>204</v>
      </c>
      <c r="AN38" s="8" t="s">
        <v>201</v>
      </c>
      <c r="AO38" s="8" t="s">
        <v>205</v>
      </c>
      <c r="AP38" s="8" t="s">
        <v>204</v>
      </c>
      <c r="AQ38" s="8" t="s">
        <v>204</v>
      </c>
      <c r="AR38" s="8" t="s">
        <v>203</v>
      </c>
      <c r="AS38" s="8"/>
      <c r="AT38" s="8" t="s">
        <v>203</v>
      </c>
      <c r="AU38" s="8" t="s">
        <v>202</v>
      </c>
      <c r="AV38" s="8" t="s">
        <v>205</v>
      </c>
      <c r="AW38" s="8" t="s">
        <v>202</v>
      </c>
      <c r="AX38" s="8" t="s">
        <v>203</v>
      </c>
      <c r="AY38" s="8" t="s">
        <v>202</v>
      </c>
      <c r="AZ38" s="8" t="s">
        <v>203</v>
      </c>
      <c r="BA38" s="8" t="s">
        <v>205</v>
      </c>
      <c r="BB38" s="8" t="s">
        <v>203</v>
      </c>
      <c r="BC38" s="8" t="s">
        <v>205</v>
      </c>
      <c r="BD38" s="8" t="s">
        <v>204</v>
      </c>
      <c r="BE38" s="8" t="s">
        <v>204</v>
      </c>
      <c r="BF38" s="8" t="s">
        <v>204</v>
      </c>
      <c r="BG38" s="8" t="s">
        <v>204</v>
      </c>
      <c r="BH38" s="8" t="s">
        <v>204</v>
      </c>
      <c r="BI38" s="8" t="s">
        <v>204</v>
      </c>
      <c r="BJ38" s="8" t="s">
        <v>202</v>
      </c>
      <c r="BK38" s="8" t="s">
        <v>205</v>
      </c>
      <c r="BL38" s="8" t="s">
        <v>201</v>
      </c>
      <c r="BM38" s="8" t="s">
        <v>202</v>
      </c>
      <c r="BN38" s="8" t="s">
        <v>203</v>
      </c>
      <c r="BO38" s="8" t="s">
        <v>202</v>
      </c>
      <c r="BP38" s="8" t="s">
        <v>202</v>
      </c>
      <c r="BQ38" s="8" t="s">
        <v>204</v>
      </c>
      <c r="BR38" s="8" t="s">
        <v>204</v>
      </c>
      <c r="BS38" s="8"/>
      <c r="BT38" s="8" t="s">
        <v>210</v>
      </c>
      <c r="BU38" s="8" t="s">
        <v>201</v>
      </c>
      <c r="BV38" s="8" t="s">
        <v>202</v>
      </c>
      <c r="BW38" s="8" t="s">
        <v>201</v>
      </c>
      <c r="BX38" s="8" t="s">
        <v>201</v>
      </c>
      <c r="BY38" s="8" t="s">
        <v>202</v>
      </c>
      <c r="BZ38" s="8" t="s">
        <v>201</v>
      </c>
      <c r="CA38" s="8" t="s">
        <v>202</v>
      </c>
      <c r="CB38" s="8" t="s">
        <v>203</v>
      </c>
      <c r="CC38" s="8" t="s">
        <v>202</v>
      </c>
      <c r="CD38" s="8" t="s">
        <v>201</v>
      </c>
      <c r="CE38" s="8" t="s">
        <v>201</v>
      </c>
      <c r="CF38" s="8" t="s">
        <v>201</v>
      </c>
      <c r="CG38" s="8"/>
      <c r="CH38" s="8" t="s">
        <v>207</v>
      </c>
      <c r="CI38" s="8" t="s">
        <v>207</v>
      </c>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t="s">
        <v>288</v>
      </c>
      <c r="DT38" s="8"/>
      <c r="DU38" s="8" t="s">
        <v>294</v>
      </c>
      <c r="DV38" s="8"/>
      <c r="DW38" s="8" t="s">
        <v>208</v>
      </c>
      <c r="DX38" s="8" t="s">
        <v>246</v>
      </c>
      <c r="DY38" s="8"/>
      <c r="DZ38" s="8" t="s">
        <v>219</v>
      </c>
      <c r="EA38" s="8" t="s">
        <v>220</v>
      </c>
      <c r="EB38" s="8"/>
      <c r="EC38" s="8" t="s">
        <v>204</v>
      </c>
      <c r="ED38" s="8" t="s">
        <v>204</v>
      </c>
      <c r="EE38" s="8" t="s">
        <v>204</v>
      </c>
      <c r="EF38" s="8" t="s">
        <v>205</v>
      </c>
      <c r="EG38" s="8" t="s">
        <v>202</v>
      </c>
      <c r="EH38" s="8" t="s">
        <v>204</v>
      </c>
      <c r="EI38" s="8" t="s">
        <v>204</v>
      </c>
      <c r="EJ38" s="8" t="s">
        <v>201</v>
      </c>
      <c r="EK38" s="8" t="s">
        <v>201</v>
      </c>
      <c r="EL38" s="8" t="s">
        <v>201</v>
      </c>
      <c r="EM38" s="8"/>
      <c r="EN38" s="8"/>
      <c r="EO38" s="8"/>
      <c r="EP38" s="8"/>
      <c r="EQ38" s="8" t="s">
        <v>205</v>
      </c>
      <c r="ER38" s="8" t="s">
        <v>205</v>
      </c>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t="s">
        <v>201</v>
      </c>
      <c r="FZ38" s="8" t="s">
        <v>201</v>
      </c>
      <c r="GA38" s="8" t="s">
        <v>201</v>
      </c>
      <c r="GB38" s="8" t="s">
        <v>201</v>
      </c>
      <c r="GC38" s="8"/>
      <c r="GD38" s="8"/>
      <c r="GE38" s="8" t="s">
        <v>201</v>
      </c>
      <c r="GF38" s="8" t="s">
        <v>201</v>
      </c>
      <c r="GG38" s="8" t="s">
        <v>202</v>
      </c>
      <c r="GH38" s="8" t="s">
        <v>201</v>
      </c>
      <c r="GI38" s="8" t="s">
        <v>202</v>
      </c>
      <c r="GJ38" s="8" t="s">
        <v>201</v>
      </c>
      <c r="GK38" s="8"/>
      <c r="GL38" s="10">
        <f>DATE(2025,6,12)+TIME(15,47,18)</f>
        <v>45820.657847222225</v>
      </c>
    </row>
    <row r="39" spans="1:194" ht="47.25" x14ac:dyDescent="0.25">
      <c r="A39" s="6" t="s">
        <v>273</v>
      </c>
      <c r="B39" s="6" t="s">
        <v>274</v>
      </c>
      <c r="C39" s="6" t="s">
        <v>275</v>
      </c>
      <c r="D39" s="6" t="s">
        <v>410</v>
      </c>
      <c r="E39" s="6"/>
      <c r="F39" s="6" t="s">
        <v>277</v>
      </c>
      <c r="G39" s="6"/>
      <c r="H39" s="6"/>
      <c r="I39" s="6"/>
      <c r="J39" s="6"/>
      <c r="K39" s="6"/>
      <c r="L39" s="6"/>
      <c r="M39" s="6"/>
      <c r="N39" s="6" t="s">
        <v>411</v>
      </c>
      <c r="O39" s="6"/>
      <c r="P39" s="6"/>
      <c r="Q39" s="6"/>
      <c r="R39" s="6"/>
      <c r="S39" s="6"/>
      <c r="T39" s="6"/>
      <c r="U39" s="6"/>
      <c r="V39" s="6"/>
      <c r="W39" s="6"/>
      <c r="X39" s="6"/>
      <c r="Y39" s="6"/>
      <c r="Z39" s="6"/>
      <c r="AA39" s="6"/>
      <c r="AB39" s="6"/>
      <c r="AC39" s="6"/>
      <c r="AD39" s="6"/>
      <c r="AE39" s="6"/>
      <c r="AF39" s="4" t="s">
        <v>411</v>
      </c>
      <c r="AG39" s="6" t="s">
        <v>235</v>
      </c>
      <c r="AH39" s="6" t="s">
        <v>202</v>
      </c>
      <c r="AI39" s="6" t="s">
        <v>202</v>
      </c>
      <c r="AJ39" s="6" t="s">
        <v>202</v>
      </c>
      <c r="AK39" s="6" t="s">
        <v>202</v>
      </c>
      <c r="AL39" s="6" t="s">
        <v>202</v>
      </c>
      <c r="AM39" s="6" t="s">
        <v>202</v>
      </c>
      <c r="AN39" s="6" t="s">
        <v>202</v>
      </c>
      <c r="AO39" s="6" t="s">
        <v>202</v>
      </c>
      <c r="AP39" s="6" t="s">
        <v>202</v>
      </c>
      <c r="AQ39" s="6" t="s">
        <v>202</v>
      </c>
      <c r="AR39" s="6" t="s">
        <v>202</v>
      </c>
      <c r="AS39" s="6"/>
      <c r="AT39" s="6" t="s">
        <v>202</v>
      </c>
      <c r="AU39" s="6" t="s">
        <v>202</v>
      </c>
      <c r="AV39" s="6" t="s">
        <v>202</v>
      </c>
      <c r="AW39" s="6" t="s">
        <v>202</v>
      </c>
      <c r="AX39" s="6" t="s">
        <v>202</v>
      </c>
      <c r="AY39" s="6" t="s">
        <v>202</v>
      </c>
      <c r="AZ39" s="6" t="s">
        <v>202</v>
      </c>
      <c r="BA39" s="6" t="s">
        <v>202</v>
      </c>
      <c r="BB39" s="6" t="s">
        <v>202</v>
      </c>
      <c r="BC39" s="6" t="s">
        <v>202</v>
      </c>
      <c r="BD39" s="6" t="s">
        <v>202</v>
      </c>
      <c r="BE39" s="6" t="s">
        <v>202</v>
      </c>
      <c r="BF39" s="6" t="s">
        <v>202</v>
      </c>
      <c r="BG39" s="6" t="s">
        <v>202</v>
      </c>
      <c r="BH39" s="6" t="s">
        <v>202</v>
      </c>
      <c r="BI39" s="6" t="s">
        <v>202</v>
      </c>
      <c r="BJ39" s="6" t="s">
        <v>202</v>
      </c>
      <c r="BK39" s="6" t="s">
        <v>202</v>
      </c>
      <c r="BL39" s="6" t="s">
        <v>201</v>
      </c>
      <c r="BM39" s="6" t="s">
        <v>202</v>
      </c>
      <c r="BN39" s="6" t="s">
        <v>202</v>
      </c>
      <c r="BO39" s="6" t="s">
        <v>203</v>
      </c>
      <c r="BP39" s="6" t="s">
        <v>204</v>
      </c>
      <c r="BQ39" s="6" t="s">
        <v>204</v>
      </c>
      <c r="BR39" s="6" t="s">
        <v>204</v>
      </c>
      <c r="BS39" s="6"/>
      <c r="BT39" s="6" t="s">
        <v>210</v>
      </c>
      <c r="BU39" s="6" t="s">
        <v>202</v>
      </c>
      <c r="BV39" s="6" t="s">
        <v>202</v>
      </c>
      <c r="BW39" s="6" t="s">
        <v>202</v>
      </c>
      <c r="BX39" s="6" t="s">
        <v>201</v>
      </c>
      <c r="BY39" s="6" t="s">
        <v>201</v>
      </c>
      <c r="BZ39" s="6" t="s">
        <v>201</v>
      </c>
      <c r="CA39" s="6" t="s">
        <v>201</v>
      </c>
      <c r="CB39" s="6" t="s">
        <v>201</v>
      </c>
      <c r="CC39" s="6" t="s">
        <v>201</v>
      </c>
      <c r="CD39" s="6" t="s">
        <v>201</v>
      </c>
      <c r="CE39" s="6" t="s">
        <v>201</v>
      </c>
      <c r="CF39" s="6" t="s">
        <v>201</v>
      </c>
      <c r="CG39" s="6"/>
      <c r="CH39" s="6" t="s">
        <v>207</v>
      </c>
      <c r="CI39" s="6" t="s">
        <v>208</v>
      </c>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t="s">
        <v>288</v>
      </c>
      <c r="DT39" s="6"/>
      <c r="DU39" s="6"/>
      <c r="DV39" s="6"/>
      <c r="DW39" s="6" t="s">
        <v>208</v>
      </c>
      <c r="DX39" s="6" t="s">
        <v>246</v>
      </c>
      <c r="DY39" s="6" t="s">
        <v>247</v>
      </c>
      <c r="DZ39" s="6" t="s">
        <v>219</v>
      </c>
      <c r="EA39" s="6"/>
      <c r="EB39" s="6"/>
      <c r="EC39" s="6" t="s">
        <v>201</v>
      </c>
      <c r="ED39" s="6" t="s">
        <v>203</v>
      </c>
      <c r="EE39" s="6" t="s">
        <v>201</v>
      </c>
      <c r="EF39" s="6" t="s">
        <v>202</v>
      </c>
      <c r="EG39" s="6" t="s">
        <v>202</v>
      </c>
      <c r="EH39" s="6" t="s">
        <v>202</v>
      </c>
      <c r="EI39" s="6" t="s">
        <v>201</v>
      </c>
      <c r="EJ39" s="6" t="s">
        <v>201</v>
      </c>
      <c r="EK39" s="6" t="s">
        <v>201</v>
      </c>
      <c r="EL39" s="6" t="s">
        <v>201</v>
      </c>
      <c r="EM39" s="6" t="s">
        <v>202</v>
      </c>
      <c r="EN39" s="6" t="s">
        <v>202</v>
      </c>
      <c r="EO39" s="6" t="s">
        <v>202</v>
      </c>
      <c r="EP39" s="6"/>
      <c r="EQ39" s="6" t="s">
        <v>205</v>
      </c>
      <c r="ER39" s="6" t="s">
        <v>203</v>
      </c>
      <c r="ES39" s="6"/>
      <c r="ET39" s="6"/>
      <c r="EU39" s="6"/>
      <c r="EV39" s="6"/>
      <c r="EW39" s="6"/>
      <c r="EX39" s="6"/>
      <c r="EY39" s="6"/>
      <c r="EZ39" s="6"/>
      <c r="FA39" s="6"/>
      <c r="FB39" s="6"/>
      <c r="FC39" s="6"/>
      <c r="FD39" s="6"/>
      <c r="FE39" s="6"/>
      <c r="FF39" s="6"/>
      <c r="FG39" s="6"/>
      <c r="FH39" s="6" t="s">
        <v>202</v>
      </c>
      <c r="FI39" s="6" t="s">
        <v>202</v>
      </c>
      <c r="FJ39" s="6" t="s">
        <v>202</v>
      </c>
      <c r="FK39" s="6" t="s">
        <v>205</v>
      </c>
      <c r="FL39" s="6" t="s">
        <v>203</v>
      </c>
      <c r="FM39" s="6" t="s">
        <v>203</v>
      </c>
      <c r="FN39" s="6" t="s">
        <v>203</v>
      </c>
      <c r="FO39" s="6" t="s">
        <v>205</v>
      </c>
      <c r="FP39" s="6" t="s">
        <v>205</v>
      </c>
      <c r="FQ39" s="6" t="s">
        <v>205</v>
      </c>
      <c r="FR39" s="6" t="s">
        <v>205</v>
      </c>
      <c r="FS39" s="6" t="s">
        <v>205</v>
      </c>
      <c r="FT39" s="6" t="s">
        <v>205</v>
      </c>
      <c r="FU39" s="6" t="s">
        <v>205</v>
      </c>
      <c r="FV39" s="6"/>
      <c r="FW39" s="6" t="s">
        <v>210</v>
      </c>
      <c r="FX39" s="6"/>
      <c r="FY39" s="6" t="s">
        <v>201</v>
      </c>
      <c r="FZ39" s="6" t="s">
        <v>201</v>
      </c>
      <c r="GA39" s="6" t="s">
        <v>201</v>
      </c>
      <c r="GB39" s="6" t="s">
        <v>201</v>
      </c>
      <c r="GC39" s="6" t="s">
        <v>204</v>
      </c>
      <c r="GD39" s="6"/>
      <c r="GE39" s="6" t="s">
        <v>201</v>
      </c>
      <c r="GF39" s="6" t="s">
        <v>201</v>
      </c>
      <c r="GG39" s="6" t="s">
        <v>201</v>
      </c>
      <c r="GH39" s="6" t="s">
        <v>204</v>
      </c>
      <c r="GI39" s="6" t="s">
        <v>204</v>
      </c>
      <c r="GJ39" s="6" t="s">
        <v>201</v>
      </c>
      <c r="GK39" s="6"/>
      <c r="GL39" s="7">
        <f>DATE(2025,5,21)+TIME(11,5,23)</f>
        <v>45798.462071759262</v>
      </c>
    </row>
    <row r="40" spans="1:194" ht="47.25" x14ac:dyDescent="0.25">
      <c r="A40" s="3" t="s">
        <v>412</v>
      </c>
      <c r="B40" s="3" t="s">
        <v>413</v>
      </c>
      <c r="C40" s="3" t="s">
        <v>414</v>
      </c>
      <c r="D40" s="3" t="s">
        <v>415</v>
      </c>
      <c r="E40" s="3"/>
      <c r="F40" s="3" t="s">
        <v>416</v>
      </c>
      <c r="G40" s="3"/>
      <c r="H40" s="3"/>
      <c r="I40" s="3"/>
      <c r="J40" s="3"/>
      <c r="K40" s="3"/>
      <c r="L40" s="3"/>
      <c r="M40" s="3"/>
      <c r="N40" s="3"/>
      <c r="O40" s="3"/>
      <c r="P40" s="3" t="s">
        <v>417</v>
      </c>
      <c r="Q40" s="3"/>
      <c r="R40" s="3"/>
      <c r="S40" s="3"/>
      <c r="T40" s="3"/>
      <c r="U40" s="3"/>
      <c r="V40" s="3"/>
      <c r="W40" s="3"/>
      <c r="X40" s="3"/>
      <c r="Y40" s="3"/>
      <c r="Z40" s="3"/>
      <c r="AA40" s="3"/>
      <c r="AB40" s="3"/>
      <c r="AC40" s="3"/>
      <c r="AD40" s="3"/>
      <c r="AE40" s="3"/>
      <c r="AF40" s="4" t="s">
        <v>417</v>
      </c>
      <c r="AG40" s="3" t="s">
        <v>235</v>
      </c>
      <c r="AH40" s="3" t="s">
        <v>202</v>
      </c>
      <c r="AI40" s="3" t="s">
        <v>204</v>
      </c>
      <c r="AJ40" s="3" t="s">
        <v>201</v>
      </c>
      <c r="AK40" s="3" t="s">
        <v>202</v>
      </c>
      <c r="AL40" s="3" t="s">
        <v>204</v>
      </c>
      <c r="AM40" s="3" t="s">
        <v>204</v>
      </c>
      <c r="AN40" s="3" t="s">
        <v>204</v>
      </c>
      <c r="AO40" s="3" t="s">
        <v>204</v>
      </c>
      <c r="AP40" s="3" t="s">
        <v>204</v>
      </c>
      <c r="AQ40" s="3" t="s">
        <v>204</v>
      </c>
      <c r="AR40" s="3" t="s">
        <v>204</v>
      </c>
      <c r="AS40" s="3"/>
      <c r="AT40" s="3" t="s">
        <v>204</v>
      </c>
      <c r="AU40" s="3" t="s">
        <v>204</v>
      </c>
      <c r="AV40" s="3" t="s">
        <v>205</v>
      </c>
      <c r="AW40" s="3" t="s">
        <v>204</v>
      </c>
      <c r="AX40" s="3" t="s">
        <v>204</v>
      </c>
      <c r="AY40" s="3" t="s">
        <v>204</v>
      </c>
      <c r="AZ40" s="3" t="s">
        <v>204</v>
      </c>
      <c r="BA40" s="3" t="s">
        <v>205</v>
      </c>
      <c r="BB40" s="3" t="s">
        <v>204</v>
      </c>
      <c r="BC40" s="3" t="s">
        <v>204</v>
      </c>
      <c r="BD40" s="3" t="s">
        <v>204</v>
      </c>
      <c r="BE40" s="3" t="s">
        <v>205</v>
      </c>
      <c r="BF40" s="3" t="s">
        <v>205</v>
      </c>
      <c r="BG40" s="3" t="s">
        <v>204</v>
      </c>
      <c r="BH40" s="3" t="s">
        <v>204</v>
      </c>
      <c r="BI40" s="3" t="s">
        <v>204</v>
      </c>
      <c r="BJ40" s="3" t="s">
        <v>204</v>
      </c>
      <c r="BK40" s="3" t="s">
        <v>205</v>
      </c>
      <c r="BL40" s="3" t="s">
        <v>202</v>
      </c>
      <c r="BM40" s="3" t="s">
        <v>204</v>
      </c>
      <c r="BN40" s="3" t="s">
        <v>204</v>
      </c>
      <c r="BO40" s="3" t="s">
        <v>204</v>
      </c>
      <c r="BP40" s="3" t="s">
        <v>204</v>
      </c>
      <c r="BQ40" s="3" t="s">
        <v>204</v>
      </c>
      <c r="BR40" s="3" t="s">
        <v>204</v>
      </c>
      <c r="BS40" s="3"/>
      <c r="BT40" s="3" t="s">
        <v>206</v>
      </c>
      <c r="BU40" s="3" t="s">
        <v>203</v>
      </c>
      <c r="BV40" s="3" t="s">
        <v>203</v>
      </c>
      <c r="BW40" s="3" t="s">
        <v>202</v>
      </c>
      <c r="BX40" s="3" t="s">
        <v>203</v>
      </c>
      <c r="BY40" s="3" t="s">
        <v>203</v>
      </c>
      <c r="BZ40" s="3" t="s">
        <v>202</v>
      </c>
      <c r="CA40" s="3" t="s">
        <v>203</v>
      </c>
      <c r="CB40" s="3" t="s">
        <v>203</v>
      </c>
      <c r="CC40" s="3" t="s">
        <v>202</v>
      </c>
      <c r="CD40" s="3" t="s">
        <v>202</v>
      </c>
      <c r="CE40" s="3" t="s">
        <v>203</v>
      </c>
      <c r="CF40" s="3" t="s">
        <v>202</v>
      </c>
      <c r="CG40" s="3"/>
      <c r="CH40" s="3" t="s">
        <v>207</v>
      </c>
      <c r="CI40" s="3" t="s">
        <v>207</v>
      </c>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t="s">
        <v>237</v>
      </c>
      <c r="DR40" s="3"/>
      <c r="DS40" s="3"/>
      <c r="DT40" s="3"/>
      <c r="DU40" s="3"/>
      <c r="DV40" s="3"/>
      <c r="DW40" s="3" t="s">
        <v>207</v>
      </c>
      <c r="DX40" s="3"/>
      <c r="DY40" s="3"/>
      <c r="DZ40" s="3"/>
      <c r="EA40" s="3"/>
      <c r="EB40" s="3"/>
      <c r="EC40" s="3"/>
      <c r="ED40" s="3"/>
      <c r="EE40" s="3"/>
      <c r="EF40" s="3" t="s">
        <v>204</v>
      </c>
      <c r="EG40" s="3" t="s">
        <v>204</v>
      </c>
      <c r="EH40" s="3" t="s">
        <v>204</v>
      </c>
      <c r="EI40" s="3" t="s">
        <v>204</v>
      </c>
      <c r="EJ40" s="3" t="s">
        <v>204</v>
      </c>
      <c r="EK40" s="3" t="s">
        <v>201</v>
      </c>
      <c r="EL40" s="3" t="s">
        <v>201</v>
      </c>
      <c r="EM40" s="3"/>
      <c r="EN40" s="3"/>
      <c r="EO40" s="3"/>
      <c r="EP40" s="3"/>
      <c r="EQ40" s="3" t="s">
        <v>205</v>
      </c>
      <c r="ER40" s="3" t="s">
        <v>205</v>
      </c>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t="s">
        <v>204</v>
      </c>
      <c r="FZ40" s="3" t="s">
        <v>204</v>
      </c>
      <c r="GA40" s="3" t="s">
        <v>204</v>
      </c>
      <c r="GB40" s="3" t="s">
        <v>204</v>
      </c>
      <c r="GC40" s="3" t="s">
        <v>204</v>
      </c>
      <c r="GD40" s="3"/>
      <c r="GE40" s="3" t="s">
        <v>201</v>
      </c>
      <c r="GF40" s="3" t="s">
        <v>202</v>
      </c>
      <c r="GG40" s="3" t="s">
        <v>201</v>
      </c>
      <c r="GH40" s="3" t="s">
        <v>202</v>
      </c>
      <c r="GI40" s="3" t="s">
        <v>201</v>
      </c>
      <c r="GJ40" s="3" t="s">
        <v>201</v>
      </c>
      <c r="GK40" s="3" t="s">
        <v>418</v>
      </c>
      <c r="GL40" s="5">
        <f>DATE(2025,7,24)+TIME(5,14,2)</f>
        <v>45862.218078703707</v>
      </c>
    </row>
    <row r="41" spans="1:194" ht="47.25" x14ac:dyDescent="0.25">
      <c r="A41" s="6" t="s">
        <v>419</v>
      </c>
      <c r="B41" s="6" t="s">
        <v>420</v>
      </c>
      <c r="C41" s="6" t="s">
        <v>421</v>
      </c>
      <c r="D41" s="6" t="s">
        <v>422</v>
      </c>
      <c r="E41" s="6"/>
      <c r="F41" s="6" t="s">
        <v>423</v>
      </c>
      <c r="G41" s="6"/>
      <c r="H41" s="6"/>
      <c r="I41" s="6"/>
      <c r="J41" s="6"/>
      <c r="K41" s="6"/>
      <c r="L41" s="6"/>
      <c r="M41" s="6"/>
      <c r="N41" s="6"/>
      <c r="O41" s="6"/>
      <c r="P41" s="6"/>
      <c r="Q41" s="6"/>
      <c r="R41" s="6"/>
      <c r="S41" s="6"/>
      <c r="T41" s="6" t="s">
        <v>424</v>
      </c>
      <c r="U41" s="6"/>
      <c r="V41" s="6"/>
      <c r="W41" s="6"/>
      <c r="X41" s="6"/>
      <c r="Y41" s="6"/>
      <c r="Z41" s="6"/>
      <c r="AA41" s="6"/>
      <c r="AB41" s="6"/>
      <c r="AC41" s="6"/>
      <c r="AD41" s="6"/>
      <c r="AE41" s="6"/>
      <c r="AF41" s="4" t="s">
        <v>424</v>
      </c>
      <c r="AG41" s="6" t="s">
        <v>235</v>
      </c>
      <c r="AH41" s="6" t="s">
        <v>201</v>
      </c>
      <c r="AI41" s="6" t="s">
        <v>203</v>
      </c>
      <c r="AJ41" s="6" t="s">
        <v>204</v>
      </c>
      <c r="AK41" s="6" t="s">
        <v>203</v>
      </c>
      <c r="AL41" s="6" t="s">
        <v>203</v>
      </c>
      <c r="AM41" s="6" t="s">
        <v>205</v>
      </c>
      <c r="AN41" s="6" t="s">
        <v>205</v>
      </c>
      <c r="AO41" s="6" t="s">
        <v>205</v>
      </c>
      <c r="AP41" s="6" t="s">
        <v>205</v>
      </c>
      <c r="AQ41" s="6" t="s">
        <v>205</v>
      </c>
      <c r="AR41" s="6" t="s">
        <v>205</v>
      </c>
      <c r="AS41" s="6"/>
      <c r="AT41" s="6" t="s">
        <v>203</v>
      </c>
      <c r="AU41" s="6" t="s">
        <v>203</v>
      </c>
      <c r="AV41" s="6" t="s">
        <v>205</v>
      </c>
      <c r="AW41" s="6" t="s">
        <v>203</v>
      </c>
      <c r="AX41" s="6" t="s">
        <v>203</v>
      </c>
      <c r="AY41" s="6" t="s">
        <v>203</v>
      </c>
      <c r="AZ41" s="6" t="s">
        <v>203</v>
      </c>
      <c r="BA41" s="6" t="s">
        <v>202</v>
      </c>
      <c r="BB41" s="6" t="s">
        <v>202</v>
      </c>
      <c r="BC41" s="6" t="s">
        <v>203</v>
      </c>
      <c r="BD41" s="6" t="s">
        <v>203</v>
      </c>
      <c r="BE41" s="6" t="s">
        <v>204</v>
      </c>
      <c r="BF41" s="6" t="s">
        <v>204</v>
      </c>
      <c r="BG41" s="6" t="s">
        <v>204</v>
      </c>
      <c r="BH41" s="6" t="s">
        <v>204</v>
      </c>
      <c r="BI41" s="6" t="s">
        <v>204</v>
      </c>
      <c r="BJ41" s="6" t="s">
        <v>203</v>
      </c>
      <c r="BK41" s="6" t="s">
        <v>203</v>
      </c>
      <c r="BL41" s="6" t="s">
        <v>203</v>
      </c>
      <c r="BM41" s="6" t="s">
        <v>203</v>
      </c>
      <c r="BN41" s="6" t="s">
        <v>203</v>
      </c>
      <c r="BO41" s="6" t="s">
        <v>201</v>
      </c>
      <c r="BP41" s="6" t="s">
        <v>204</v>
      </c>
      <c r="BQ41" s="6" t="s">
        <v>204</v>
      </c>
      <c r="BR41" s="6" t="s">
        <v>204</v>
      </c>
      <c r="BS41" s="6"/>
      <c r="BT41" s="6" t="s">
        <v>271</v>
      </c>
      <c r="BU41" s="6" t="s">
        <v>201</v>
      </c>
      <c r="BV41" s="6" t="s">
        <v>201</v>
      </c>
      <c r="BW41" s="6" t="s">
        <v>201</v>
      </c>
      <c r="BX41" s="6" t="s">
        <v>201</v>
      </c>
      <c r="BY41" s="6" t="s">
        <v>201</v>
      </c>
      <c r="BZ41" s="6" t="s">
        <v>201</v>
      </c>
      <c r="CA41" s="6" t="s">
        <v>201</v>
      </c>
      <c r="CB41" s="6" t="s">
        <v>201</v>
      </c>
      <c r="CC41" s="6" t="s">
        <v>201</v>
      </c>
      <c r="CD41" s="6" t="s">
        <v>201</v>
      </c>
      <c r="CE41" s="6" t="s">
        <v>201</v>
      </c>
      <c r="CF41" s="6" t="s">
        <v>201</v>
      </c>
      <c r="CG41" s="6"/>
      <c r="CH41" s="6" t="s">
        <v>207</v>
      </c>
      <c r="CI41" s="6" t="s">
        <v>207</v>
      </c>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t="s">
        <v>236</v>
      </c>
      <c r="DQ41" s="6"/>
      <c r="DR41" s="6"/>
      <c r="DS41" s="6"/>
      <c r="DT41" s="6"/>
      <c r="DU41" s="6"/>
      <c r="DV41" s="6"/>
      <c r="DW41" s="6" t="s">
        <v>207</v>
      </c>
      <c r="DX41" s="6"/>
      <c r="DY41" s="6"/>
      <c r="DZ41" s="6"/>
      <c r="EA41" s="6"/>
      <c r="EB41" s="6"/>
      <c r="EC41" s="6"/>
      <c r="ED41" s="6"/>
      <c r="EE41" s="6"/>
      <c r="EF41" s="6" t="s">
        <v>203</v>
      </c>
      <c r="EG41" s="6" t="s">
        <v>203</v>
      </c>
      <c r="EH41" s="6" t="s">
        <v>203</v>
      </c>
      <c r="EI41" s="6" t="s">
        <v>202</v>
      </c>
      <c r="EJ41" s="6" t="s">
        <v>205</v>
      </c>
      <c r="EK41" s="6" t="s">
        <v>201</v>
      </c>
      <c r="EL41" s="6" t="s">
        <v>202</v>
      </c>
      <c r="EM41" s="6"/>
      <c r="EN41" s="6"/>
      <c r="EO41" s="6"/>
      <c r="EP41" s="6"/>
      <c r="EQ41" s="6" t="s">
        <v>205</v>
      </c>
      <c r="ER41" s="6" t="s">
        <v>205</v>
      </c>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t="s">
        <v>201</v>
      </c>
      <c r="FZ41" s="6" t="s">
        <v>201</v>
      </c>
      <c r="GA41" s="6" t="s">
        <v>201</v>
      </c>
      <c r="GB41" s="6" t="s">
        <v>201</v>
      </c>
      <c r="GC41" s="6" t="s">
        <v>204</v>
      </c>
      <c r="GD41" s="6"/>
      <c r="GE41" s="6" t="s">
        <v>201</v>
      </c>
      <c r="GF41" s="6" t="s">
        <v>201</v>
      </c>
      <c r="GG41" s="6" t="s">
        <v>203</v>
      </c>
      <c r="GH41" s="6" t="s">
        <v>201</v>
      </c>
      <c r="GI41" s="6" t="s">
        <v>201</v>
      </c>
      <c r="GJ41" s="6" t="s">
        <v>201</v>
      </c>
      <c r="GK41" s="6"/>
      <c r="GL41" s="7">
        <f>DATE(2025,5,22)+TIME(10,25,13)</f>
        <v>45799.434178240743</v>
      </c>
    </row>
    <row r="42" spans="1:194" ht="78.75" x14ac:dyDescent="0.25">
      <c r="A42" s="3" t="s">
        <v>425</v>
      </c>
      <c r="B42" s="3" t="s">
        <v>426</v>
      </c>
      <c r="C42" s="3" t="s">
        <v>427</v>
      </c>
      <c r="D42" s="3" t="s">
        <v>428</v>
      </c>
      <c r="E42" s="3"/>
      <c r="F42" s="3" t="s">
        <v>244</v>
      </c>
      <c r="G42" s="3"/>
      <c r="H42" s="3" t="s">
        <v>429</v>
      </c>
      <c r="I42" s="3"/>
      <c r="J42" s="3"/>
      <c r="K42" s="3"/>
      <c r="L42" s="3"/>
      <c r="M42" s="3"/>
      <c r="N42" s="3"/>
      <c r="O42" s="3"/>
      <c r="P42" s="3"/>
      <c r="Q42" s="3"/>
      <c r="R42" s="3"/>
      <c r="S42" s="3"/>
      <c r="T42" s="3"/>
      <c r="U42" s="3"/>
      <c r="V42" s="3"/>
      <c r="W42" s="3"/>
      <c r="X42" s="3"/>
      <c r="Y42" s="3"/>
      <c r="Z42" s="3"/>
      <c r="AA42" s="3"/>
      <c r="AB42" s="3"/>
      <c r="AC42" s="3"/>
      <c r="AD42" s="3"/>
      <c r="AE42" s="3"/>
      <c r="AF42" s="4" t="s">
        <v>429</v>
      </c>
      <c r="AG42" s="3" t="s">
        <v>200</v>
      </c>
      <c r="AH42" s="3" t="s">
        <v>202</v>
      </c>
      <c r="AI42" s="3" t="s">
        <v>203</v>
      </c>
      <c r="AJ42" s="3" t="s">
        <v>203</v>
      </c>
      <c r="AK42" s="3" t="s">
        <v>203</v>
      </c>
      <c r="AL42" s="3" t="s">
        <v>203</v>
      </c>
      <c r="AM42" s="3" t="s">
        <v>202</v>
      </c>
      <c r="AN42" s="3" t="s">
        <v>203</v>
      </c>
      <c r="AO42" s="3" t="s">
        <v>202</v>
      </c>
      <c r="AP42" s="3" t="s">
        <v>203</v>
      </c>
      <c r="AQ42" s="3" t="s">
        <v>203</v>
      </c>
      <c r="AR42" s="3" t="s">
        <v>202</v>
      </c>
      <c r="AS42" s="3"/>
      <c r="AT42" s="3" t="s">
        <v>203</v>
      </c>
      <c r="AU42" s="3" t="s">
        <v>202</v>
      </c>
      <c r="AV42" s="3" t="s">
        <v>202</v>
      </c>
      <c r="AW42" s="3" t="s">
        <v>203</v>
      </c>
      <c r="AX42" s="3" t="s">
        <v>203</v>
      </c>
      <c r="AY42" s="3" t="s">
        <v>202</v>
      </c>
      <c r="AZ42" s="3" t="s">
        <v>203</v>
      </c>
      <c r="BA42" s="3" t="s">
        <v>202</v>
      </c>
      <c r="BB42" s="3" t="s">
        <v>203</v>
      </c>
      <c r="BC42" s="3" t="s">
        <v>203</v>
      </c>
      <c r="BD42" s="3" t="s">
        <v>202</v>
      </c>
      <c r="BE42" s="3" t="s">
        <v>204</v>
      </c>
      <c r="BF42" s="3" t="s">
        <v>204</v>
      </c>
      <c r="BG42" s="3" t="s">
        <v>204</v>
      </c>
      <c r="BH42" s="3" t="s">
        <v>204</v>
      </c>
      <c r="BI42" s="3" t="s">
        <v>204</v>
      </c>
      <c r="BJ42" s="3" t="s">
        <v>203</v>
      </c>
      <c r="BK42" s="3" t="s">
        <v>202</v>
      </c>
      <c r="BL42" s="3" t="s">
        <v>203</v>
      </c>
      <c r="BM42" s="3" t="s">
        <v>203</v>
      </c>
      <c r="BN42" s="3" t="s">
        <v>202</v>
      </c>
      <c r="BO42" s="3" t="s">
        <v>201</v>
      </c>
      <c r="BP42" s="3" t="s">
        <v>204</v>
      </c>
      <c r="BQ42" s="3" t="s">
        <v>204</v>
      </c>
      <c r="BR42" s="3"/>
      <c r="BS42" s="3"/>
      <c r="BT42" s="3" t="s">
        <v>271</v>
      </c>
      <c r="BU42" s="3" t="s">
        <v>202</v>
      </c>
      <c r="BV42" s="3" t="s">
        <v>205</v>
      </c>
      <c r="BW42" s="3" t="s">
        <v>203</v>
      </c>
      <c r="BX42" s="3" t="s">
        <v>202</v>
      </c>
      <c r="BY42" s="3" t="s">
        <v>205</v>
      </c>
      <c r="BZ42" s="3" t="s">
        <v>203</v>
      </c>
      <c r="CA42" s="3" t="s">
        <v>202</v>
      </c>
      <c r="CB42" s="3" t="s">
        <v>205</v>
      </c>
      <c r="CC42" s="3" t="s">
        <v>203</v>
      </c>
      <c r="CD42" s="3" t="s">
        <v>202</v>
      </c>
      <c r="CE42" s="3" t="s">
        <v>205</v>
      </c>
      <c r="CF42" s="3" t="s">
        <v>203</v>
      </c>
      <c r="CG42" s="3"/>
      <c r="CH42" s="3" t="s">
        <v>207</v>
      </c>
      <c r="CI42" s="3" t="s">
        <v>208</v>
      </c>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t="s">
        <v>288</v>
      </c>
      <c r="DT42" s="3"/>
      <c r="DU42" s="3"/>
      <c r="DV42" s="3"/>
      <c r="DW42" s="3" t="s">
        <v>208</v>
      </c>
      <c r="DX42" s="3" t="s">
        <v>246</v>
      </c>
      <c r="DY42" s="3" t="s">
        <v>247</v>
      </c>
      <c r="DZ42" s="3" t="s">
        <v>219</v>
      </c>
      <c r="EA42" s="3" t="s">
        <v>220</v>
      </c>
      <c r="EB42" s="3"/>
      <c r="EC42" s="3" t="s">
        <v>203</v>
      </c>
      <c r="ED42" s="3" t="s">
        <v>202</v>
      </c>
      <c r="EE42" s="3" t="s">
        <v>203</v>
      </c>
      <c r="EF42" s="3" t="s">
        <v>201</v>
      </c>
      <c r="EG42" s="3" t="s">
        <v>202</v>
      </c>
      <c r="EH42" s="3" t="s">
        <v>203</v>
      </c>
      <c r="EI42" s="3" t="s">
        <v>201</v>
      </c>
      <c r="EJ42" s="3" t="s">
        <v>203</v>
      </c>
      <c r="EK42" s="3" t="s">
        <v>202</v>
      </c>
      <c r="EL42" s="3" t="s">
        <v>203</v>
      </c>
      <c r="EM42" s="3" t="s">
        <v>203</v>
      </c>
      <c r="EN42" s="3" t="s">
        <v>205</v>
      </c>
      <c r="EO42" s="3" t="s">
        <v>201</v>
      </c>
      <c r="EP42" s="3"/>
      <c r="EQ42" s="3" t="s">
        <v>203</v>
      </c>
      <c r="ER42" s="3" t="s">
        <v>203</v>
      </c>
      <c r="ES42" s="3"/>
      <c r="ET42" s="3" t="s">
        <v>205</v>
      </c>
      <c r="EU42" s="3" t="s">
        <v>203</v>
      </c>
      <c r="EV42" s="3" t="s">
        <v>204</v>
      </c>
      <c r="EW42" s="3"/>
      <c r="EX42" s="3"/>
      <c r="EY42" s="3" t="s">
        <v>203</v>
      </c>
      <c r="EZ42" s="3" t="s">
        <v>202</v>
      </c>
      <c r="FA42" s="3" t="s">
        <v>205</v>
      </c>
      <c r="FB42" s="3" t="s">
        <v>202</v>
      </c>
      <c r="FC42" s="3" t="s">
        <v>203</v>
      </c>
      <c r="FD42" s="3" t="s">
        <v>205</v>
      </c>
      <c r="FE42" s="3" t="s">
        <v>203</v>
      </c>
      <c r="FF42" s="3" t="s">
        <v>203</v>
      </c>
      <c r="FG42" s="3" t="s">
        <v>204</v>
      </c>
      <c r="FH42" s="3" t="s">
        <v>203</v>
      </c>
      <c r="FI42" s="3" t="s">
        <v>203</v>
      </c>
      <c r="FJ42" s="3" t="s">
        <v>202</v>
      </c>
      <c r="FK42" s="3" t="s">
        <v>205</v>
      </c>
      <c r="FL42" s="3" t="s">
        <v>202</v>
      </c>
      <c r="FM42" s="3" t="s">
        <v>203</v>
      </c>
      <c r="FN42" s="3" t="s">
        <v>205</v>
      </c>
      <c r="FO42" s="3" t="s">
        <v>205</v>
      </c>
      <c r="FP42" s="3" t="s">
        <v>205</v>
      </c>
      <c r="FQ42" s="3" t="s">
        <v>205</v>
      </c>
      <c r="FR42" s="3" t="s">
        <v>202</v>
      </c>
      <c r="FS42" s="3" t="s">
        <v>204</v>
      </c>
      <c r="FT42" s="3" t="s">
        <v>204</v>
      </c>
      <c r="FU42" s="3"/>
      <c r="FV42" s="3"/>
      <c r="FW42" s="3" t="s">
        <v>271</v>
      </c>
      <c r="FX42" s="3"/>
      <c r="FY42" s="3" t="s">
        <v>205</v>
      </c>
      <c r="FZ42" s="3" t="s">
        <v>205</v>
      </c>
      <c r="GA42" s="3" t="s">
        <v>202</v>
      </c>
      <c r="GB42" s="3" t="s">
        <v>203</v>
      </c>
      <c r="GC42" s="3"/>
      <c r="GD42" s="3"/>
      <c r="GE42" s="3" t="s">
        <v>201</v>
      </c>
      <c r="GF42" s="3" t="s">
        <v>203</v>
      </c>
      <c r="GG42" s="3" t="s">
        <v>201</v>
      </c>
      <c r="GH42" s="3" t="s">
        <v>203</v>
      </c>
      <c r="GI42" s="3" t="s">
        <v>201</v>
      </c>
      <c r="GJ42" s="3" t="s">
        <v>202</v>
      </c>
      <c r="GK42" s="3" t="s">
        <v>430</v>
      </c>
      <c r="GL42" s="5">
        <f>DATE(2025,6,6)+TIME(13,13,12)</f>
        <v>45814.550833333335</v>
      </c>
    </row>
    <row r="43" spans="1:194" ht="47.25" x14ac:dyDescent="0.25">
      <c r="A43" s="6" t="s">
        <v>431</v>
      </c>
      <c r="B43" s="6" t="s">
        <v>432</v>
      </c>
      <c r="C43" s="6" t="s">
        <v>433</v>
      </c>
      <c r="D43" s="6" t="s">
        <v>434</v>
      </c>
      <c r="E43" s="6"/>
      <c r="F43" s="6" t="s">
        <v>225</v>
      </c>
      <c r="G43" s="6"/>
      <c r="H43" s="6"/>
      <c r="I43" s="6"/>
      <c r="J43" s="6"/>
      <c r="K43" s="6"/>
      <c r="L43" s="6"/>
      <c r="M43" s="6"/>
      <c r="N43" s="6"/>
      <c r="O43" s="6"/>
      <c r="P43" s="6"/>
      <c r="Q43" s="6"/>
      <c r="R43" s="6"/>
      <c r="S43" s="6"/>
      <c r="T43" s="6"/>
      <c r="U43" s="6"/>
      <c r="V43" s="6"/>
      <c r="W43" s="6"/>
      <c r="X43" s="6"/>
      <c r="Y43" s="6"/>
      <c r="Z43" s="6"/>
      <c r="AA43" s="6"/>
      <c r="AB43" s="6"/>
      <c r="AC43" s="6" t="s">
        <v>435</v>
      </c>
      <c r="AD43" s="6"/>
      <c r="AE43" s="6"/>
      <c r="AF43" s="4" t="s">
        <v>435</v>
      </c>
      <c r="AG43" s="6" t="s">
        <v>235</v>
      </c>
      <c r="AH43" s="6" t="s">
        <v>203</v>
      </c>
      <c r="AI43" s="6" t="s">
        <v>202</v>
      </c>
      <c r="AJ43" s="6" t="s">
        <v>204</v>
      </c>
      <c r="AK43" s="6" t="s">
        <v>202</v>
      </c>
      <c r="AL43" s="6" t="s">
        <v>202</v>
      </c>
      <c r="AM43" s="6" t="s">
        <v>204</v>
      </c>
      <c r="AN43" s="6" t="s">
        <v>204</v>
      </c>
      <c r="AO43" s="6" t="s">
        <v>203</v>
      </c>
      <c r="AP43" s="6" t="s">
        <v>202</v>
      </c>
      <c r="AQ43" s="6" t="s">
        <v>202</v>
      </c>
      <c r="AR43" s="6" t="s">
        <v>202</v>
      </c>
      <c r="AS43" s="6"/>
      <c r="AT43" s="6" t="s">
        <v>203</v>
      </c>
      <c r="AU43" s="6" t="s">
        <v>203</v>
      </c>
      <c r="AV43" s="6" t="s">
        <v>205</v>
      </c>
      <c r="AW43" s="6" t="s">
        <v>202</v>
      </c>
      <c r="AX43" s="6" t="s">
        <v>205</v>
      </c>
      <c r="AY43" s="6" t="s">
        <v>202</v>
      </c>
      <c r="AZ43" s="6" t="s">
        <v>201</v>
      </c>
      <c r="BA43" s="6" t="s">
        <v>202</v>
      </c>
      <c r="BB43" s="6" t="s">
        <v>201</v>
      </c>
      <c r="BC43" s="6" t="s">
        <v>204</v>
      </c>
      <c r="BD43" s="6" t="s">
        <v>202</v>
      </c>
      <c r="BE43" s="6" t="s">
        <v>205</v>
      </c>
      <c r="BF43" s="6" t="s">
        <v>202</v>
      </c>
      <c r="BG43" s="6" t="s">
        <v>203</v>
      </c>
      <c r="BH43" s="6" t="s">
        <v>203</v>
      </c>
      <c r="BI43" s="6" t="s">
        <v>204</v>
      </c>
      <c r="BJ43" s="6" t="s">
        <v>202</v>
      </c>
      <c r="BK43" s="6" t="s">
        <v>202</v>
      </c>
      <c r="BL43" s="6" t="s">
        <v>201</v>
      </c>
      <c r="BM43" s="6" t="s">
        <v>203</v>
      </c>
      <c r="BN43" s="6" t="s">
        <v>202</v>
      </c>
      <c r="BO43" s="6" t="s">
        <v>201</v>
      </c>
      <c r="BP43" s="6" t="s">
        <v>201</v>
      </c>
      <c r="BQ43" s="6" t="s">
        <v>204</v>
      </c>
      <c r="BR43" s="6" t="s">
        <v>202</v>
      </c>
      <c r="BS43" s="6" t="s">
        <v>436</v>
      </c>
      <c r="BT43" s="6" t="s">
        <v>206</v>
      </c>
      <c r="BU43" s="6" t="s">
        <v>202</v>
      </c>
      <c r="BV43" s="6" t="s">
        <v>203</v>
      </c>
      <c r="BW43" s="6" t="s">
        <v>202</v>
      </c>
      <c r="BX43" s="6" t="s">
        <v>202</v>
      </c>
      <c r="BY43" s="6" t="s">
        <v>202</v>
      </c>
      <c r="BZ43" s="6" t="s">
        <v>202</v>
      </c>
      <c r="CA43" s="6" t="s">
        <v>203</v>
      </c>
      <c r="CB43" s="6" t="s">
        <v>203</v>
      </c>
      <c r="CC43" s="6" t="s">
        <v>202</v>
      </c>
      <c r="CD43" s="6" t="s">
        <v>201</v>
      </c>
      <c r="CE43" s="6" t="s">
        <v>202</v>
      </c>
      <c r="CF43" s="6" t="s">
        <v>201</v>
      </c>
      <c r="CG43" s="6"/>
      <c r="CH43" s="6" t="s">
        <v>207</v>
      </c>
      <c r="CI43" s="6" t="s">
        <v>207</v>
      </c>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t="s">
        <v>236</v>
      </c>
      <c r="DQ43" s="6" t="s">
        <v>237</v>
      </c>
      <c r="DR43" s="6"/>
      <c r="DS43" s="6"/>
      <c r="DT43" s="6"/>
      <c r="DU43" s="6"/>
      <c r="DV43" s="6"/>
      <c r="DW43" s="6" t="s">
        <v>208</v>
      </c>
      <c r="DX43" s="6"/>
      <c r="DY43" s="6"/>
      <c r="DZ43" s="6"/>
      <c r="EA43" s="6"/>
      <c r="EB43" s="6" t="s">
        <v>437</v>
      </c>
      <c r="EC43" s="6" t="s">
        <v>204</v>
      </c>
      <c r="ED43" s="6" t="s">
        <v>204</v>
      </c>
      <c r="EE43" s="6" t="s">
        <v>204</v>
      </c>
      <c r="EF43" s="6" t="s">
        <v>201</v>
      </c>
      <c r="EG43" s="6" t="s">
        <v>203</v>
      </c>
      <c r="EH43" s="6" t="s">
        <v>202</v>
      </c>
      <c r="EI43" s="6" t="s">
        <v>202</v>
      </c>
      <c r="EJ43" s="6" t="s">
        <v>202</v>
      </c>
      <c r="EK43" s="6" t="s">
        <v>205</v>
      </c>
      <c r="EL43" s="6" t="s">
        <v>202</v>
      </c>
      <c r="EM43" s="6"/>
      <c r="EN43" s="6"/>
      <c r="EO43" s="6"/>
      <c r="EP43" s="6"/>
      <c r="EQ43" s="6" t="s">
        <v>205</v>
      </c>
      <c r="ER43" s="6" t="s">
        <v>205</v>
      </c>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t="s">
        <v>202</v>
      </c>
      <c r="FZ43" s="6" t="s">
        <v>202</v>
      </c>
      <c r="GA43" s="6" t="s">
        <v>201</v>
      </c>
      <c r="GB43" s="6" t="s">
        <v>203</v>
      </c>
      <c r="GC43" s="6" t="s">
        <v>204</v>
      </c>
      <c r="GD43" s="6"/>
      <c r="GE43" s="6" t="s">
        <v>202</v>
      </c>
      <c r="GF43" s="6" t="s">
        <v>202</v>
      </c>
      <c r="GG43" s="6" t="s">
        <v>202</v>
      </c>
      <c r="GH43" s="6" t="s">
        <v>203</v>
      </c>
      <c r="GI43" s="6" t="s">
        <v>202</v>
      </c>
      <c r="GJ43" s="6" t="s">
        <v>202</v>
      </c>
      <c r="GK43" s="6"/>
      <c r="GL43" s="7">
        <f>DATE(2025,5,28)+TIME(16,53,20)</f>
        <v>45805.703703703701</v>
      </c>
    </row>
    <row r="44" spans="1:194" ht="110.25" x14ac:dyDescent="0.25">
      <c r="A44" s="3" t="s">
        <v>289</v>
      </c>
      <c r="B44" s="3" t="s">
        <v>290</v>
      </c>
      <c r="C44" s="3" t="s">
        <v>291</v>
      </c>
      <c r="D44" s="3" t="s">
        <v>438</v>
      </c>
      <c r="E44" s="3"/>
      <c r="F44" s="3" t="s">
        <v>233</v>
      </c>
      <c r="G44" s="3"/>
      <c r="H44" s="3"/>
      <c r="I44" s="3"/>
      <c r="J44" s="3"/>
      <c r="K44" s="3"/>
      <c r="L44" s="3"/>
      <c r="M44" s="3"/>
      <c r="N44" s="3"/>
      <c r="O44" s="3"/>
      <c r="P44" s="3"/>
      <c r="Q44" s="3"/>
      <c r="R44" s="3"/>
      <c r="S44" s="3"/>
      <c r="T44" s="3"/>
      <c r="U44" s="3"/>
      <c r="V44" s="3"/>
      <c r="W44" s="3"/>
      <c r="X44" s="3"/>
      <c r="Y44" s="3"/>
      <c r="Z44" s="3"/>
      <c r="AA44" s="3"/>
      <c r="AB44" s="3" t="s">
        <v>439</v>
      </c>
      <c r="AC44" s="3"/>
      <c r="AD44" s="3"/>
      <c r="AE44" s="3"/>
      <c r="AF44" s="4" t="s">
        <v>439</v>
      </c>
      <c r="AG44" s="3" t="s">
        <v>213</v>
      </c>
      <c r="AH44" s="3" t="s">
        <v>201</v>
      </c>
      <c r="AI44" s="3" t="s">
        <v>201</v>
      </c>
      <c r="AJ44" s="3" t="s">
        <v>201</v>
      </c>
      <c r="AK44" s="3" t="s">
        <v>202</v>
      </c>
      <c r="AL44" s="3" t="s">
        <v>202</v>
      </c>
      <c r="AM44" s="3" t="s">
        <v>202</v>
      </c>
      <c r="AN44" s="3" t="s">
        <v>202</v>
      </c>
      <c r="AO44" s="3" t="s">
        <v>202</v>
      </c>
      <c r="AP44" s="3" t="s">
        <v>201</v>
      </c>
      <c r="AQ44" s="3" t="s">
        <v>201</v>
      </c>
      <c r="AR44" s="3" t="s">
        <v>201</v>
      </c>
      <c r="AS44" s="3"/>
      <c r="AT44" s="3" t="s">
        <v>203</v>
      </c>
      <c r="AU44" s="3" t="s">
        <v>201</v>
      </c>
      <c r="AV44" s="3" t="s">
        <v>205</v>
      </c>
      <c r="AW44" s="3" t="s">
        <v>201</v>
      </c>
      <c r="AX44" s="3" t="s">
        <v>202</v>
      </c>
      <c r="AY44" s="3" t="s">
        <v>203</v>
      </c>
      <c r="AZ44" s="3" t="s">
        <v>203</v>
      </c>
      <c r="BA44" s="3" t="s">
        <v>205</v>
      </c>
      <c r="BB44" s="3" t="s">
        <v>202</v>
      </c>
      <c r="BC44" s="3" t="s">
        <v>203</v>
      </c>
      <c r="BD44" s="3" t="s">
        <v>202</v>
      </c>
      <c r="BE44" s="3" t="s">
        <v>205</v>
      </c>
      <c r="BF44" s="3" t="s">
        <v>205</v>
      </c>
      <c r="BG44" s="3" t="s">
        <v>202</v>
      </c>
      <c r="BH44" s="3" t="s">
        <v>202</v>
      </c>
      <c r="BI44" s="3" t="s">
        <v>202</v>
      </c>
      <c r="BJ44" s="3" t="s">
        <v>202</v>
      </c>
      <c r="BK44" s="3" t="s">
        <v>205</v>
      </c>
      <c r="BL44" s="3" t="s">
        <v>202</v>
      </c>
      <c r="BM44" s="3" t="s">
        <v>203</v>
      </c>
      <c r="BN44" s="3" t="s">
        <v>202</v>
      </c>
      <c r="BO44" s="3" t="s">
        <v>202</v>
      </c>
      <c r="BP44" s="3" t="s">
        <v>203</v>
      </c>
      <c r="BQ44" s="3" t="s">
        <v>203</v>
      </c>
      <c r="BR44" s="3" t="s">
        <v>204</v>
      </c>
      <c r="BS44" s="3"/>
      <c r="BT44" s="3" t="s">
        <v>206</v>
      </c>
      <c r="BU44" s="3" t="s">
        <v>202</v>
      </c>
      <c r="BV44" s="3" t="s">
        <v>205</v>
      </c>
      <c r="BW44" s="3" t="s">
        <v>202</v>
      </c>
      <c r="BX44" s="3" t="s">
        <v>202</v>
      </c>
      <c r="BY44" s="3" t="s">
        <v>202</v>
      </c>
      <c r="BZ44" s="3" t="s">
        <v>202</v>
      </c>
      <c r="CA44" s="3" t="s">
        <v>202</v>
      </c>
      <c r="CB44" s="3" t="s">
        <v>202</v>
      </c>
      <c r="CC44" s="3" t="s">
        <v>202</v>
      </c>
      <c r="CD44" s="3" t="s">
        <v>202</v>
      </c>
      <c r="CE44" s="3" t="s">
        <v>202</v>
      </c>
      <c r="CF44" s="3" t="s">
        <v>202</v>
      </c>
      <c r="CG44" s="3"/>
      <c r="CH44" s="3" t="s">
        <v>207</v>
      </c>
      <c r="CI44" s="3" t="s">
        <v>207</v>
      </c>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t="s">
        <v>294</v>
      </c>
      <c r="DV44" s="3"/>
      <c r="DW44" s="3" t="s">
        <v>228</v>
      </c>
      <c r="DX44" s="3"/>
      <c r="DY44" s="3"/>
      <c r="DZ44" s="3"/>
      <c r="EA44" s="3"/>
      <c r="EB44" s="3"/>
      <c r="EC44" s="3"/>
      <c r="ED44" s="3"/>
      <c r="EE44" s="3"/>
      <c r="EF44" s="3" t="s">
        <v>202</v>
      </c>
      <c r="EG44" s="3" t="s">
        <v>202</v>
      </c>
      <c r="EH44" s="3" t="s">
        <v>202</v>
      </c>
      <c r="EI44" s="3" t="s">
        <v>202</v>
      </c>
      <c r="EJ44" s="3" t="s">
        <v>202</v>
      </c>
      <c r="EK44" s="3" t="s">
        <v>202</v>
      </c>
      <c r="EL44" s="3" t="s">
        <v>202</v>
      </c>
      <c r="EM44" s="3"/>
      <c r="EN44" s="3"/>
      <c r="EO44" s="3"/>
      <c r="EP44" s="3"/>
      <c r="EQ44" s="3" t="s">
        <v>203</v>
      </c>
      <c r="ER44" s="3" t="s">
        <v>203</v>
      </c>
      <c r="ES44" s="3"/>
      <c r="ET44" s="3" t="s">
        <v>205</v>
      </c>
      <c r="EU44" s="3" t="s">
        <v>205</v>
      </c>
      <c r="EV44" s="3" t="s">
        <v>205</v>
      </c>
      <c r="EW44" s="3" t="s">
        <v>205</v>
      </c>
      <c r="EX44" s="3"/>
      <c r="EY44" s="3" t="s">
        <v>202</v>
      </c>
      <c r="EZ44" s="3" t="s">
        <v>205</v>
      </c>
      <c r="FA44" s="3" t="s">
        <v>202</v>
      </c>
      <c r="FB44" s="3" t="s">
        <v>203</v>
      </c>
      <c r="FC44" s="3" t="s">
        <v>202</v>
      </c>
      <c r="FD44" s="3" t="s">
        <v>202</v>
      </c>
      <c r="FE44" s="3" t="s">
        <v>202</v>
      </c>
      <c r="FF44" s="3" t="s">
        <v>202</v>
      </c>
      <c r="FG44" s="3" t="s">
        <v>202</v>
      </c>
      <c r="FH44" s="3" t="s">
        <v>205</v>
      </c>
      <c r="FI44" s="3" t="s">
        <v>203</v>
      </c>
      <c r="FJ44" s="3" t="s">
        <v>205</v>
      </c>
      <c r="FK44" s="3" t="s">
        <v>203</v>
      </c>
      <c r="FL44" s="3" t="s">
        <v>203</v>
      </c>
      <c r="FM44" s="3" t="s">
        <v>202</v>
      </c>
      <c r="FN44" s="3" t="s">
        <v>202</v>
      </c>
      <c r="FO44" s="3" t="s">
        <v>202</v>
      </c>
      <c r="FP44" s="3" t="s">
        <v>202</v>
      </c>
      <c r="FQ44" s="3" t="s">
        <v>202</v>
      </c>
      <c r="FR44" s="3" t="s">
        <v>202</v>
      </c>
      <c r="FS44" s="3" t="s">
        <v>202</v>
      </c>
      <c r="FT44" s="3" t="s">
        <v>202</v>
      </c>
      <c r="FU44" s="3" t="s">
        <v>204</v>
      </c>
      <c r="FV44" s="3"/>
      <c r="FW44" s="3" t="s">
        <v>238</v>
      </c>
      <c r="FX44" s="3"/>
      <c r="FY44" s="3" t="s">
        <v>201</v>
      </c>
      <c r="FZ44" s="3" t="s">
        <v>202</v>
      </c>
      <c r="GA44" s="3" t="s">
        <v>201</v>
      </c>
      <c r="GB44" s="3" t="s">
        <v>202</v>
      </c>
      <c r="GC44" s="3"/>
      <c r="GD44" s="3"/>
      <c r="GE44" s="3" t="s">
        <v>201</v>
      </c>
      <c r="GF44" s="3" t="s">
        <v>202</v>
      </c>
      <c r="GG44" s="3" t="s">
        <v>201</v>
      </c>
      <c r="GH44" s="3" t="s">
        <v>202</v>
      </c>
      <c r="GI44" s="3" t="s">
        <v>202</v>
      </c>
      <c r="GJ44" s="3" t="s">
        <v>202</v>
      </c>
      <c r="GK44" s="3"/>
      <c r="GL44" s="5">
        <f>DATE(2025,5,23)+TIME(11,2,1)</f>
        <v>45800.459733796299</v>
      </c>
    </row>
    <row r="45" spans="1:194" ht="63" x14ac:dyDescent="0.25">
      <c r="A45" s="6" t="s">
        <v>440</v>
      </c>
      <c r="B45" s="6" t="s">
        <v>441</v>
      </c>
      <c r="C45" s="6" t="s">
        <v>442</v>
      </c>
      <c r="D45" s="6" t="s">
        <v>443</v>
      </c>
      <c r="E45" s="6"/>
      <c r="F45" s="6" t="s">
        <v>444</v>
      </c>
      <c r="G45" s="6"/>
      <c r="H45" s="6"/>
      <c r="I45" s="6"/>
      <c r="J45" s="6"/>
      <c r="K45" s="6"/>
      <c r="L45" s="6"/>
      <c r="M45" s="6"/>
      <c r="N45" s="6"/>
      <c r="O45" s="6"/>
      <c r="P45" s="6"/>
      <c r="Q45" s="6"/>
      <c r="R45" s="6"/>
      <c r="S45" s="6"/>
      <c r="T45" s="6"/>
      <c r="U45" s="6"/>
      <c r="V45" s="6"/>
      <c r="W45" s="6"/>
      <c r="X45" s="6"/>
      <c r="Y45" s="6" t="s">
        <v>445</v>
      </c>
      <c r="Z45" s="6"/>
      <c r="AA45" s="6"/>
      <c r="AB45" s="6"/>
      <c r="AC45" s="6"/>
      <c r="AD45" s="6"/>
      <c r="AE45" s="6"/>
      <c r="AF45" s="4" t="s">
        <v>445</v>
      </c>
      <c r="AG45" s="6" t="s">
        <v>235</v>
      </c>
      <c r="AH45" s="6" t="s">
        <v>202</v>
      </c>
      <c r="AI45" s="6" t="s">
        <v>202</v>
      </c>
      <c r="AJ45" s="6" t="s">
        <v>202</v>
      </c>
      <c r="AK45" s="6" t="s">
        <v>203</v>
      </c>
      <c r="AL45" s="6" t="s">
        <v>201</v>
      </c>
      <c r="AM45" s="6" t="s">
        <v>204</v>
      </c>
      <c r="AN45" s="6" t="s">
        <v>204</v>
      </c>
      <c r="AO45" s="6" t="s">
        <v>204</v>
      </c>
      <c r="AP45" s="6" t="s">
        <v>203</v>
      </c>
      <c r="AQ45" s="6" t="s">
        <v>203</v>
      </c>
      <c r="AR45" s="6" t="s">
        <v>203</v>
      </c>
      <c r="AS45" s="6"/>
      <c r="AT45" s="6" t="s">
        <v>203</v>
      </c>
      <c r="AU45" s="6" t="s">
        <v>202</v>
      </c>
      <c r="AV45" s="6" t="s">
        <v>205</v>
      </c>
      <c r="AW45" s="6" t="s">
        <v>203</v>
      </c>
      <c r="AX45" s="6" t="s">
        <v>203</v>
      </c>
      <c r="AY45" s="6" t="s">
        <v>202</v>
      </c>
      <c r="AZ45" s="6" t="s">
        <v>202</v>
      </c>
      <c r="BA45" s="6" t="s">
        <v>205</v>
      </c>
      <c r="BB45" s="6" t="s">
        <v>202</v>
      </c>
      <c r="BC45" s="6" t="s">
        <v>203</v>
      </c>
      <c r="BD45" s="6" t="s">
        <v>202</v>
      </c>
      <c r="BE45" s="6" t="s">
        <v>202</v>
      </c>
      <c r="BF45" s="6" t="s">
        <v>205</v>
      </c>
      <c r="BG45" s="6" t="s">
        <v>202</v>
      </c>
      <c r="BH45" s="6" t="s">
        <v>203</v>
      </c>
      <c r="BI45" s="6" t="s">
        <v>202</v>
      </c>
      <c r="BJ45" s="6" t="s">
        <v>203</v>
      </c>
      <c r="BK45" s="6" t="s">
        <v>205</v>
      </c>
      <c r="BL45" s="6" t="s">
        <v>202</v>
      </c>
      <c r="BM45" s="6" t="s">
        <v>203</v>
      </c>
      <c r="BN45" s="6" t="s">
        <v>203</v>
      </c>
      <c r="BO45" s="6" t="s">
        <v>204</v>
      </c>
      <c r="BP45" s="6" t="s">
        <v>204</v>
      </c>
      <c r="BQ45" s="6" t="s">
        <v>204</v>
      </c>
      <c r="BR45" s="6" t="s">
        <v>204</v>
      </c>
      <c r="BS45" s="6"/>
      <c r="BT45" s="6" t="s">
        <v>206</v>
      </c>
      <c r="BU45" s="6" t="s">
        <v>202</v>
      </c>
      <c r="BV45" s="6" t="s">
        <v>202</v>
      </c>
      <c r="BW45" s="6" t="s">
        <v>202</v>
      </c>
      <c r="BX45" s="6" t="s">
        <v>202</v>
      </c>
      <c r="BY45" s="6" t="s">
        <v>202</v>
      </c>
      <c r="BZ45" s="6" t="s">
        <v>202</v>
      </c>
      <c r="CA45" s="6" t="s">
        <v>202</v>
      </c>
      <c r="CB45" s="6" t="s">
        <v>202</v>
      </c>
      <c r="CC45" s="6" t="s">
        <v>202</v>
      </c>
      <c r="CD45" s="6" t="s">
        <v>202</v>
      </c>
      <c r="CE45" s="6" t="s">
        <v>202</v>
      </c>
      <c r="CF45" s="6" t="s">
        <v>202</v>
      </c>
      <c r="CG45" s="6"/>
      <c r="CH45" s="6" t="s">
        <v>207</v>
      </c>
      <c r="CI45" s="6" t="s">
        <v>207</v>
      </c>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t="s">
        <v>236</v>
      </c>
      <c r="DQ45" s="6"/>
      <c r="DR45" s="6"/>
      <c r="DS45" s="6"/>
      <c r="DT45" s="6"/>
      <c r="DU45" s="6"/>
      <c r="DV45" s="6"/>
      <c r="DW45" s="6" t="s">
        <v>207</v>
      </c>
      <c r="DX45" s="6"/>
      <c r="DY45" s="6"/>
      <c r="DZ45" s="6"/>
      <c r="EA45" s="6"/>
      <c r="EB45" s="6"/>
      <c r="EC45" s="6"/>
      <c r="ED45" s="6"/>
      <c r="EE45" s="6"/>
      <c r="EF45" s="6" t="s">
        <v>201</v>
      </c>
      <c r="EG45" s="6" t="s">
        <v>202</v>
      </c>
      <c r="EH45" s="6" t="s">
        <v>202</v>
      </c>
      <c r="EI45" s="6" t="s">
        <v>201</v>
      </c>
      <c r="EJ45" s="6" t="s">
        <v>205</v>
      </c>
      <c r="EK45" s="6" t="s">
        <v>205</v>
      </c>
      <c r="EL45" s="6" t="s">
        <v>203</v>
      </c>
      <c r="EM45" s="6"/>
      <c r="EN45" s="6"/>
      <c r="EO45" s="6"/>
      <c r="EP45" s="6"/>
      <c r="EQ45" s="6" t="s">
        <v>205</v>
      </c>
      <c r="ER45" s="6" t="s">
        <v>203</v>
      </c>
      <c r="ES45" s="6"/>
      <c r="ET45" s="6"/>
      <c r="EU45" s="6"/>
      <c r="EV45" s="6"/>
      <c r="EW45" s="6"/>
      <c r="EX45" s="6"/>
      <c r="EY45" s="6"/>
      <c r="EZ45" s="6"/>
      <c r="FA45" s="6"/>
      <c r="FB45" s="6"/>
      <c r="FC45" s="6"/>
      <c r="FD45" s="6"/>
      <c r="FE45" s="6"/>
      <c r="FF45" s="6"/>
      <c r="FG45" s="6"/>
      <c r="FH45" s="6" t="s">
        <v>203</v>
      </c>
      <c r="FI45" s="6" t="s">
        <v>204</v>
      </c>
      <c r="FJ45" s="6" t="s">
        <v>205</v>
      </c>
      <c r="FK45" s="6" t="s">
        <v>203</v>
      </c>
      <c r="FL45" s="6" t="s">
        <v>203</v>
      </c>
      <c r="FM45" s="6" t="s">
        <v>204</v>
      </c>
      <c r="FN45" s="6" t="s">
        <v>204</v>
      </c>
      <c r="FO45" s="6" t="s">
        <v>204</v>
      </c>
      <c r="FP45" s="6" t="s">
        <v>204</v>
      </c>
      <c r="FQ45" s="6" t="s">
        <v>204</v>
      </c>
      <c r="FR45" s="6" t="s">
        <v>204</v>
      </c>
      <c r="FS45" s="6" t="s">
        <v>204</v>
      </c>
      <c r="FT45" s="6" t="s">
        <v>204</v>
      </c>
      <c r="FU45" s="6" t="s">
        <v>204</v>
      </c>
      <c r="FV45" s="6"/>
      <c r="FW45" s="6" t="s">
        <v>238</v>
      </c>
      <c r="FX45" s="6"/>
      <c r="FY45" s="6" t="s">
        <v>202</v>
      </c>
      <c r="FZ45" s="6" t="s">
        <v>201</v>
      </c>
      <c r="GA45" s="6" t="s">
        <v>201</v>
      </c>
      <c r="GB45" s="6" t="s">
        <v>202</v>
      </c>
      <c r="GC45" s="6" t="s">
        <v>204</v>
      </c>
      <c r="GD45" s="6"/>
      <c r="GE45" s="6" t="s">
        <v>202</v>
      </c>
      <c r="GF45" s="6" t="s">
        <v>201</v>
      </c>
      <c r="GG45" s="6" t="s">
        <v>203</v>
      </c>
      <c r="GH45" s="6" t="s">
        <v>203</v>
      </c>
      <c r="GI45" s="6" t="s">
        <v>201</v>
      </c>
      <c r="GJ45" s="6" t="s">
        <v>202</v>
      </c>
      <c r="GK45" s="6" t="s">
        <v>446</v>
      </c>
      <c r="GL45" s="7">
        <f>DATE(2025,6,2)+TIME(0,20,35)</f>
        <v>45810.014293981483</v>
      </c>
    </row>
    <row r="46" spans="1:194" ht="47.25" x14ac:dyDescent="0.25">
      <c r="A46" s="3" t="s">
        <v>447</v>
      </c>
      <c r="B46" s="3" t="s">
        <v>448</v>
      </c>
      <c r="C46" s="3" t="s">
        <v>449</v>
      </c>
      <c r="D46" s="3" t="s">
        <v>450</v>
      </c>
      <c r="E46" s="3"/>
      <c r="F46" s="3" t="s">
        <v>451</v>
      </c>
      <c r="G46" s="3"/>
      <c r="H46" s="3"/>
      <c r="I46" s="3"/>
      <c r="J46" s="3"/>
      <c r="K46" s="3"/>
      <c r="L46" s="3"/>
      <c r="M46" s="3"/>
      <c r="N46" s="3"/>
      <c r="O46" s="3"/>
      <c r="P46" s="3"/>
      <c r="Q46" s="3"/>
      <c r="R46" s="3"/>
      <c r="S46" s="3"/>
      <c r="T46" s="3"/>
      <c r="U46" s="3"/>
      <c r="V46" s="3"/>
      <c r="W46" s="3"/>
      <c r="X46" s="3"/>
      <c r="Y46" s="3"/>
      <c r="Z46" s="3"/>
      <c r="AA46" s="3" t="s">
        <v>452</v>
      </c>
      <c r="AB46" s="3"/>
      <c r="AC46" s="3"/>
      <c r="AD46" s="3"/>
      <c r="AE46" s="3"/>
      <c r="AF46" s="4" t="s">
        <v>452</v>
      </c>
      <c r="AG46" s="3" t="s">
        <v>200</v>
      </c>
      <c r="AH46" s="3" t="s">
        <v>203</v>
      </c>
      <c r="AI46" s="3" t="s">
        <v>205</v>
      </c>
      <c r="AJ46" s="3" t="s">
        <v>203</v>
      </c>
      <c r="AK46" s="3" t="s">
        <v>205</v>
      </c>
      <c r="AL46" s="3" t="s">
        <v>205</v>
      </c>
      <c r="AM46" s="3" t="s">
        <v>203</v>
      </c>
      <c r="AN46" s="3" t="s">
        <v>203</v>
      </c>
      <c r="AO46" s="3" t="s">
        <v>205</v>
      </c>
      <c r="AP46" s="3" t="s">
        <v>205</v>
      </c>
      <c r="AQ46" s="3" t="s">
        <v>205</v>
      </c>
      <c r="AR46" s="3" t="s">
        <v>205</v>
      </c>
      <c r="AS46" s="3"/>
      <c r="AT46" s="3" t="s">
        <v>205</v>
      </c>
      <c r="AU46" s="3" t="s">
        <v>203</v>
      </c>
      <c r="AV46" s="3" t="s">
        <v>201</v>
      </c>
      <c r="AW46" s="3" t="s">
        <v>205</v>
      </c>
      <c r="AX46" s="3" t="s">
        <v>205</v>
      </c>
      <c r="AY46" s="3" t="s">
        <v>204</v>
      </c>
      <c r="AZ46" s="3" t="s">
        <v>203</v>
      </c>
      <c r="BA46" s="3" t="s">
        <v>201</v>
      </c>
      <c r="BB46" s="3" t="s">
        <v>205</v>
      </c>
      <c r="BC46" s="3" t="s">
        <v>205</v>
      </c>
      <c r="BD46" s="3" t="s">
        <v>204</v>
      </c>
      <c r="BE46" s="3" t="s">
        <v>205</v>
      </c>
      <c r="BF46" s="3" t="s">
        <v>201</v>
      </c>
      <c r="BG46" s="3" t="s">
        <v>205</v>
      </c>
      <c r="BH46" s="3" t="s">
        <v>205</v>
      </c>
      <c r="BI46" s="3" t="s">
        <v>204</v>
      </c>
      <c r="BJ46" s="3" t="s">
        <v>205</v>
      </c>
      <c r="BK46" s="3" t="s">
        <v>201</v>
      </c>
      <c r="BL46" s="3" t="s">
        <v>205</v>
      </c>
      <c r="BM46" s="3" t="s">
        <v>205</v>
      </c>
      <c r="BN46" s="3" t="s">
        <v>204</v>
      </c>
      <c r="BO46" s="3" t="s">
        <v>203</v>
      </c>
      <c r="BP46" s="3" t="s">
        <v>203</v>
      </c>
      <c r="BQ46" s="3" t="s">
        <v>203</v>
      </c>
      <c r="BR46" s="3" t="s">
        <v>204</v>
      </c>
      <c r="BS46" s="3"/>
      <c r="BT46" s="3" t="s">
        <v>271</v>
      </c>
      <c r="BU46" s="3" t="s">
        <v>201</v>
      </c>
      <c r="BV46" s="3" t="s">
        <v>203</v>
      </c>
      <c r="BW46" s="3" t="s">
        <v>202</v>
      </c>
      <c r="BX46" s="3" t="s">
        <v>203</v>
      </c>
      <c r="BY46" s="3" t="s">
        <v>202</v>
      </c>
      <c r="BZ46" s="3" t="s">
        <v>202</v>
      </c>
      <c r="CA46" s="3" t="s">
        <v>203</v>
      </c>
      <c r="CB46" s="3" t="s">
        <v>202</v>
      </c>
      <c r="CC46" s="3" t="s">
        <v>202</v>
      </c>
      <c r="CD46" s="3" t="s">
        <v>203</v>
      </c>
      <c r="CE46" s="3" t="s">
        <v>202</v>
      </c>
      <c r="CF46" s="3" t="s">
        <v>202</v>
      </c>
      <c r="CG46" s="3"/>
      <c r="CH46" s="3" t="s">
        <v>207</v>
      </c>
      <c r="CI46" s="3" t="s">
        <v>207</v>
      </c>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t="s">
        <v>236</v>
      </c>
      <c r="DQ46" s="3" t="s">
        <v>237</v>
      </c>
      <c r="DR46" s="3"/>
      <c r="DS46" s="3"/>
      <c r="DT46" s="3"/>
      <c r="DU46" s="3"/>
      <c r="DV46" s="3"/>
      <c r="DW46" s="3" t="s">
        <v>207</v>
      </c>
      <c r="DX46" s="3"/>
      <c r="DY46" s="3"/>
      <c r="DZ46" s="3"/>
      <c r="EA46" s="3"/>
      <c r="EB46" s="3"/>
      <c r="EC46" s="3"/>
      <c r="ED46" s="3"/>
      <c r="EE46" s="3"/>
      <c r="EF46" s="3" t="s">
        <v>201</v>
      </c>
      <c r="EG46" s="3" t="s">
        <v>203</v>
      </c>
      <c r="EH46" s="3" t="s">
        <v>203</v>
      </c>
      <c r="EI46" s="3" t="s">
        <v>201</v>
      </c>
      <c r="EJ46" s="3" t="s">
        <v>205</v>
      </c>
      <c r="EK46" s="3" t="s">
        <v>201</v>
      </c>
      <c r="EL46" s="3" t="s">
        <v>205</v>
      </c>
      <c r="EM46" s="3"/>
      <c r="EN46" s="3"/>
      <c r="EO46" s="3"/>
      <c r="EP46" s="3"/>
      <c r="EQ46" s="3" t="s">
        <v>205</v>
      </c>
      <c r="ER46" s="3" t="s">
        <v>205</v>
      </c>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t="s">
        <v>203</v>
      </c>
      <c r="FZ46" s="3" t="s">
        <v>203</v>
      </c>
      <c r="GA46" s="3" t="s">
        <v>202</v>
      </c>
      <c r="GB46" s="3" t="s">
        <v>203</v>
      </c>
      <c r="GC46" s="3"/>
      <c r="GD46" s="3"/>
      <c r="GE46" s="3" t="s">
        <v>201</v>
      </c>
      <c r="GF46" s="3" t="s">
        <v>203</v>
      </c>
      <c r="GG46" s="3" t="s">
        <v>201</v>
      </c>
      <c r="GH46" s="3" t="s">
        <v>203</v>
      </c>
      <c r="GI46" s="3" t="s">
        <v>201</v>
      </c>
      <c r="GJ46" s="3" t="s">
        <v>201</v>
      </c>
      <c r="GK46" s="3"/>
      <c r="GL46" s="5">
        <f>DATE(2025,6,4)+TIME(16,14,37)</f>
        <v>45812.676817129628</v>
      </c>
    </row>
    <row r="47" spans="1:194" ht="78.75" x14ac:dyDescent="0.25">
      <c r="A47" s="6" t="s">
        <v>453</v>
      </c>
      <c r="B47" s="6" t="s">
        <v>454</v>
      </c>
      <c r="C47" s="6" t="s">
        <v>455</v>
      </c>
      <c r="D47" s="6" t="s">
        <v>456</v>
      </c>
      <c r="E47" s="6"/>
      <c r="F47" s="6" t="s">
        <v>244</v>
      </c>
      <c r="G47" s="6"/>
      <c r="H47" s="6" t="s">
        <v>457</v>
      </c>
      <c r="I47" s="6"/>
      <c r="J47" s="6"/>
      <c r="K47" s="6"/>
      <c r="L47" s="6"/>
      <c r="M47" s="6"/>
      <c r="N47" s="6"/>
      <c r="O47" s="6"/>
      <c r="P47" s="6"/>
      <c r="Q47" s="6"/>
      <c r="R47" s="6"/>
      <c r="S47" s="6"/>
      <c r="T47" s="6"/>
      <c r="U47" s="6"/>
      <c r="V47" s="6"/>
      <c r="W47" s="6"/>
      <c r="X47" s="6"/>
      <c r="Y47" s="6"/>
      <c r="Z47" s="6"/>
      <c r="AA47" s="6"/>
      <c r="AB47" s="6"/>
      <c r="AC47" s="6"/>
      <c r="AD47" s="6"/>
      <c r="AE47" s="6"/>
      <c r="AF47" s="4" t="s">
        <v>457</v>
      </c>
      <c r="AG47" s="6" t="s">
        <v>213</v>
      </c>
      <c r="AH47" s="6" t="s">
        <v>203</v>
      </c>
      <c r="AI47" s="6" t="s">
        <v>201</v>
      </c>
      <c r="AJ47" s="6" t="s">
        <v>203</v>
      </c>
      <c r="AK47" s="6" t="s">
        <v>202</v>
      </c>
      <c r="AL47" s="6" t="s">
        <v>202</v>
      </c>
      <c r="AM47" s="6" t="s">
        <v>205</v>
      </c>
      <c r="AN47" s="6" t="s">
        <v>205</v>
      </c>
      <c r="AO47" s="6" t="s">
        <v>202</v>
      </c>
      <c r="AP47" s="6" t="s">
        <v>202</v>
      </c>
      <c r="AQ47" s="6" t="s">
        <v>202</v>
      </c>
      <c r="AR47" s="6" t="s">
        <v>202</v>
      </c>
      <c r="AS47" s="6"/>
      <c r="AT47" s="6" t="s">
        <v>203</v>
      </c>
      <c r="AU47" s="6" t="s">
        <v>205</v>
      </c>
      <c r="AV47" s="6" t="s">
        <v>205</v>
      </c>
      <c r="AW47" s="6" t="s">
        <v>203</v>
      </c>
      <c r="AX47" s="6" t="s">
        <v>205</v>
      </c>
      <c r="AY47" s="6" t="s">
        <v>205</v>
      </c>
      <c r="AZ47" s="6" t="s">
        <v>203</v>
      </c>
      <c r="BA47" s="6" t="s">
        <v>205</v>
      </c>
      <c r="BB47" s="6" t="s">
        <v>203</v>
      </c>
      <c r="BC47" s="6" t="s">
        <v>205</v>
      </c>
      <c r="BD47" s="6" t="s">
        <v>202</v>
      </c>
      <c r="BE47" s="6" t="s">
        <v>203</v>
      </c>
      <c r="BF47" s="6" t="s">
        <v>203</v>
      </c>
      <c r="BG47" s="6" t="s">
        <v>201</v>
      </c>
      <c r="BH47" s="6" t="s">
        <v>202</v>
      </c>
      <c r="BI47" s="6" t="s">
        <v>202</v>
      </c>
      <c r="BJ47" s="6" t="s">
        <v>203</v>
      </c>
      <c r="BK47" s="6" t="s">
        <v>205</v>
      </c>
      <c r="BL47" s="6" t="s">
        <v>203</v>
      </c>
      <c r="BM47" s="6" t="s">
        <v>205</v>
      </c>
      <c r="BN47" s="6" t="s">
        <v>202</v>
      </c>
      <c r="BO47" s="6" t="s">
        <v>202</v>
      </c>
      <c r="BP47" s="6" t="s">
        <v>202</v>
      </c>
      <c r="BQ47" s="6" t="s">
        <v>202</v>
      </c>
      <c r="BR47" s="6" t="s">
        <v>202</v>
      </c>
      <c r="BS47" s="6" t="s">
        <v>458</v>
      </c>
      <c r="BT47" s="6" t="s">
        <v>210</v>
      </c>
      <c r="BU47" s="6" t="s">
        <v>202</v>
      </c>
      <c r="BV47" s="6" t="s">
        <v>202</v>
      </c>
      <c r="BW47" s="6" t="s">
        <v>202</v>
      </c>
      <c r="BX47" s="6" t="s">
        <v>203</v>
      </c>
      <c r="BY47" s="6" t="s">
        <v>203</v>
      </c>
      <c r="BZ47" s="6" t="s">
        <v>203</v>
      </c>
      <c r="CA47" s="6" t="s">
        <v>201</v>
      </c>
      <c r="CB47" s="6" t="s">
        <v>201</v>
      </c>
      <c r="CC47" s="6" t="s">
        <v>201</v>
      </c>
      <c r="CD47" s="6" t="s">
        <v>201</v>
      </c>
      <c r="CE47" s="6" t="s">
        <v>201</v>
      </c>
      <c r="CF47" s="6" t="s">
        <v>201</v>
      </c>
      <c r="CG47" s="6"/>
      <c r="CH47" s="6" t="s">
        <v>207</v>
      </c>
      <c r="CI47" s="6" t="s">
        <v>207</v>
      </c>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t="s">
        <v>288</v>
      </c>
      <c r="DT47" s="6"/>
      <c r="DU47" s="6"/>
      <c r="DV47" s="6"/>
      <c r="DW47" s="6" t="s">
        <v>208</v>
      </c>
      <c r="DX47" s="6"/>
      <c r="DY47" s="6" t="s">
        <v>247</v>
      </c>
      <c r="DZ47" s="6"/>
      <c r="EA47" s="6"/>
      <c r="EB47" s="6"/>
      <c r="EC47" s="6" t="s">
        <v>205</v>
      </c>
      <c r="ED47" s="6" t="s">
        <v>205</v>
      </c>
      <c r="EE47" s="6" t="s">
        <v>205</v>
      </c>
      <c r="EF47" s="6" t="s">
        <v>203</v>
      </c>
      <c r="EG47" s="6" t="s">
        <v>203</v>
      </c>
      <c r="EH47" s="6" t="s">
        <v>203</v>
      </c>
      <c r="EI47" s="6" t="s">
        <v>203</v>
      </c>
      <c r="EJ47" s="6" t="s">
        <v>201</v>
      </c>
      <c r="EK47" s="6" t="s">
        <v>201</v>
      </c>
      <c r="EL47" s="6" t="s">
        <v>201</v>
      </c>
      <c r="EM47" s="6"/>
      <c r="EN47" s="6"/>
      <c r="EO47" s="6"/>
      <c r="EP47" s="6"/>
      <c r="EQ47" s="6" t="s">
        <v>203</v>
      </c>
      <c r="ER47" s="6" t="s">
        <v>203</v>
      </c>
      <c r="ES47" s="6"/>
      <c r="ET47" s="6" t="s">
        <v>205</v>
      </c>
      <c r="EU47" s="6" t="s">
        <v>205</v>
      </c>
      <c r="EV47" s="6" t="s">
        <v>205</v>
      </c>
      <c r="EW47" s="6" t="s">
        <v>205</v>
      </c>
      <c r="EX47" s="6"/>
      <c r="EY47" s="6" t="s">
        <v>205</v>
      </c>
      <c r="EZ47" s="6" t="s">
        <v>205</v>
      </c>
      <c r="FA47" s="6" t="s">
        <v>205</v>
      </c>
      <c r="FB47" s="6" t="s">
        <v>205</v>
      </c>
      <c r="FC47" s="6" t="s">
        <v>205</v>
      </c>
      <c r="FD47" s="6" t="s">
        <v>205</v>
      </c>
      <c r="FE47" s="6" t="s">
        <v>205</v>
      </c>
      <c r="FF47" s="6" t="s">
        <v>205</v>
      </c>
      <c r="FG47" s="6" t="s">
        <v>205</v>
      </c>
      <c r="FH47" s="6" t="s">
        <v>203</v>
      </c>
      <c r="FI47" s="6" t="s">
        <v>203</v>
      </c>
      <c r="FJ47" s="6" t="s">
        <v>203</v>
      </c>
      <c r="FK47" s="6" t="s">
        <v>205</v>
      </c>
      <c r="FL47" s="6" t="s">
        <v>205</v>
      </c>
      <c r="FM47" s="6" t="s">
        <v>203</v>
      </c>
      <c r="FN47" s="6" t="s">
        <v>205</v>
      </c>
      <c r="FO47" s="6" t="s">
        <v>205</v>
      </c>
      <c r="FP47" s="6" t="s">
        <v>205</v>
      </c>
      <c r="FQ47" s="6" t="s">
        <v>205</v>
      </c>
      <c r="FR47" s="6" t="s">
        <v>205</v>
      </c>
      <c r="FS47" s="6" t="s">
        <v>201</v>
      </c>
      <c r="FT47" s="6" t="s">
        <v>201</v>
      </c>
      <c r="FU47" s="6" t="s">
        <v>201</v>
      </c>
      <c r="FV47" s="6" t="s">
        <v>459</v>
      </c>
      <c r="FW47" s="6" t="s">
        <v>210</v>
      </c>
      <c r="FX47" s="6"/>
      <c r="FY47" s="6" t="s">
        <v>201</v>
      </c>
      <c r="FZ47" s="6" t="s">
        <v>201</v>
      </c>
      <c r="GA47" s="6" t="s">
        <v>203</v>
      </c>
      <c r="GB47" s="6" t="s">
        <v>201</v>
      </c>
      <c r="GC47" s="6"/>
      <c r="GD47" s="6"/>
      <c r="GE47" s="6" t="s">
        <v>202</v>
      </c>
      <c r="GF47" s="6" t="s">
        <v>202</v>
      </c>
      <c r="GG47" s="6" t="s">
        <v>202</v>
      </c>
      <c r="GH47" s="6" t="s">
        <v>201</v>
      </c>
      <c r="GI47" s="6" t="s">
        <v>203</v>
      </c>
      <c r="GJ47" s="6" t="s">
        <v>202</v>
      </c>
      <c r="GK47" s="6"/>
      <c r="GL47" s="7">
        <f>DATE(2025,7,15)+TIME(14,19,55)</f>
        <v>45853.59716435185</v>
      </c>
    </row>
    <row r="48" spans="1:194" ht="409.5" x14ac:dyDescent="0.25">
      <c r="A48" s="3" t="s">
        <v>460</v>
      </c>
      <c r="B48" s="3" t="s">
        <v>461</v>
      </c>
      <c r="C48" s="3" t="s">
        <v>462</v>
      </c>
      <c r="D48" s="3" t="s">
        <v>463</v>
      </c>
      <c r="E48" s="3"/>
      <c r="F48" s="3" t="s">
        <v>256</v>
      </c>
      <c r="G48" s="3"/>
      <c r="H48" s="3"/>
      <c r="I48" s="3" t="s">
        <v>464</v>
      </c>
      <c r="J48" s="3"/>
      <c r="K48" s="3"/>
      <c r="L48" s="3"/>
      <c r="M48" s="3"/>
      <c r="N48" s="3"/>
      <c r="O48" s="3"/>
      <c r="P48" s="3"/>
      <c r="Q48" s="3"/>
      <c r="R48" s="3"/>
      <c r="S48" s="3"/>
      <c r="T48" s="3"/>
      <c r="U48" s="3"/>
      <c r="V48" s="3"/>
      <c r="W48" s="3"/>
      <c r="X48" s="3"/>
      <c r="Y48" s="3"/>
      <c r="Z48" s="3"/>
      <c r="AA48" s="3"/>
      <c r="AB48" s="3"/>
      <c r="AC48" s="3"/>
      <c r="AD48" s="3"/>
      <c r="AE48" s="3"/>
      <c r="AF48" s="4" t="s">
        <v>464</v>
      </c>
      <c r="AG48" s="3" t="s">
        <v>235</v>
      </c>
      <c r="AH48" s="3" t="s">
        <v>203</v>
      </c>
      <c r="AI48" s="3" t="s">
        <v>201</v>
      </c>
      <c r="AJ48" s="3" t="s">
        <v>204</v>
      </c>
      <c r="AK48" s="3" t="s">
        <v>203</v>
      </c>
      <c r="AL48" s="3" t="s">
        <v>201</v>
      </c>
      <c r="AM48" s="3" t="s">
        <v>205</v>
      </c>
      <c r="AN48" s="3" t="s">
        <v>205</v>
      </c>
      <c r="AO48" s="3" t="s">
        <v>205</v>
      </c>
      <c r="AP48" s="3" t="s">
        <v>205</v>
      </c>
      <c r="AQ48" s="3" t="s">
        <v>205</v>
      </c>
      <c r="AR48" s="3" t="s">
        <v>203</v>
      </c>
      <c r="AS48" s="3"/>
      <c r="AT48" s="3" t="s">
        <v>205</v>
      </c>
      <c r="AU48" s="3" t="s">
        <v>202</v>
      </c>
      <c r="AV48" s="3" t="s">
        <v>205</v>
      </c>
      <c r="AW48" s="3" t="s">
        <v>203</v>
      </c>
      <c r="AX48" s="3" t="s">
        <v>203</v>
      </c>
      <c r="AY48" s="3" t="s">
        <v>204</v>
      </c>
      <c r="AZ48" s="3" t="s">
        <v>202</v>
      </c>
      <c r="BA48" s="3" t="s">
        <v>204</v>
      </c>
      <c r="BB48" s="3" t="s">
        <v>201</v>
      </c>
      <c r="BC48" s="3" t="s">
        <v>202</v>
      </c>
      <c r="BD48" s="3" t="s">
        <v>204</v>
      </c>
      <c r="BE48" s="3" t="s">
        <v>204</v>
      </c>
      <c r="BF48" s="3" t="s">
        <v>204</v>
      </c>
      <c r="BG48" s="3" t="s">
        <v>204</v>
      </c>
      <c r="BH48" s="3" t="s">
        <v>204</v>
      </c>
      <c r="BI48" s="3" t="s">
        <v>204</v>
      </c>
      <c r="BJ48" s="3" t="s">
        <v>204</v>
      </c>
      <c r="BK48" s="3" t="s">
        <v>204</v>
      </c>
      <c r="BL48" s="3" t="s">
        <v>204</v>
      </c>
      <c r="BM48" s="3" t="s">
        <v>204</v>
      </c>
      <c r="BN48" s="3" t="s">
        <v>204</v>
      </c>
      <c r="BO48" s="3" t="s">
        <v>201</v>
      </c>
      <c r="BP48" s="3" t="s">
        <v>201</v>
      </c>
      <c r="BQ48" s="3" t="s">
        <v>204</v>
      </c>
      <c r="BR48" s="3" t="s">
        <v>204</v>
      </c>
      <c r="BS48" s="3"/>
      <c r="BT48" s="3" t="s">
        <v>206</v>
      </c>
      <c r="BU48" s="3" t="s">
        <v>201</v>
      </c>
      <c r="BV48" s="3" t="s">
        <v>203</v>
      </c>
      <c r="BW48" s="3" t="s">
        <v>201</v>
      </c>
      <c r="BX48" s="3" t="s">
        <v>202</v>
      </c>
      <c r="BY48" s="3" t="s">
        <v>202</v>
      </c>
      <c r="BZ48" s="3" t="s">
        <v>202</v>
      </c>
      <c r="CA48" s="3" t="s">
        <v>204</v>
      </c>
      <c r="CB48" s="3" t="s">
        <v>204</v>
      </c>
      <c r="CC48" s="3" t="s">
        <v>204</v>
      </c>
      <c r="CD48" s="3" t="s">
        <v>202</v>
      </c>
      <c r="CE48" s="3" t="s">
        <v>202</v>
      </c>
      <c r="CF48" s="3" t="s">
        <v>202</v>
      </c>
      <c r="CG48" s="3"/>
      <c r="CH48" s="3" t="s">
        <v>207</v>
      </c>
      <c r="CI48" s="3" t="s">
        <v>207</v>
      </c>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t="s">
        <v>288</v>
      </c>
      <c r="DT48" s="3"/>
      <c r="DU48" s="3" t="s">
        <v>294</v>
      </c>
      <c r="DV48" s="3" t="s">
        <v>465</v>
      </c>
      <c r="DW48" s="3" t="s">
        <v>228</v>
      </c>
      <c r="DX48" s="3"/>
      <c r="DY48" s="3"/>
      <c r="DZ48" s="3"/>
      <c r="EA48" s="3"/>
      <c r="EB48" s="3"/>
      <c r="EC48" s="3"/>
      <c r="ED48" s="3"/>
      <c r="EE48" s="3"/>
      <c r="EF48" s="3" t="s">
        <v>205</v>
      </c>
      <c r="EG48" s="3" t="s">
        <v>203</v>
      </c>
      <c r="EH48" s="3" t="s">
        <v>204</v>
      </c>
      <c r="EI48" s="3" t="s">
        <v>205</v>
      </c>
      <c r="EJ48" s="3" t="s">
        <v>205</v>
      </c>
      <c r="EK48" s="3" t="s">
        <v>205</v>
      </c>
      <c r="EL48" s="3" t="s">
        <v>205</v>
      </c>
      <c r="EM48" s="3"/>
      <c r="EN48" s="3"/>
      <c r="EO48" s="3"/>
      <c r="EP48" s="3"/>
      <c r="EQ48" s="3" t="s">
        <v>205</v>
      </c>
      <c r="ER48" s="3" t="s">
        <v>205</v>
      </c>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t="s">
        <v>205</v>
      </c>
      <c r="FZ48" s="3" t="s">
        <v>201</v>
      </c>
      <c r="GA48" s="3" t="s">
        <v>201</v>
      </c>
      <c r="GB48" s="3" t="s">
        <v>201</v>
      </c>
      <c r="GC48" s="3" t="s">
        <v>204</v>
      </c>
      <c r="GD48" s="3"/>
      <c r="GE48" s="3" t="s">
        <v>202</v>
      </c>
      <c r="GF48" s="3" t="s">
        <v>201</v>
      </c>
      <c r="GG48" s="3" t="s">
        <v>201</v>
      </c>
      <c r="GH48" s="3" t="s">
        <v>203</v>
      </c>
      <c r="GI48" s="3" t="s">
        <v>201</v>
      </c>
      <c r="GJ48" s="3" t="s">
        <v>201</v>
      </c>
      <c r="GK48" s="3" t="s">
        <v>466</v>
      </c>
      <c r="GL48" s="5">
        <f>DATE(2025,6,13)+TIME(11,17,55)</f>
        <v>45821.470775462964</v>
      </c>
    </row>
    <row r="49" spans="1:194" ht="47.25" x14ac:dyDescent="0.25">
      <c r="A49" s="6" t="s">
        <v>467</v>
      </c>
      <c r="B49" s="6" t="s">
        <v>468</v>
      </c>
      <c r="C49" s="6" t="s">
        <v>469</v>
      </c>
      <c r="D49" s="6" t="s">
        <v>470</v>
      </c>
      <c r="E49" s="6"/>
      <c r="F49" s="6" t="s">
        <v>423</v>
      </c>
      <c r="G49" s="6"/>
      <c r="H49" s="6"/>
      <c r="I49" s="6"/>
      <c r="J49" s="6"/>
      <c r="K49" s="6"/>
      <c r="L49" s="6"/>
      <c r="M49" s="6"/>
      <c r="N49" s="6"/>
      <c r="O49" s="6"/>
      <c r="P49" s="6"/>
      <c r="Q49" s="6"/>
      <c r="R49" s="6"/>
      <c r="S49" s="6"/>
      <c r="T49" s="6" t="s">
        <v>471</v>
      </c>
      <c r="U49" s="6"/>
      <c r="V49" s="6"/>
      <c r="W49" s="6"/>
      <c r="X49" s="6"/>
      <c r="Y49" s="6"/>
      <c r="Z49" s="6"/>
      <c r="AA49" s="6"/>
      <c r="AB49" s="6"/>
      <c r="AC49" s="6"/>
      <c r="AD49" s="6"/>
      <c r="AE49" s="6"/>
      <c r="AF49" s="4" t="s">
        <v>471</v>
      </c>
      <c r="AG49" s="6" t="s">
        <v>235</v>
      </c>
      <c r="AH49" s="6" t="s">
        <v>202</v>
      </c>
      <c r="AI49" s="6" t="s">
        <v>204</v>
      </c>
      <c r="AJ49" s="6" t="s">
        <v>202</v>
      </c>
      <c r="AK49" s="6" t="s">
        <v>204</v>
      </c>
      <c r="AL49" s="6" t="s">
        <v>204</v>
      </c>
      <c r="AM49" s="6" t="s">
        <v>204</v>
      </c>
      <c r="AN49" s="6" t="s">
        <v>204</v>
      </c>
      <c r="AO49" s="6" t="s">
        <v>204</v>
      </c>
      <c r="AP49" s="6" t="s">
        <v>204</v>
      </c>
      <c r="AQ49" s="6" t="s">
        <v>204</v>
      </c>
      <c r="AR49" s="6" t="s">
        <v>204</v>
      </c>
      <c r="AS49" s="6"/>
      <c r="AT49" s="6" t="s">
        <v>204</v>
      </c>
      <c r="AU49" s="6" t="s">
        <v>204</v>
      </c>
      <c r="AV49" s="6" t="s">
        <v>204</v>
      </c>
      <c r="AW49" s="6" t="s">
        <v>204</v>
      </c>
      <c r="AX49" s="6" t="s">
        <v>204</v>
      </c>
      <c r="AY49" s="6" t="s">
        <v>204</v>
      </c>
      <c r="AZ49" s="6" t="s">
        <v>202</v>
      </c>
      <c r="BA49" s="6" t="s">
        <v>202</v>
      </c>
      <c r="BB49" s="6" t="s">
        <v>202</v>
      </c>
      <c r="BC49" s="6" t="s">
        <v>202</v>
      </c>
      <c r="BD49" s="6" t="s">
        <v>202</v>
      </c>
      <c r="BE49" s="6" t="s">
        <v>202</v>
      </c>
      <c r="BF49" s="6" t="s">
        <v>202</v>
      </c>
      <c r="BG49" s="6" t="s">
        <v>202</v>
      </c>
      <c r="BH49" s="6" t="s">
        <v>202</v>
      </c>
      <c r="BI49" s="6" t="s">
        <v>202</v>
      </c>
      <c r="BJ49" s="6" t="s">
        <v>202</v>
      </c>
      <c r="BK49" s="6" t="s">
        <v>202</v>
      </c>
      <c r="BL49" s="6" t="s">
        <v>202</v>
      </c>
      <c r="BM49" s="6" t="s">
        <v>202</v>
      </c>
      <c r="BN49" s="6" t="s">
        <v>202</v>
      </c>
      <c r="BO49" s="6" t="s">
        <v>204</v>
      </c>
      <c r="BP49" s="6" t="s">
        <v>204</v>
      </c>
      <c r="BQ49" s="6" t="s">
        <v>204</v>
      </c>
      <c r="BR49" s="6"/>
      <c r="BS49" s="6"/>
      <c r="BT49" s="6" t="s">
        <v>206</v>
      </c>
      <c r="BU49" s="6" t="s">
        <v>202</v>
      </c>
      <c r="BV49" s="6" t="s">
        <v>202</v>
      </c>
      <c r="BW49" s="6" t="s">
        <v>202</v>
      </c>
      <c r="BX49" s="6" t="s">
        <v>202</v>
      </c>
      <c r="BY49" s="6" t="s">
        <v>202</v>
      </c>
      <c r="BZ49" s="6" t="s">
        <v>202</v>
      </c>
      <c r="CA49" s="6" t="s">
        <v>202</v>
      </c>
      <c r="CB49" s="6" t="s">
        <v>202</v>
      </c>
      <c r="CC49" s="6" t="s">
        <v>202</v>
      </c>
      <c r="CD49" s="6" t="s">
        <v>202</v>
      </c>
      <c r="CE49" s="6" t="s">
        <v>202</v>
      </c>
      <c r="CF49" s="6" t="s">
        <v>202</v>
      </c>
      <c r="CG49" s="6"/>
      <c r="CH49" s="6" t="s">
        <v>207</v>
      </c>
      <c r="CI49" s="6" t="s">
        <v>207</v>
      </c>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t="s">
        <v>236</v>
      </c>
      <c r="DQ49" s="6"/>
      <c r="DR49" s="6"/>
      <c r="DS49" s="6"/>
      <c r="DT49" s="6"/>
      <c r="DU49" s="6"/>
      <c r="DV49" s="6"/>
      <c r="DW49" s="6" t="s">
        <v>207</v>
      </c>
      <c r="DX49" s="6"/>
      <c r="DY49" s="6"/>
      <c r="DZ49" s="6"/>
      <c r="EA49" s="6"/>
      <c r="EB49" s="6"/>
      <c r="EC49" s="6"/>
      <c r="ED49" s="6"/>
      <c r="EE49" s="6"/>
      <c r="EF49" s="6" t="s">
        <v>202</v>
      </c>
      <c r="EG49" s="6" t="s">
        <v>203</v>
      </c>
      <c r="EH49" s="6" t="s">
        <v>203</v>
      </c>
      <c r="EI49" s="6" t="s">
        <v>203</v>
      </c>
      <c r="EJ49" s="6" t="s">
        <v>202</v>
      </c>
      <c r="EK49" s="6" t="s">
        <v>203</v>
      </c>
      <c r="EL49" s="6" t="s">
        <v>201</v>
      </c>
      <c r="EM49" s="6"/>
      <c r="EN49" s="6"/>
      <c r="EO49" s="6"/>
      <c r="EP49" s="6"/>
      <c r="EQ49" s="6" t="s">
        <v>205</v>
      </c>
      <c r="ER49" s="6" t="s">
        <v>205</v>
      </c>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t="s">
        <v>202</v>
      </c>
      <c r="FZ49" s="6" t="s">
        <v>202</v>
      </c>
      <c r="GA49" s="6" t="s">
        <v>202</v>
      </c>
      <c r="GB49" s="6" t="s">
        <v>202</v>
      </c>
      <c r="GC49" s="6"/>
      <c r="GD49" s="6"/>
      <c r="GE49" s="6" t="s">
        <v>201</v>
      </c>
      <c r="GF49" s="6" t="s">
        <v>202</v>
      </c>
      <c r="GG49" s="6" t="s">
        <v>201</v>
      </c>
      <c r="GH49" s="6" t="s">
        <v>203</v>
      </c>
      <c r="GI49" s="6" t="s">
        <v>201</v>
      </c>
      <c r="GJ49" s="6" t="s">
        <v>201</v>
      </c>
      <c r="GK49" s="6"/>
      <c r="GL49" s="7">
        <f>DATE(2025,5,23)+TIME(9,5,15)</f>
        <v>45800.378645833334</v>
      </c>
    </row>
    <row r="50" spans="1:194" ht="47.25" x14ac:dyDescent="0.25">
      <c r="A50" s="3" t="s">
        <v>472</v>
      </c>
      <c r="B50" s="3" t="s">
        <v>473</v>
      </c>
      <c r="C50" s="3" t="s">
        <v>474</v>
      </c>
      <c r="D50" s="3" t="s">
        <v>475</v>
      </c>
      <c r="E50" s="3"/>
      <c r="F50" s="3" t="s">
        <v>244</v>
      </c>
      <c r="G50" s="3"/>
      <c r="H50" s="3" t="s">
        <v>476</v>
      </c>
      <c r="I50" s="3"/>
      <c r="J50" s="3"/>
      <c r="K50" s="3"/>
      <c r="L50" s="3"/>
      <c r="M50" s="3"/>
      <c r="N50" s="3"/>
      <c r="O50" s="3"/>
      <c r="P50" s="3"/>
      <c r="Q50" s="3"/>
      <c r="R50" s="3"/>
      <c r="S50" s="3"/>
      <c r="T50" s="3"/>
      <c r="U50" s="3"/>
      <c r="V50" s="3"/>
      <c r="W50" s="3"/>
      <c r="X50" s="3"/>
      <c r="Y50" s="3"/>
      <c r="Z50" s="3"/>
      <c r="AA50" s="3"/>
      <c r="AB50" s="3"/>
      <c r="AC50" s="3"/>
      <c r="AD50" s="3"/>
      <c r="AE50" s="3"/>
      <c r="AF50" s="4" t="s">
        <v>476</v>
      </c>
      <c r="AG50" s="3" t="s">
        <v>235</v>
      </c>
      <c r="AH50" s="3" t="s">
        <v>201</v>
      </c>
      <c r="AI50" s="3" t="s">
        <v>201</v>
      </c>
      <c r="AJ50" s="3" t="s">
        <v>201</v>
      </c>
      <c r="AK50" s="3" t="s">
        <v>201</v>
      </c>
      <c r="AL50" s="3" t="s">
        <v>201</v>
      </c>
      <c r="AM50" s="3" t="s">
        <v>201</v>
      </c>
      <c r="AN50" s="3" t="s">
        <v>204</v>
      </c>
      <c r="AO50" s="3" t="s">
        <v>201</v>
      </c>
      <c r="AP50" s="3" t="s">
        <v>201</v>
      </c>
      <c r="AQ50" s="3" t="s">
        <v>201</v>
      </c>
      <c r="AR50" s="3" t="s">
        <v>201</v>
      </c>
      <c r="AS50" s="3"/>
      <c r="AT50" s="3" t="s">
        <v>201</v>
      </c>
      <c r="AU50" s="3" t="s">
        <v>201</v>
      </c>
      <c r="AV50" s="3" t="s">
        <v>201</v>
      </c>
      <c r="AW50" s="3" t="s">
        <v>201</v>
      </c>
      <c r="AX50" s="3" t="s">
        <v>201</v>
      </c>
      <c r="AY50" s="3" t="s">
        <v>201</v>
      </c>
      <c r="AZ50" s="3" t="s">
        <v>202</v>
      </c>
      <c r="BA50" s="3" t="s">
        <v>202</v>
      </c>
      <c r="BB50" s="3" t="s">
        <v>201</v>
      </c>
      <c r="BC50" s="3" t="s">
        <v>201</v>
      </c>
      <c r="BD50" s="3" t="s">
        <v>201</v>
      </c>
      <c r="BE50" s="3" t="s">
        <v>201</v>
      </c>
      <c r="BF50" s="3" t="s">
        <v>201</v>
      </c>
      <c r="BG50" s="3" t="s">
        <v>201</v>
      </c>
      <c r="BH50" s="3" t="s">
        <v>201</v>
      </c>
      <c r="BI50" s="3" t="s">
        <v>201</v>
      </c>
      <c r="BJ50" s="3" t="s">
        <v>202</v>
      </c>
      <c r="BK50" s="3" t="s">
        <v>203</v>
      </c>
      <c r="BL50" s="3" t="s">
        <v>201</v>
      </c>
      <c r="BM50" s="3" t="s">
        <v>201</v>
      </c>
      <c r="BN50" s="3" t="s">
        <v>201</v>
      </c>
      <c r="BO50" s="3" t="s">
        <v>201</v>
      </c>
      <c r="BP50" s="3" t="s">
        <v>201</v>
      </c>
      <c r="BQ50" s="3" t="s">
        <v>201</v>
      </c>
      <c r="BR50" s="3" t="s">
        <v>204</v>
      </c>
      <c r="BS50" s="3"/>
      <c r="BT50" s="3" t="s">
        <v>206</v>
      </c>
      <c r="BU50" s="3" t="s">
        <v>203</v>
      </c>
      <c r="BV50" s="3" t="s">
        <v>201</v>
      </c>
      <c r="BW50" s="3" t="s">
        <v>201</v>
      </c>
      <c r="BX50" s="3" t="s">
        <v>202</v>
      </c>
      <c r="BY50" s="3" t="s">
        <v>201</v>
      </c>
      <c r="BZ50" s="3" t="s">
        <v>201</v>
      </c>
      <c r="CA50" s="3" t="s">
        <v>202</v>
      </c>
      <c r="CB50" s="3" t="s">
        <v>201</v>
      </c>
      <c r="CC50" s="3" t="s">
        <v>201</v>
      </c>
      <c r="CD50" s="3" t="s">
        <v>202</v>
      </c>
      <c r="CE50" s="3" t="s">
        <v>201</v>
      </c>
      <c r="CF50" s="3" t="s">
        <v>201</v>
      </c>
      <c r="CG50" s="3"/>
      <c r="CH50" s="3" t="s">
        <v>208</v>
      </c>
      <c r="CI50" s="3" t="s">
        <v>208</v>
      </c>
      <c r="CJ50" s="3" t="s">
        <v>201</v>
      </c>
      <c r="CK50" s="3" t="s">
        <v>201</v>
      </c>
      <c r="CL50" s="3" t="s">
        <v>201</v>
      </c>
      <c r="CM50" s="3" t="s">
        <v>203</v>
      </c>
      <c r="CN50" s="3" t="s">
        <v>201</v>
      </c>
      <c r="CO50" s="3" t="s">
        <v>201</v>
      </c>
      <c r="CP50" s="3" t="s">
        <v>201</v>
      </c>
      <c r="CQ50" s="3" t="s">
        <v>201</v>
      </c>
      <c r="CR50" s="3" t="s">
        <v>201</v>
      </c>
      <c r="CS50" s="3" t="s">
        <v>201</v>
      </c>
      <c r="CT50" s="3" t="s">
        <v>201</v>
      </c>
      <c r="CU50" s="3" t="s">
        <v>201</v>
      </c>
      <c r="CV50" s="3" t="s">
        <v>204</v>
      </c>
      <c r="CW50" s="3" t="s">
        <v>201</v>
      </c>
      <c r="CX50" s="3" t="s">
        <v>201</v>
      </c>
      <c r="CY50" s="3" t="s">
        <v>204</v>
      </c>
      <c r="CZ50" s="3" t="s">
        <v>201</v>
      </c>
      <c r="DA50" s="3" t="s">
        <v>204</v>
      </c>
      <c r="DB50" s="3"/>
      <c r="DC50" s="3"/>
      <c r="DD50" s="3"/>
      <c r="DE50" s="3" t="s">
        <v>355</v>
      </c>
      <c r="DF50" s="3" t="s">
        <v>217</v>
      </c>
      <c r="DG50" s="3"/>
      <c r="DH50" s="3" t="s">
        <v>205</v>
      </c>
      <c r="DI50" s="3" t="s">
        <v>201</v>
      </c>
      <c r="DJ50" s="3" t="s">
        <v>201</v>
      </c>
      <c r="DK50" s="3" t="s">
        <v>201</v>
      </c>
      <c r="DL50" s="3" t="s">
        <v>201</v>
      </c>
      <c r="DM50" s="3" t="s">
        <v>201</v>
      </c>
      <c r="DN50" s="3" t="s">
        <v>204</v>
      </c>
      <c r="DO50" s="3"/>
      <c r="DP50" s="3"/>
      <c r="DQ50" s="3"/>
      <c r="DR50" s="3"/>
      <c r="DS50" s="3"/>
      <c r="DT50" s="3"/>
      <c r="DU50" s="3"/>
      <c r="DV50" s="3"/>
      <c r="DW50" s="3" t="s">
        <v>228</v>
      </c>
      <c r="DX50" s="3"/>
      <c r="DY50" s="3"/>
      <c r="DZ50" s="3"/>
      <c r="EA50" s="3"/>
      <c r="EB50" s="3"/>
      <c r="EC50" s="3"/>
      <c r="ED50" s="3"/>
      <c r="EE50" s="3"/>
      <c r="EF50" s="3" t="s">
        <v>201</v>
      </c>
      <c r="EG50" s="3" t="s">
        <v>202</v>
      </c>
      <c r="EH50" s="3" t="s">
        <v>202</v>
      </c>
      <c r="EI50" s="3" t="s">
        <v>201</v>
      </c>
      <c r="EJ50" s="3" t="s">
        <v>202</v>
      </c>
      <c r="EK50" s="3" t="s">
        <v>202</v>
      </c>
      <c r="EL50" s="3" t="s">
        <v>201</v>
      </c>
      <c r="EM50" s="3" t="s">
        <v>201</v>
      </c>
      <c r="EN50" s="3" t="s">
        <v>203</v>
      </c>
      <c r="EO50" s="3" t="s">
        <v>204</v>
      </c>
      <c r="EP50" s="3"/>
      <c r="EQ50" s="3" t="s">
        <v>201</v>
      </c>
      <c r="ER50" s="3" t="s">
        <v>201</v>
      </c>
      <c r="ES50" s="3"/>
      <c r="ET50" s="3" t="s">
        <v>203</v>
      </c>
      <c r="EU50" s="3" t="s">
        <v>201</v>
      </c>
      <c r="EV50" s="3" t="s">
        <v>201</v>
      </c>
      <c r="EW50" s="3" t="s">
        <v>204</v>
      </c>
      <c r="EX50" s="3"/>
      <c r="EY50" s="3" t="s">
        <v>201</v>
      </c>
      <c r="EZ50" s="3" t="s">
        <v>203</v>
      </c>
      <c r="FA50" s="3" t="s">
        <v>201</v>
      </c>
      <c r="FB50" s="3" t="s">
        <v>202</v>
      </c>
      <c r="FC50" s="3" t="s">
        <v>201</v>
      </c>
      <c r="FD50" s="3" t="s">
        <v>201</v>
      </c>
      <c r="FE50" s="3" t="s">
        <v>201</v>
      </c>
      <c r="FF50" s="3" t="s">
        <v>201</v>
      </c>
      <c r="FG50" s="3" t="s">
        <v>201</v>
      </c>
      <c r="FH50" s="3" t="s">
        <v>201</v>
      </c>
      <c r="FI50" s="3" t="s">
        <v>201</v>
      </c>
      <c r="FJ50" s="3" t="s">
        <v>203</v>
      </c>
      <c r="FK50" s="3" t="s">
        <v>201</v>
      </c>
      <c r="FL50" s="3" t="s">
        <v>202</v>
      </c>
      <c r="FM50" s="3" t="s">
        <v>201</v>
      </c>
      <c r="FN50" s="3" t="s">
        <v>201</v>
      </c>
      <c r="FO50" s="3" t="s">
        <v>201</v>
      </c>
      <c r="FP50" s="3" t="s">
        <v>201</v>
      </c>
      <c r="FQ50" s="3" t="s">
        <v>201</v>
      </c>
      <c r="FR50" s="3" t="s">
        <v>201</v>
      </c>
      <c r="FS50" s="3" t="s">
        <v>201</v>
      </c>
      <c r="FT50" s="3" t="s">
        <v>201</v>
      </c>
      <c r="FU50" s="3" t="s">
        <v>204</v>
      </c>
      <c r="FV50" s="3"/>
      <c r="FW50" s="3" t="s">
        <v>238</v>
      </c>
      <c r="FX50" s="3"/>
      <c r="FY50" s="3" t="s">
        <v>201</v>
      </c>
      <c r="FZ50" s="3" t="s">
        <v>201</v>
      </c>
      <c r="GA50" s="3" t="s">
        <v>201</v>
      </c>
      <c r="GB50" s="3" t="s">
        <v>202</v>
      </c>
      <c r="GC50" s="3" t="s">
        <v>204</v>
      </c>
      <c r="GD50" s="3"/>
      <c r="GE50" s="3" t="s">
        <v>202</v>
      </c>
      <c r="GF50" s="3" t="s">
        <v>202</v>
      </c>
      <c r="GG50" s="3" t="s">
        <v>202</v>
      </c>
      <c r="GH50" s="3" t="s">
        <v>203</v>
      </c>
      <c r="GI50" s="3" t="s">
        <v>201</v>
      </c>
      <c r="GJ50" s="3" t="s">
        <v>202</v>
      </c>
      <c r="GK50" s="3"/>
      <c r="GL50" s="5">
        <f>DATE(2025,6,3)+TIME(11,2,48)</f>
        <v>45811.460277777776</v>
      </c>
    </row>
    <row r="51" spans="1:194" ht="47.25" x14ac:dyDescent="0.25">
      <c r="A51" s="6" t="s">
        <v>311</v>
      </c>
      <c r="B51" s="6" t="s">
        <v>312</v>
      </c>
      <c r="C51" s="6" t="s">
        <v>313</v>
      </c>
      <c r="D51" s="6" t="s">
        <v>477</v>
      </c>
      <c r="E51" s="6"/>
      <c r="F51" s="6" t="s">
        <v>250</v>
      </c>
      <c r="G51" s="6"/>
      <c r="H51" s="6"/>
      <c r="I51" s="6"/>
      <c r="J51" s="6"/>
      <c r="K51" s="6"/>
      <c r="L51" s="6"/>
      <c r="M51" s="6"/>
      <c r="N51" s="6"/>
      <c r="O51" s="6"/>
      <c r="P51" s="6"/>
      <c r="Q51" s="6"/>
      <c r="R51" s="6"/>
      <c r="S51" s="6"/>
      <c r="T51" s="6"/>
      <c r="U51" s="6"/>
      <c r="V51" s="6"/>
      <c r="W51" s="6"/>
      <c r="X51" s="6" t="s">
        <v>478</v>
      </c>
      <c r="Y51" s="6"/>
      <c r="Z51" s="6"/>
      <c r="AA51" s="6"/>
      <c r="AB51" s="6"/>
      <c r="AC51" s="6"/>
      <c r="AD51" s="6"/>
      <c r="AE51" s="6"/>
      <c r="AF51" s="4" t="s">
        <v>478</v>
      </c>
      <c r="AG51" s="6" t="s">
        <v>235</v>
      </c>
      <c r="AH51" s="6" t="s">
        <v>201</v>
      </c>
      <c r="AI51" s="6" t="s">
        <v>201</v>
      </c>
      <c r="AJ51" s="6" t="s">
        <v>204</v>
      </c>
      <c r="AK51" s="6" t="s">
        <v>201</v>
      </c>
      <c r="AL51" s="6" t="s">
        <v>204</v>
      </c>
      <c r="AM51" s="6" t="s">
        <v>204</v>
      </c>
      <c r="AN51" s="6" t="s">
        <v>204</v>
      </c>
      <c r="AO51" s="6" t="s">
        <v>204</v>
      </c>
      <c r="AP51" s="6" t="s">
        <v>204</v>
      </c>
      <c r="AQ51" s="6" t="s">
        <v>204</v>
      </c>
      <c r="AR51" s="6" t="s">
        <v>201</v>
      </c>
      <c r="AS51" s="6"/>
      <c r="AT51" s="6" t="s">
        <v>204</v>
      </c>
      <c r="AU51" s="6" t="s">
        <v>202</v>
      </c>
      <c r="AV51" s="6" t="s">
        <v>204</v>
      </c>
      <c r="AW51" s="6" t="s">
        <v>201</v>
      </c>
      <c r="AX51" s="6" t="s">
        <v>201</v>
      </c>
      <c r="AY51" s="6" t="s">
        <v>201</v>
      </c>
      <c r="AZ51" s="6" t="s">
        <v>202</v>
      </c>
      <c r="BA51" s="6" t="s">
        <v>204</v>
      </c>
      <c r="BB51" s="6" t="s">
        <v>204</v>
      </c>
      <c r="BC51" s="6" t="s">
        <v>204</v>
      </c>
      <c r="BD51" s="6" t="s">
        <v>201</v>
      </c>
      <c r="BE51" s="6" t="s">
        <v>204</v>
      </c>
      <c r="BF51" s="6" t="s">
        <v>204</v>
      </c>
      <c r="BG51" s="6" t="s">
        <v>204</v>
      </c>
      <c r="BH51" s="6" t="s">
        <v>204</v>
      </c>
      <c r="BI51" s="6" t="s">
        <v>204</v>
      </c>
      <c r="BJ51" s="6" t="s">
        <v>204</v>
      </c>
      <c r="BK51" s="6" t="s">
        <v>204</v>
      </c>
      <c r="BL51" s="6" t="s">
        <v>204</v>
      </c>
      <c r="BM51" s="6" t="s">
        <v>204</v>
      </c>
      <c r="BN51" s="6" t="s">
        <v>204</v>
      </c>
      <c r="BO51" s="6" t="s">
        <v>204</v>
      </c>
      <c r="BP51" s="6" t="s">
        <v>204</v>
      </c>
      <c r="BQ51" s="6" t="s">
        <v>204</v>
      </c>
      <c r="BR51" s="6" t="s">
        <v>204</v>
      </c>
      <c r="BS51" s="6"/>
      <c r="BT51" s="6" t="s">
        <v>206</v>
      </c>
      <c r="BU51" s="6" t="s">
        <v>201</v>
      </c>
      <c r="BV51" s="6" t="s">
        <v>201</v>
      </c>
      <c r="BW51" s="6" t="s">
        <v>201</v>
      </c>
      <c r="BX51" s="6" t="s">
        <v>204</v>
      </c>
      <c r="BY51" s="6" t="s">
        <v>204</v>
      </c>
      <c r="BZ51" s="6" t="s">
        <v>204</v>
      </c>
      <c r="CA51" s="6" t="s">
        <v>204</v>
      </c>
      <c r="CB51" s="6" t="s">
        <v>204</v>
      </c>
      <c r="CC51" s="6" t="s">
        <v>204</v>
      </c>
      <c r="CD51" s="6" t="s">
        <v>204</v>
      </c>
      <c r="CE51" s="6" t="s">
        <v>204</v>
      </c>
      <c r="CF51" s="6" t="s">
        <v>204</v>
      </c>
      <c r="CG51" s="6"/>
      <c r="CH51" s="6" t="s">
        <v>207</v>
      </c>
      <c r="CI51" s="6" t="s">
        <v>207</v>
      </c>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t="s">
        <v>479</v>
      </c>
      <c r="DW51" s="6" t="s">
        <v>207</v>
      </c>
      <c r="DX51" s="6"/>
      <c r="DY51" s="6"/>
      <c r="DZ51" s="6"/>
      <c r="EA51" s="6"/>
      <c r="EB51" s="6"/>
      <c r="EC51" s="6"/>
      <c r="ED51" s="6"/>
      <c r="EE51" s="6"/>
      <c r="EF51" s="6" t="s">
        <v>204</v>
      </c>
      <c r="EG51" s="6" t="s">
        <v>204</v>
      </c>
      <c r="EH51" s="6" t="s">
        <v>204</v>
      </c>
      <c r="EI51" s="6" t="s">
        <v>204</v>
      </c>
      <c r="EJ51" s="6" t="s">
        <v>204</v>
      </c>
      <c r="EK51" s="6" t="s">
        <v>204</v>
      </c>
      <c r="EL51" s="6" t="s">
        <v>204</v>
      </c>
      <c r="EM51" s="6"/>
      <c r="EN51" s="6"/>
      <c r="EO51" s="6"/>
      <c r="EP51" s="6"/>
      <c r="EQ51" s="6" t="s">
        <v>205</v>
      </c>
      <c r="ER51" s="6" t="s">
        <v>205</v>
      </c>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t="s">
        <v>204</v>
      </c>
      <c r="FZ51" s="6" t="s">
        <v>204</v>
      </c>
      <c r="GA51" s="6" t="s">
        <v>204</v>
      </c>
      <c r="GB51" s="6" t="s">
        <v>204</v>
      </c>
      <c r="GC51" s="6" t="s">
        <v>204</v>
      </c>
      <c r="GD51" s="6"/>
      <c r="GE51" s="6" t="s">
        <v>203</v>
      </c>
      <c r="GF51" s="6" t="s">
        <v>201</v>
      </c>
      <c r="GG51" s="6" t="s">
        <v>202</v>
      </c>
      <c r="GH51" s="6" t="s">
        <v>203</v>
      </c>
      <c r="GI51" s="6" t="s">
        <v>203</v>
      </c>
      <c r="GJ51" s="6" t="s">
        <v>203</v>
      </c>
      <c r="GK51" s="6"/>
      <c r="GL51" s="7">
        <f>DATE(2025,6,5)+TIME(14,56,14)</f>
        <v>45813.622384259259</v>
      </c>
    </row>
    <row r="52" spans="1:194" ht="409.5" x14ac:dyDescent="0.25">
      <c r="A52" s="3" t="s">
        <v>265</v>
      </c>
      <c r="B52" s="3" t="s">
        <v>266</v>
      </c>
      <c r="C52" s="3" t="s">
        <v>267</v>
      </c>
      <c r="D52" s="3" t="s">
        <v>480</v>
      </c>
      <c r="E52" s="3"/>
      <c r="F52" s="3" t="s">
        <v>269</v>
      </c>
      <c r="G52" s="3"/>
      <c r="H52" s="3"/>
      <c r="I52" s="3"/>
      <c r="J52" s="3"/>
      <c r="K52" s="3"/>
      <c r="L52" s="3"/>
      <c r="M52" s="3"/>
      <c r="N52" s="3"/>
      <c r="O52" s="3"/>
      <c r="P52" s="3"/>
      <c r="Q52" s="3"/>
      <c r="R52" s="3"/>
      <c r="S52" s="3"/>
      <c r="T52" s="3"/>
      <c r="U52" s="3"/>
      <c r="V52" s="3"/>
      <c r="W52" s="3" t="s">
        <v>481</v>
      </c>
      <c r="X52" s="3"/>
      <c r="Y52" s="3"/>
      <c r="Z52" s="3"/>
      <c r="AA52" s="3"/>
      <c r="AB52" s="3"/>
      <c r="AC52" s="3"/>
      <c r="AD52" s="3"/>
      <c r="AE52" s="3"/>
      <c r="AF52" s="4" t="s">
        <v>481</v>
      </c>
      <c r="AG52" s="3" t="s">
        <v>200</v>
      </c>
      <c r="AH52" s="3" t="s">
        <v>202</v>
      </c>
      <c r="AI52" s="3" t="s">
        <v>202</v>
      </c>
      <c r="AJ52" s="3" t="s">
        <v>204</v>
      </c>
      <c r="AK52" s="3" t="s">
        <v>202</v>
      </c>
      <c r="AL52" s="3" t="s">
        <v>204</v>
      </c>
      <c r="AM52" s="3" t="s">
        <v>204</v>
      </c>
      <c r="AN52" s="3" t="s">
        <v>204</v>
      </c>
      <c r="AO52" s="3" t="s">
        <v>204</v>
      </c>
      <c r="AP52" s="3" t="s">
        <v>204</v>
      </c>
      <c r="AQ52" s="3" t="s">
        <v>204</v>
      </c>
      <c r="AR52" s="3" t="s">
        <v>204</v>
      </c>
      <c r="AS52" s="3"/>
      <c r="AT52" s="3" t="s">
        <v>205</v>
      </c>
      <c r="AU52" s="3" t="s">
        <v>204</v>
      </c>
      <c r="AV52" s="3" t="s">
        <v>204</v>
      </c>
      <c r="AW52" s="3" t="s">
        <v>204</v>
      </c>
      <c r="AX52" s="3" t="s">
        <v>204</v>
      </c>
      <c r="AY52" s="3" t="s">
        <v>204</v>
      </c>
      <c r="AZ52" s="3" t="s">
        <v>204</v>
      </c>
      <c r="BA52" s="3" t="s">
        <v>204</v>
      </c>
      <c r="BB52" s="3" t="s">
        <v>204</v>
      </c>
      <c r="BC52" s="3" t="s">
        <v>204</v>
      </c>
      <c r="BD52" s="3" t="s">
        <v>204</v>
      </c>
      <c r="BE52" s="3" t="s">
        <v>204</v>
      </c>
      <c r="BF52" s="3" t="s">
        <v>204</v>
      </c>
      <c r="BG52" s="3" t="s">
        <v>204</v>
      </c>
      <c r="BH52" s="3" t="s">
        <v>204</v>
      </c>
      <c r="BI52" s="3" t="s">
        <v>204</v>
      </c>
      <c r="BJ52" s="3" t="s">
        <v>203</v>
      </c>
      <c r="BK52" s="3" t="s">
        <v>201</v>
      </c>
      <c r="BL52" s="3" t="s">
        <v>201</v>
      </c>
      <c r="BM52" s="3" t="s">
        <v>202</v>
      </c>
      <c r="BN52" s="3" t="s">
        <v>203</v>
      </c>
      <c r="BO52" s="3" t="s">
        <v>201</v>
      </c>
      <c r="BP52" s="3" t="s">
        <v>204</v>
      </c>
      <c r="BQ52" s="3" t="s">
        <v>201</v>
      </c>
      <c r="BR52" s="3" t="s">
        <v>204</v>
      </c>
      <c r="BS52" s="3"/>
      <c r="BT52" s="3" t="s">
        <v>271</v>
      </c>
      <c r="BU52" s="3" t="s">
        <v>201</v>
      </c>
      <c r="BV52" s="3" t="s">
        <v>201</v>
      </c>
      <c r="BW52" s="3" t="s">
        <v>201</v>
      </c>
      <c r="BX52" s="3" t="s">
        <v>201</v>
      </c>
      <c r="BY52" s="3" t="s">
        <v>202</v>
      </c>
      <c r="BZ52" s="3" t="s">
        <v>201</v>
      </c>
      <c r="CA52" s="3" t="s">
        <v>202</v>
      </c>
      <c r="CB52" s="3" t="s">
        <v>202</v>
      </c>
      <c r="CC52" s="3" t="s">
        <v>202</v>
      </c>
      <c r="CD52" s="3" t="s">
        <v>202</v>
      </c>
      <c r="CE52" s="3" t="s">
        <v>202</v>
      </c>
      <c r="CF52" s="3" t="s">
        <v>202</v>
      </c>
      <c r="CG52" s="3"/>
      <c r="CH52" s="3" t="s">
        <v>207</v>
      </c>
      <c r="CI52" s="3" t="s">
        <v>207</v>
      </c>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t="s">
        <v>236</v>
      </c>
      <c r="DQ52" s="3"/>
      <c r="DR52" s="3"/>
      <c r="DS52" s="3"/>
      <c r="DT52" s="3"/>
      <c r="DU52" s="3"/>
      <c r="DV52" s="3"/>
      <c r="DW52" s="3" t="s">
        <v>208</v>
      </c>
      <c r="DX52" s="3" t="s">
        <v>246</v>
      </c>
      <c r="DY52" s="3"/>
      <c r="DZ52" s="3"/>
      <c r="EA52" s="3"/>
      <c r="EB52" s="3"/>
      <c r="EC52" s="3" t="s">
        <v>201</v>
      </c>
      <c r="ED52" s="3" t="s">
        <v>205</v>
      </c>
      <c r="EE52" s="3" t="s">
        <v>205</v>
      </c>
      <c r="EF52" s="3" t="s">
        <v>201</v>
      </c>
      <c r="EG52" s="3" t="s">
        <v>202</v>
      </c>
      <c r="EH52" s="3" t="s">
        <v>202</v>
      </c>
      <c r="EI52" s="3" t="s">
        <v>201</v>
      </c>
      <c r="EJ52" s="3" t="s">
        <v>203</v>
      </c>
      <c r="EK52" s="3" t="s">
        <v>201</v>
      </c>
      <c r="EL52" s="3" t="s">
        <v>202</v>
      </c>
      <c r="EM52" s="3"/>
      <c r="EN52" s="3"/>
      <c r="EO52" s="3"/>
      <c r="EP52" s="3"/>
      <c r="EQ52" s="3" t="s">
        <v>205</v>
      </c>
      <c r="ER52" s="3" t="s">
        <v>205</v>
      </c>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t="s">
        <v>205</v>
      </c>
      <c r="FZ52" s="3" t="s">
        <v>205</v>
      </c>
      <c r="GA52" s="3" t="s">
        <v>202</v>
      </c>
      <c r="GB52" s="3" t="s">
        <v>205</v>
      </c>
      <c r="GC52" s="3"/>
      <c r="GD52" s="3"/>
      <c r="GE52" s="3" t="s">
        <v>202</v>
      </c>
      <c r="GF52" s="3" t="s">
        <v>203</v>
      </c>
      <c r="GG52" s="3" t="s">
        <v>203</v>
      </c>
      <c r="GH52" s="3" t="s">
        <v>203</v>
      </c>
      <c r="GI52" s="3" t="s">
        <v>202</v>
      </c>
      <c r="GJ52" s="3" t="s">
        <v>202</v>
      </c>
      <c r="GK52" s="3" t="s">
        <v>482</v>
      </c>
      <c r="GL52" s="5">
        <f>DATE(2025,5,31)+TIME(8,15,1)</f>
        <v>45808.343761574077</v>
      </c>
    </row>
    <row r="53" spans="1:194" ht="47.25" x14ac:dyDescent="0.25">
      <c r="A53" s="6" t="s">
        <v>483</v>
      </c>
      <c r="B53" s="6" t="s">
        <v>484</v>
      </c>
      <c r="C53" s="6" t="s">
        <v>485</v>
      </c>
      <c r="D53" s="6" t="s">
        <v>486</v>
      </c>
      <c r="E53" s="6"/>
      <c r="F53" s="6" t="s">
        <v>487</v>
      </c>
      <c r="G53" s="6"/>
      <c r="H53" s="6"/>
      <c r="I53" s="6"/>
      <c r="J53" s="6"/>
      <c r="K53" s="6"/>
      <c r="L53" s="6"/>
      <c r="M53" s="6"/>
      <c r="N53" s="6"/>
      <c r="O53" s="6"/>
      <c r="P53" s="6"/>
      <c r="Q53" s="6"/>
      <c r="R53" s="6"/>
      <c r="S53" s="6"/>
      <c r="T53" s="6"/>
      <c r="U53" s="6"/>
      <c r="V53" s="6" t="s">
        <v>488</v>
      </c>
      <c r="W53" s="6"/>
      <c r="X53" s="6"/>
      <c r="Y53" s="6"/>
      <c r="Z53" s="6"/>
      <c r="AA53" s="6"/>
      <c r="AB53" s="6"/>
      <c r="AC53" s="6"/>
      <c r="AD53" s="6"/>
      <c r="AE53" s="6"/>
      <c r="AF53" s="4" t="s">
        <v>488</v>
      </c>
      <c r="AG53" s="6" t="s">
        <v>235</v>
      </c>
      <c r="AH53" s="6" t="s">
        <v>203</v>
      </c>
      <c r="AI53" s="6" t="s">
        <v>202</v>
      </c>
      <c r="AJ53" s="6" t="s">
        <v>203</v>
      </c>
      <c r="AK53" s="6" t="s">
        <v>202</v>
      </c>
      <c r="AL53" s="6" t="s">
        <v>201</v>
      </c>
      <c r="AM53" s="6" t="s">
        <v>203</v>
      </c>
      <c r="AN53" s="6" t="s">
        <v>203</v>
      </c>
      <c r="AO53" s="6" t="s">
        <v>202</v>
      </c>
      <c r="AP53" s="6" t="s">
        <v>201</v>
      </c>
      <c r="AQ53" s="6" t="s">
        <v>201</v>
      </c>
      <c r="AR53" s="6" t="s">
        <v>202</v>
      </c>
      <c r="AS53" s="6"/>
      <c r="AT53" s="6" t="s">
        <v>205</v>
      </c>
      <c r="AU53" s="6" t="s">
        <v>203</v>
      </c>
      <c r="AV53" s="6" t="s">
        <v>203</v>
      </c>
      <c r="AW53" s="6" t="s">
        <v>203</v>
      </c>
      <c r="AX53" s="6" t="s">
        <v>205</v>
      </c>
      <c r="AY53" s="6" t="s">
        <v>205</v>
      </c>
      <c r="AZ53" s="6" t="s">
        <v>202</v>
      </c>
      <c r="BA53" s="6" t="s">
        <v>202</v>
      </c>
      <c r="BB53" s="6" t="s">
        <v>205</v>
      </c>
      <c r="BC53" s="6" t="s">
        <v>203</v>
      </c>
      <c r="BD53" s="6" t="s">
        <v>202</v>
      </c>
      <c r="BE53" s="6" t="s">
        <v>205</v>
      </c>
      <c r="BF53" s="6" t="s">
        <v>203</v>
      </c>
      <c r="BG53" s="6" t="s">
        <v>205</v>
      </c>
      <c r="BH53" s="6" t="s">
        <v>205</v>
      </c>
      <c r="BI53" s="6" t="s">
        <v>205</v>
      </c>
      <c r="BJ53" s="6" t="s">
        <v>203</v>
      </c>
      <c r="BK53" s="6" t="s">
        <v>201</v>
      </c>
      <c r="BL53" s="6" t="s">
        <v>205</v>
      </c>
      <c r="BM53" s="6" t="s">
        <v>205</v>
      </c>
      <c r="BN53" s="6" t="s">
        <v>202</v>
      </c>
      <c r="BO53" s="6" t="s">
        <v>202</v>
      </c>
      <c r="BP53" s="6" t="s">
        <v>204</v>
      </c>
      <c r="BQ53" s="6" t="s">
        <v>204</v>
      </c>
      <c r="BR53" s="6" t="s">
        <v>204</v>
      </c>
      <c r="BS53" s="6"/>
      <c r="BT53" s="6" t="s">
        <v>271</v>
      </c>
      <c r="BU53" s="6" t="s">
        <v>202</v>
      </c>
      <c r="BV53" s="6" t="s">
        <v>205</v>
      </c>
      <c r="BW53" s="6" t="s">
        <v>202</v>
      </c>
      <c r="BX53" s="6" t="s">
        <v>201</v>
      </c>
      <c r="BY53" s="6" t="s">
        <v>201</v>
      </c>
      <c r="BZ53" s="6" t="s">
        <v>201</v>
      </c>
      <c r="CA53" s="6" t="s">
        <v>202</v>
      </c>
      <c r="CB53" s="6" t="s">
        <v>203</v>
      </c>
      <c r="CC53" s="6" t="s">
        <v>202</v>
      </c>
      <c r="CD53" s="6" t="s">
        <v>202</v>
      </c>
      <c r="CE53" s="6" t="s">
        <v>203</v>
      </c>
      <c r="CF53" s="6" t="s">
        <v>202</v>
      </c>
      <c r="CG53" s="6"/>
      <c r="CH53" s="6" t="s">
        <v>207</v>
      </c>
      <c r="CI53" s="6" t="s">
        <v>207</v>
      </c>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t="s">
        <v>236</v>
      </c>
      <c r="DQ53" s="6"/>
      <c r="DR53" s="6"/>
      <c r="DS53" s="6"/>
      <c r="DT53" s="6"/>
      <c r="DU53" s="6"/>
      <c r="DV53" s="6"/>
      <c r="DW53" s="6" t="s">
        <v>207</v>
      </c>
      <c r="DX53" s="6"/>
      <c r="DY53" s="6"/>
      <c r="DZ53" s="6"/>
      <c r="EA53" s="6"/>
      <c r="EB53" s="6"/>
      <c r="EC53" s="6"/>
      <c r="ED53" s="6"/>
      <c r="EE53" s="6"/>
      <c r="EF53" s="6" t="s">
        <v>204</v>
      </c>
      <c r="EG53" s="6" t="s">
        <v>204</v>
      </c>
      <c r="EH53" s="6" t="s">
        <v>204</v>
      </c>
      <c r="EI53" s="6" t="s">
        <v>204</v>
      </c>
      <c r="EJ53" s="6" t="s">
        <v>204</v>
      </c>
      <c r="EK53" s="6" t="s">
        <v>204</v>
      </c>
      <c r="EL53" s="6" t="s">
        <v>204</v>
      </c>
      <c r="EM53" s="6"/>
      <c r="EN53" s="6"/>
      <c r="EO53" s="6"/>
      <c r="EP53" s="6"/>
      <c r="EQ53" s="6" t="s">
        <v>205</v>
      </c>
      <c r="ER53" s="6" t="s">
        <v>203</v>
      </c>
      <c r="ES53" s="6"/>
      <c r="ET53" s="6"/>
      <c r="EU53" s="6"/>
      <c r="EV53" s="6"/>
      <c r="EW53" s="6"/>
      <c r="EX53" s="6"/>
      <c r="EY53" s="6"/>
      <c r="EZ53" s="6"/>
      <c r="FA53" s="6"/>
      <c r="FB53" s="6"/>
      <c r="FC53" s="6"/>
      <c r="FD53" s="6"/>
      <c r="FE53" s="6"/>
      <c r="FF53" s="6"/>
      <c r="FG53" s="6"/>
      <c r="FH53" s="6" t="s">
        <v>203</v>
      </c>
      <c r="FI53" s="6" t="s">
        <v>205</v>
      </c>
      <c r="FJ53" s="6" t="s">
        <v>205</v>
      </c>
      <c r="FK53" s="6" t="s">
        <v>205</v>
      </c>
      <c r="FL53" s="6" t="s">
        <v>205</v>
      </c>
      <c r="FM53" s="6" t="s">
        <v>205</v>
      </c>
      <c r="FN53" s="6" t="s">
        <v>205</v>
      </c>
      <c r="FO53" s="6" t="s">
        <v>205</v>
      </c>
      <c r="FP53" s="6" t="s">
        <v>205</v>
      </c>
      <c r="FQ53" s="6" t="s">
        <v>205</v>
      </c>
      <c r="FR53" s="6" t="s">
        <v>202</v>
      </c>
      <c r="FS53" s="6" t="s">
        <v>204</v>
      </c>
      <c r="FT53" s="6" t="s">
        <v>204</v>
      </c>
      <c r="FU53" s="6" t="s">
        <v>204</v>
      </c>
      <c r="FV53" s="6"/>
      <c r="FW53" s="6" t="s">
        <v>238</v>
      </c>
      <c r="FX53" s="6"/>
      <c r="FY53" s="6" t="s">
        <v>205</v>
      </c>
      <c r="FZ53" s="6" t="s">
        <v>203</v>
      </c>
      <c r="GA53" s="6" t="s">
        <v>202</v>
      </c>
      <c r="GB53" s="6" t="s">
        <v>203</v>
      </c>
      <c r="GC53" s="6" t="s">
        <v>204</v>
      </c>
      <c r="GD53" s="6"/>
      <c r="GE53" s="6" t="s">
        <v>201</v>
      </c>
      <c r="GF53" s="6" t="s">
        <v>203</v>
      </c>
      <c r="GG53" s="6" t="s">
        <v>201</v>
      </c>
      <c r="GH53" s="6" t="s">
        <v>203</v>
      </c>
      <c r="GI53" s="6" t="s">
        <v>202</v>
      </c>
      <c r="GJ53" s="6" t="s">
        <v>203</v>
      </c>
      <c r="GK53" s="6"/>
      <c r="GL53" s="7">
        <f>DATE(2025,5,19)+TIME(17,50,2)</f>
        <v>45796.743078703701</v>
      </c>
    </row>
    <row r="54" spans="1:194" ht="47.25" x14ac:dyDescent="0.25">
      <c r="A54" s="3" t="s">
        <v>489</v>
      </c>
      <c r="B54" s="3" t="s">
        <v>490</v>
      </c>
      <c r="C54" s="3" t="s">
        <v>491</v>
      </c>
      <c r="D54" s="3" t="s">
        <v>492</v>
      </c>
      <c r="E54" s="3"/>
      <c r="F54" s="3" t="s">
        <v>256</v>
      </c>
      <c r="G54" s="3"/>
      <c r="H54" s="3"/>
      <c r="I54" s="3" t="s">
        <v>493</v>
      </c>
      <c r="J54" s="3"/>
      <c r="K54" s="3"/>
      <c r="L54" s="3"/>
      <c r="M54" s="3"/>
      <c r="N54" s="3"/>
      <c r="O54" s="3"/>
      <c r="P54" s="3"/>
      <c r="Q54" s="3"/>
      <c r="R54" s="3"/>
      <c r="S54" s="3"/>
      <c r="T54" s="3"/>
      <c r="U54" s="3"/>
      <c r="V54" s="3"/>
      <c r="W54" s="3"/>
      <c r="X54" s="3"/>
      <c r="Y54" s="3"/>
      <c r="Z54" s="3"/>
      <c r="AA54" s="3"/>
      <c r="AB54" s="3"/>
      <c r="AC54" s="3"/>
      <c r="AD54" s="3"/>
      <c r="AE54" s="3"/>
      <c r="AF54" s="4" t="s">
        <v>493</v>
      </c>
      <c r="AG54" s="3" t="s">
        <v>235</v>
      </c>
      <c r="AH54" s="3" t="s">
        <v>202</v>
      </c>
      <c r="AI54" s="3" t="s">
        <v>202</v>
      </c>
      <c r="AJ54" s="3" t="s">
        <v>201</v>
      </c>
      <c r="AK54" s="3" t="s">
        <v>203</v>
      </c>
      <c r="AL54" s="3" t="s">
        <v>205</v>
      </c>
      <c r="AM54" s="3" t="s">
        <v>203</v>
      </c>
      <c r="AN54" s="3" t="s">
        <v>205</v>
      </c>
      <c r="AO54" s="3" t="s">
        <v>205</v>
      </c>
      <c r="AP54" s="3" t="s">
        <v>205</v>
      </c>
      <c r="AQ54" s="3" t="s">
        <v>203</v>
      </c>
      <c r="AR54" s="3" t="s">
        <v>203</v>
      </c>
      <c r="AS54" s="3"/>
      <c r="AT54" s="3" t="s">
        <v>203</v>
      </c>
      <c r="AU54" s="3" t="s">
        <v>202</v>
      </c>
      <c r="AV54" s="3" t="s">
        <v>205</v>
      </c>
      <c r="AW54" s="3" t="s">
        <v>203</v>
      </c>
      <c r="AX54" s="3" t="s">
        <v>203</v>
      </c>
      <c r="AY54" s="3" t="s">
        <v>201</v>
      </c>
      <c r="AZ54" s="3" t="s">
        <v>202</v>
      </c>
      <c r="BA54" s="3" t="s">
        <v>203</v>
      </c>
      <c r="BB54" s="3" t="s">
        <v>202</v>
      </c>
      <c r="BC54" s="3" t="s">
        <v>203</v>
      </c>
      <c r="BD54" s="3" t="s">
        <v>201</v>
      </c>
      <c r="BE54" s="3" t="s">
        <v>204</v>
      </c>
      <c r="BF54" s="3" t="s">
        <v>204</v>
      </c>
      <c r="BG54" s="3" t="s">
        <v>204</v>
      </c>
      <c r="BH54" s="3" t="s">
        <v>204</v>
      </c>
      <c r="BI54" s="3" t="s">
        <v>204</v>
      </c>
      <c r="BJ54" s="3" t="s">
        <v>202</v>
      </c>
      <c r="BK54" s="3" t="s">
        <v>202</v>
      </c>
      <c r="BL54" s="3" t="s">
        <v>203</v>
      </c>
      <c r="BM54" s="3" t="s">
        <v>203</v>
      </c>
      <c r="BN54" s="3" t="s">
        <v>202</v>
      </c>
      <c r="BO54" s="3" t="s">
        <v>204</v>
      </c>
      <c r="BP54" s="3" t="s">
        <v>204</v>
      </c>
      <c r="BQ54" s="3" t="s">
        <v>204</v>
      </c>
      <c r="BR54" s="3" t="s">
        <v>204</v>
      </c>
      <c r="BS54" s="3"/>
      <c r="BT54" s="3" t="s">
        <v>206</v>
      </c>
      <c r="BU54" s="3" t="s">
        <v>201</v>
      </c>
      <c r="BV54" s="3" t="s">
        <v>202</v>
      </c>
      <c r="BW54" s="3" t="s">
        <v>202</v>
      </c>
      <c r="BX54" s="3" t="s">
        <v>201</v>
      </c>
      <c r="BY54" s="3" t="s">
        <v>203</v>
      </c>
      <c r="BZ54" s="3" t="s">
        <v>203</v>
      </c>
      <c r="CA54" s="3" t="s">
        <v>201</v>
      </c>
      <c r="CB54" s="3" t="s">
        <v>202</v>
      </c>
      <c r="CC54" s="3" t="s">
        <v>203</v>
      </c>
      <c r="CD54" s="3" t="s">
        <v>201</v>
      </c>
      <c r="CE54" s="3" t="s">
        <v>203</v>
      </c>
      <c r="CF54" s="3" t="s">
        <v>203</v>
      </c>
      <c r="CG54" s="3"/>
      <c r="CH54" s="3" t="s">
        <v>207</v>
      </c>
      <c r="CI54" s="3" t="s">
        <v>207</v>
      </c>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t="s">
        <v>236</v>
      </c>
      <c r="DQ54" s="3"/>
      <c r="DR54" s="3"/>
      <c r="DS54" s="3"/>
      <c r="DT54" s="3"/>
      <c r="DU54" s="3"/>
      <c r="DV54" s="3"/>
      <c r="DW54" s="3" t="s">
        <v>207</v>
      </c>
      <c r="DX54" s="3"/>
      <c r="DY54" s="3"/>
      <c r="DZ54" s="3"/>
      <c r="EA54" s="3"/>
      <c r="EB54" s="3"/>
      <c r="EC54" s="3"/>
      <c r="ED54" s="3"/>
      <c r="EE54" s="3"/>
      <c r="EF54" s="3" t="s">
        <v>203</v>
      </c>
      <c r="EG54" s="3" t="s">
        <v>205</v>
      </c>
      <c r="EH54" s="3" t="s">
        <v>202</v>
      </c>
      <c r="EI54" s="3" t="s">
        <v>203</v>
      </c>
      <c r="EJ54" s="3" t="s">
        <v>201</v>
      </c>
      <c r="EK54" s="3" t="s">
        <v>205</v>
      </c>
      <c r="EL54" s="3" t="s">
        <v>202</v>
      </c>
      <c r="EM54" s="3"/>
      <c r="EN54" s="3"/>
      <c r="EO54" s="3"/>
      <c r="EP54" s="3"/>
      <c r="EQ54" s="3" t="s">
        <v>205</v>
      </c>
      <c r="ER54" s="3" t="s">
        <v>205</v>
      </c>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t="s">
        <v>203</v>
      </c>
      <c r="FZ54" s="3" t="s">
        <v>203</v>
      </c>
      <c r="GA54" s="3" t="s">
        <v>202</v>
      </c>
      <c r="GB54" s="3" t="s">
        <v>203</v>
      </c>
      <c r="GC54" s="3" t="s">
        <v>204</v>
      </c>
      <c r="GD54" s="3"/>
      <c r="GE54" s="3" t="s">
        <v>203</v>
      </c>
      <c r="GF54" s="3" t="s">
        <v>202</v>
      </c>
      <c r="GG54" s="3" t="s">
        <v>202</v>
      </c>
      <c r="GH54" s="3" t="s">
        <v>203</v>
      </c>
      <c r="GI54" s="3" t="s">
        <v>201</v>
      </c>
      <c r="GJ54" s="3" t="s">
        <v>202</v>
      </c>
      <c r="GK54" s="3"/>
      <c r="GL54" s="5">
        <f>DATE(2025,6,6)+TIME(14,49,26)</f>
        <v>45814.617662037039</v>
      </c>
    </row>
    <row r="55" spans="1:194" ht="204.75" x14ac:dyDescent="0.25">
      <c r="A55" s="6" t="s">
        <v>494</v>
      </c>
      <c r="B55" s="6" t="s">
        <v>495</v>
      </c>
      <c r="C55" s="6" t="s">
        <v>496</v>
      </c>
      <c r="D55" s="6" t="s">
        <v>497</v>
      </c>
      <c r="E55" s="6"/>
      <c r="F55" s="6" t="s">
        <v>487</v>
      </c>
      <c r="G55" s="6"/>
      <c r="H55" s="6"/>
      <c r="I55" s="6"/>
      <c r="J55" s="6"/>
      <c r="K55" s="6"/>
      <c r="L55" s="6"/>
      <c r="M55" s="6"/>
      <c r="N55" s="6"/>
      <c r="O55" s="6"/>
      <c r="P55" s="6"/>
      <c r="Q55" s="6"/>
      <c r="R55" s="6"/>
      <c r="S55" s="6"/>
      <c r="T55" s="6"/>
      <c r="U55" s="6"/>
      <c r="V55" s="6" t="s">
        <v>498</v>
      </c>
      <c r="W55" s="6"/>
      <c r="X55" s="6"/>
      <c r="Y55" s="6"/>
      <c r="Z55" s="6"/>
      <c r="AA55" s="6"/>
      <c r="AB55" s="6"/>
      <c r="AC55" s="6"/>
      <c r="AD55" s="6"/>
      <c r="AE55" s="6"/>
      <c r="AF55" s="4" t="s">
        <v>498</v>
      </c>
      <c r="AG55" s="6" t="s">
        <v>213</v>
      </c>
      <c r="AH55" s="6" t="s">
        <v>203</v>
      </c>
      <c r="AI55" s="6" t="s">
        <v>203</v>
      </c>
      <c r="AJ55" s="6" t="s">
        <v>204</v>
      </c>
      <c r="AK55" s="6" t="s">
        <v>202</v>
      </c>
      <c r="AL55" s="6" t="s">
        <v>202</v>
      </c>
      <c r="AM55" s="6" t="s">
        <v>201</v>
      </c>
      <c r="AN55" s="6" t="s">
        <v>202</v>
      </c>
      <c r="AO55" s="6" t="s">
        <v>203</v>
      </c>
      <c r="AP55" s="6" t="s">
        <v>203</v>
      </c>
      <c r="AQ55" s="6" t="s">
        <v>203</v>
      </c>
      <c r="AR55" s="6" t="s">
        <v>201</v>
      </c>
      <c r="AS55" s="6"/>
      <c r="AT55" s="6" t="s">
        <v>201</v>
      </c>
      <c r="AU55" s="6" t="s">
        <v>202</v>
      </c>
      <c r="AV55" s="6" t="s">
        <v>203</v>
      </c>
      <c r="AW55" s="6" t="s">
        <v>202</v>
      </c>
      <c r="AX55" s="6" t="s">
        <v>202</v>
      </c>
      <c r="AY55" s="6" t="s">
        <v>204</v>
      </c>
      <c r="AZ55" s="6" t="s">
        <v>202</v>
      </c>
      <c r="BA55" s="6" t="s">
        <v>203</v>
      </c>
      <c r="BB55" s="6" t="s">
        <v>203</v>
      </c>
      <c r="BC55" s="6" t="s">
        <v>203</v>
      </c>
      <c r="BD55" s="6" t="s">
        <v>202</v>
      </c>
      <c r="BE55" s="6" t="s">
        <v>204</v>
      </c>
      <c r="BF55" s="6" t="s">
        <v>204</v>
      </c>
      <c r="BG55" s="6" t="s">
        <v>204</v>
      </c>
      <c r="BH55" s="6" t="s">
        <v>204</v>
      </c>
      <c r="BI55" s="6" t="s">
        <v>204</v>
      </c>
      <c r="BJ55" s="6" t="s">
        <v>202</v>
      </c>
      <c r="BK55" s="6" t="s">
        <v>203</v>
      </c>
      <c r="BL55" s="6" t="s">
        <v>203</v>
      </c>
      <c r="BM55" s="6" t="s">
        <v>203</v>
      </c>
      <c r="BN55" s="6" t="s">
        <v>203</v>
      </c>
      <c r="BO55" s="6" t="s">
        <v>202</v>
      </c>
      <c r="BP55" s="6" t="s">
        <v>202</v>
      </c>
      <c r="BQ55" s="6" t="s">
        <v>202</v>
      </c>
      <c r="BR55" s="6" t="s">
        <v>204</v>
      </c>
      <c r="BS55" s="6"/>
      <c r="BT55" s="6" t="s">
        <v>210</v>
      </c>
      <c r="BU55" s="6" t="s">
        <v>201</v>
      </c>
      <c r="BV55" s="6" t="s">
        <v>201</v>
      </c>
      <c r="BW55" s="6" t="s">
        <v>202</v>
      </c>
      <c r="BX55" s="6" t="s">
        <v>201</v>
      </c>
      <c r="BY55" s="6" t="s">
        <v>201</v>
      </c>
      <c r="BZ55" s="6" t="s">
        <v>202</v>
      </c>
      <c r="CA55" s="6" t="s">
        <v>204</v>
      </c>
      <c r="CB55" s="6" t="s">
        <v>204</v>
      </c>
      <c r="CC55" s="6" t="s">
        <v>204</v>
      </c>
      <c r="CD55" s="6" t="s">
        <v>201</v>
      </c>
      <c r="CE55" s="6" t="s">
        <v>201</v>
      </c>
      <c r="CF55" s="6" t="s">
        <v>201</v>
      </c>
      <c r="CG55" s="6"/>
      <c r="CH55" s="6" t="s">
        <v>208</v>
      </c>
      <c r="CI55" s="6" t="s">
        <v>208</v>
      </c>
      <c r="CJ55" s="6" t="s">
        <v>202</v>
      </c>
      <c r="CK55" s="6" t="s">
        <v>201</v>
      </c>
      <c r="CL55" s="6" t="s">
        <v>201</v>
      </c>
      <c r="CM55" s="6" t="s">
        <v>202</v>
      </c>
      <c r="CN55" s="6" t="s">
        <v>203</v>
      </c>
      <c r="CO55" s="6" t="s">
        <v>202</v>
      </c>
      <c r="CP55" s="6" t="s">
        <v>201</v>
      </c>
      <c r="CQ55" s="6" t="s">
        <v>201</v>
      </c>
      <c r="CR55" s="6" t="s">
        <v>202</v>
      </c>
      <c r="CS55" s="6" t="s">
        <v>201</v>
      </c>
      <c r="CT55" s="6" t="s">
        <v>202</v>
      </c>
      <c r="CU55" s="6" t="s">
        <v>201</v>
      </c>
      <c r="CV55" s="6" t="s">
        <v>204</v>
      </c>
      <c r="CW55" s="6" t="s">
        <v>201</v>
      </c>
      <c r="CX55" s="6" t="s">
        <v>201</v>
      </c>
      <c r="CY55" s="6" t="s">
        <v>201</v>
      </c>
      <c r="CZ55" s="6" t="s">
        <v>204</v>
      </c>
      <c r="DA55" s="6" t="s">
        <v>203</v>
      </c>
      <c r="DB55" s="6" t="s">
        <v>264</v>
      </c>
      <c r="DC55" s="6"/>
      <c r="DD55" s="6"/>
      <c r="DE55" s="6" t="s">
        <v>355</v>
      </c>
      <c r="DF55" s="6" t="s">
        <v>217</v>
      </c>
      <c r="DG55" s="6"/>
      <c r="DH55" s="6" t="s">
        <v>203</v>
      </c>
      <c r="DI55" s="6" t="s">
        <v>201</v>
      </c>
      <c r="DJ55" s="6" t="s">
        <v>201</v>
      </c>
      <c r="DK55" s="6" t="s">
        <v>202</v>
      </c>
      <c r="DL55" s="6" t="s">
        <v>204</v>
      </c>
      <c r="DM55" s="6" t="s">
        <v>204</v>
      </c>
      <c r="DN55" s="6" t="s">
        <v>204</v>
      </c>
      <c r="DO55" s="6"/>
      <c r="DP55" s="6"/>
      <c r="DQ55" s="6"/>
      <c r="DR55" s="6"/>
      <c r="DS55" s="6"/>
      <c r="DT55" s="6"/>
      <c r="DU55" s="6"/>
      <c r="DV55" s="6"/>
      <c r="DW55" s="6" t="s">
        <v>208</v>
      </c>
      <c r="DX55" s="6" t="s">
        <v>246</v>
      </c>
      <c r="DY55" s="6"/>
      <c r="DZ55" s="6" t="s">
        <v>219</v>
      </c>
      <c r="EA55" s="6"/>
      <c r="EB55" s="6"/>
      <c r="EC55" s="6" t="s">
        <v>204</v>
      </c>
      <c r="ED55" s="6" t="s">
        <v>204</v>
      </c>
      <c r="EE55" s="6" t="s">
        <v>204</v>
      </c>
      <c r="EF55" s="6" t="s">
        <v>204</v>
      </c>
      <c r="EG55" s="6" t="s">
        <v>204</v>
      </c>
      <c r="EH55" s="6" t="s">
        <v>202</v>
      </c>
      <c r="EI55" s="6" t="s">
        <v>201</v>
      </c>
      <c r="EJ55" s="6" t="s">
        <v>202</v>
      </c>
      <c r="EK55" s="6" t="s">
        <v>201</v>
      </c>
      <c r="EL55" s="6" t="s">
        <v>201</v>
      </c>
      <c r="EM55" s="6" t="s">
        <v>202</v>
      </c>
      <c r="EN55" s="6" t="s">
        <v>203</v>
      </c>
      <c r="EO55" s="6" t="s">
        <v>202</v>
      </c>
      <c r="EP55" s="6"/>
      <c r="EQ55" s="6" t="s">
        <v>203</v>
      </c>
      <c r="ER55" s="6" t="s">
        <v>202</v>
      </c>
      <c r="ES55" s="6"/>
      <c r="ET55" s="6" t="s">
        <v>203</v>
      </c>
      <c r="EU55" s="6" t="s">
        <v>202</v>
      </c>
      <c r="EV55" s="6" t="s">
        <v>202</v>
      </c>
      <c r="EW55" s="6" t="s">
        <v>204</v>
      </c>
      <c r="EX55" s="6"/>
      <c r="EY55" s="6" t="s">
        <v>202</v>
      </c>
      <c r="EZ55" s="6" t="s">
        <v>203</v>
      </c>
      <c r="FA55" s="6" t="s">
        <v>202</v>
      </c>
      <c r="FB55" s="6" t="s">
        <v>202</v>
      </c>
      <c r="FC55" s="6" t="s">
        <v>202</v>
      </c>
      <c r="FD55" s="6" t="s">
        <v>202</v>
      </c>
      <c r="FE55" s="6" t="s">
        <v>202</v>
      </c>
      <c r="FF55" s="6" t="s">
        <v>202</v>
      </c>
      <c r="FG55" s="6" t="s">
        <v>202</v>
      </c>
      <c r="FH55" s="6" t="s">
        <v>201</v>
      </c>
      <c r="FI55" s="6" t="s">
        <v>202</v>
      </c>
      <c r="FJ55" s="6" t="s">
        <v>203</v>
      </c>
      <c r="FK55" s="6" t="s">
        <v>203</v>
      </c>
      <c r="FL55" s="6" t="s">
        <v>202</v>
      </c>
      <c r="FM55" s="6" t="s">
        <v>202</v>
      </c>
      <c r="FN55" s="6" t="s">
        <v>202</v>
      </c>
      <c r="FO55" s="6" t="s">
        <v>202</v>
      </c>
      <c r="FP55" s="6" t="s">
        <v>203</v>
      </c>
      <c r="FQ55" s="6" t="s">
        <v>203</v>
      </c>
      <c r="FR55" s="6" t="s">
        <v>204</v>
      </c>
      <c r="FS55" s="6" t="s">
        <v>204</v>
      </c>
      <c r="FT55" s="6" t="s">
        <v>204</v>
      </c>
      <c r="FU55" s="6" t="s">
        <v>201</v>
      </c>
      <c r="FV55" s="6" t="s">
        <v>499</v>
      </c>
      <c r="FW55" s="6" t="s">
        <v>210</v>
      </c>
      <c r="FX55" s="6"/>
      <c r="FY55" s="6" t="s">
        <v>202</v>
      </c>
      <c r="FZ55" s="6" t="s">
        <v>201</v>
      </c>
      <c r="GA55" s="6" t="s">
        <v>201</v>
      </c>
      <c r="GB55" s="6" t="s">
        <v>201</v>
      </c>
      <c r="GC55" s="6" t="s">
        <v>204</v>
      </c>
      <c r="GD55" s="6"/>
      <c r="GE55" s="6" t="s">
        <v>201</v>
      </c>
      <c r="GF55" s="6" t="s">
        <v>201</v>
      </c>
      <c r="GG55" s="6" t="s">
        <v>201</v>
      </c>
      <c r="GH55" s="6" t="s">
        <v>202</v>
      </c>
      <c r="GI55" s="6" t="s">
        <v>201</v>
      </c>
      <c r="GJ55" s="6" t="s">
        <v>201</v>
      </c>
      <c r="GK55" s="12" t="s">
        <v>500</v>
      </c>
      <c r="GL55" s="7">
        <f>DATE(2025,5,19)+TIME(11,28,11)</f>
        <v>45796.477905092594</v>
      </c>
    </row>
    <row r="56" spans="1:194" ht="110.25" x14ac:dyDescent="0.25">
      <c r="A56" s="3" t="s">
        <v>501</v>
      </c>
      <c r="B56" s="3" t="s">
        <v>502</v>
      </c>
      <c r="C56" s="3" t="s">
        <v>503</v>
      </c>
      <c r="D56" s="3" t="s">
        <v>504</v>
      </c>
      <c r="E56" s="3"/>
      <c r="F56" s="3" t="s">
        <v>198</v>
      </c>
      <c r="G56" s="3"/>
      <c r="H56" s="3"/>
      <c r="I56" s="3"/>
      <c r="J56" s="3"/>
      <c r="K56" s="3" t="s">
        <v>505</v>
      </c>
      <c r="L56" s="3"/>
      <c r="M56" s="3"/>
      <c r="N56" s="3"/>
      <c r="O56" s="3"/>
      <c r="P56" s="3"/>
      <c r="Q56" s="3"/>
      <c r="R56" s="3"/>
      <c r="S56" s="3"/>
      <c r="T56" s="3"/>
      <c r="U56" s="3"/>
      <c r="V56" s="3"/>
      <c r="W56" s="3"/>
      <c r="X56" s="3"/>
      <c r="Y56" s="3"/>
      <c r="Z56" s="3"/>
      <c r="AA56" s="3"/>
      <c r="AB56" s="3"/>
      <c r="AC56" s="3"/>
      <c r="AD56" s="3"/>
      <c r="AE56" s="3"/>
      <c r="AF56" s="4" t="s">
        <v>505</v>
      </c>
      <c r="AG56" s="3" t="s">
        <v>235</v>
      </c>
      <c r="AH56" s="3" t="s">
        <v>203</v>
      </c>
      <c r="AI56" s="3" t="s">
        <v>202</v>
      </c>
      <c r="AJ56" s="3" t="s">
        <v>203</v>
      </c>
      <c r="AK56" s="3" t="s">
        <v>201</v>
      </c>
      <c r="AL56" s="3" t="s">
        <v>202</v>
      </c>
      <c r="AM56" s="3" t="s">
        <v>201</v>
      </c>
      <c r="AN56" s="3" t="s">
        <v>202</v>
      </c>
      <c r="AO56" s="3" t="s">
        <v>202</v>
      </c>
      <c r="AP56" s="3" t="s">
        <v>201</v>
      </c>
      <c r="AQ56" s="3" t="s">
        <v>201</v>
      </c>
      <c r="AR56" s="3" t="s">
        <v>201</v>
      </c>
      <c r="AS56" s="3"/>
      <c r="AT56" s="3" t="s">
        <v>203</v>
      </c>
      <c r="AU56" s="3" t="s">
        <v>202</v>
      </c>
      <c r="AV56" s="3" t="s">
        <v>203</v>
      </c>
      <c r="AW56" s="3" t="s">
        <v>201</v>
      </c>
      <c r="AX56" s="3" t="s">
        <v>201</v>
      </c>
      <c r="AY56" s="3" t="s">
        <v>202</v>
      </c>
      <c r="AZ56" s="3" t="s">
        <v>202</v>
      </c>
      <c r="BA56" s="3" t="s">
        <v>203</v>
      </c>
      <c r="BB56" s="3" t="s">
        <v>201</v>
      </c>
      <c r="BC56" s="3" t="s">
        <v>201</v>
      </c>
      <c r="BD56" s="3" t="s">
        <v>202</v>
      </c>
      <c r="BE56" s="3" t="s">
        <v>203</v>
      </c>
      <c r="BF56" s="3" t="s">
        <v>202</v>
      </c>
      <c r="BG56" s="3" t="s">
        <v>201</v>
      </c>
      <c r="BH56" s="3" t="s">
        <v>202</v>
      </c>
      <c r="BI56" s="3" t="s">
        <v>202</v>
      </c>
      <c r="BJ56" s="3" t="s">
        <v>201</v>
      </c>
      <c r="BK56" s="3" t="s">
        <v>202</v>
      </c>
      <c r="BL56" s="3" t="s">
        <v>201</v>
      </c>
      <c r="BM56" s="3" t="s">
        <v>201</v>
      </c>
      <c r="BN56" s="3" t="s">
        <v>202</v>
      </c>
      <c r="BO56" s="3" t="s">
        <v>201</v>
      </c>
      <c r="BP56" s="3" t="s">
        <v>203</v>
      </c>
      <c r="BQ56" s="3" t="s">
        <v>202</v>
      </c>
      <c r="BR56" s="3" t="s">
        <v>204</v>
      </c>
      <c r="BS56" s="3"/>
      <c r="BT56" s="3" t="s">
        <v>206</v>
      </c>
      <c r="BU56" s="3" t="s">
        <v>202</v>
      </c>
      <c r="BV56" s="3" t="s">
        <v>201</v>
      </c>
      <c r="BW56" s="3" t="s">
        <v>202</v>
      </c>
      <c r="BX56" s="3" t="s">
        <v>202</v>
      </c>
      <c r="BY56" s="3" t="s">
        <v>201</v>
      </c>
      <c r="BZ56" s="3" t="s">
        <v>202</v>
      </c>
      <c r="CA56" s="3" t="s">
        <v>202</v>
      </c>
      <c r="CB56" s="3" t="s">
        <v>201</v>
      </c>
      <c r="CC56" s="3" t="s">
        <v>202</v>
      </c>
      <c r="CD56" s="3" t="s">
        <v>202</v>
      </c>
      <c r="CE56" s="3" t="s">
        <v>201</v>
      </c>
      <c r="CF56" s="3" t="s">
        <v>201</v>
      </c>
      <c r="CG56" s="3"/>
      <c r="CH56" s="3" t="s">
        <v>207</v>
      </c>
      <c r="CI56" s="3" t="s">
        <v>207</v>
      </c>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t="s">
        <v>294</v>
      </c>
      <c r="DV56" s="3"/>
      <c r="DW56" s="3" t="s">
        <v>228</v>
      </c>
      <c r="DX56" s="3"/>
      <c r="DY56" s="3"/>
      <c r="DZ56" s="3"/>
      <c r="EA56" s="3"/>
      <c r="EB56" s="3"/>
      <c r="EC56" s="3"/>
      <c r="ED56" s="3"/>
      <c r="EE56" s="3"/>
      <c r="EF56" s="3" t="s">
        <v>203</v>
      </c>
      <c r="EG56" s="3" t="s">
        <v>202</v>
      </c>
      <c r="EH56" s="3" t="s">
        <v>201</v>
      </c>
      <c r="EI56" s="3" t="s">
        <v>201</v>
      </c>
      <c r="EJ56" s="3" t="s">
        <v>201</v>
      </c>
      <c r="EK56" s="3" t="s">
        <v>202</v>
      </c>
      <c r="EL56" s="3" t="s">
        <v>201</v>
      </c>
      <c r="EM56" s="3"/>
      <c r="EN56" s="3"/>
      <c r="EO56" s="3"/>
      <c r="EP56" s="3"/>
      <c r="EQ56" s="3" t="s">
        <v>202</v>
      </c>
      <c r="ER56" s="3" t="s">
        <v>202</v>
      </c>
      <c r="ES56" s="3"/>
      <c r="ET56" s="3" t="s">
        <v>202</v>
      </c>
      <c r="EU56" s="3" t="s">
        <v>204</v>
      </c>
      <c r="EV56" s="3" t="s">
        <v>204</v>
      </c>
      <c r="EW56" s="3" t="s">
        <v>204</v>
      </c>
      <c r="EX56" s="3"/>
      <c r="EY56" s="3" t="s">
        <v>202</v>
      </c>
      <c r="EZ56" s="3" t="s">
        <v>203</v>
      </c>
      <c r="FA56" s="3" t="s">
        <v>202</v>
      </c>
      <c r="FB56" s="3" t="s">
        <v>202</v>
      </c>
      <c r="FC56" s="3" t="s">
        <v>202</v>
      </c>
      <c r="FD56" s="3" t="s">
        <v>203</v>
      </c>
      <c r="FE56" s="3" t="s">
        <v>202</v>
      </c>
      <c r="FF56" s="3" t="s">
        <v>202</v>
      </c>
      <c r="FG56" s="3" t="s">
        <v>202</v>
      </c>
      <c r="FH56" s="3" t="s">
        <v>202</v>
      </c>
      <c r="FI56" s="3" t="s">
        <v>202</v>
      </c>
      <c r="FJ56" s="3" t="s">
        <v>203</v>
      </c>
      <c r="FK56" s="3" t="s">
        <v>202</v>
      </c>
      <c r="FL56" s="3" t="s">
        <v>202</v>
      </c>
      <c r="FM56" s="3" t="s">
        <v>202</v>
      </c>
      <c r="FN56" s="3" t="s">
        <v>203</v>
      </c>
      <c r="FO56" s="3" t="s">
        <v>202</v>
      </c>
      <c r="FP56" s="3" t="s">
        <v>202</v>
      </c>
      <c r="FQ56" s="3" t="s">
        <v>202</v>
      </c>
      <c r="FR56" s="3" t="s">
        <v>201</v>
      </c>
      <c r="FS56" s="3" t="s">
        <v>203</v>
      </c>
      <c r="FT56" s="3" t="s">
        <v>202</v>
      </c>
      <c r="FU56" s="3" t="s">
        <v>204</v>
      </c>
      <c r="FV56" s="3"/>
      <c r="FW56" s="3" t="s">
        <v>238</v>
      </c>
      <c r="FX56" s="3"/>
      <c r="FY56" s="3" t="s">
        <v>201</v>
      </c>
      <c r="FZ56" s="3" t="s">
        <v>201</v>
      </c>
      <c r="GA56" s="3" t="s">
        <v>201</v>
      </c>
      <c r="GB56" s="3" t="s">
        <v>201</v>
      </c>
      <c r="GC56" s="3" t="s">
        <v>204</v>
      </c>
      <c r="GD56" s="3"/>
      <c r="GE56" s="3" t="s">
        <v>202</v>
      </c>
      <c r="GF56" s="3" t="s">
        <v>201</v>
      </c>
      <c r="GG56" s="3" t="s">
        <v>202</v>
      </c>
      <c r="GH56" s="3" t="s">
        <v>201</v>
      </c>
      <c r="GI56" s="3" t="s">
        <v>201</v>
      </c>
      <c r="GJ56" s="3" t="s">
        <v>201</v>
      </c>
      <c r="GK56" s="3"/>
      <c r="GL56" s="5">
        <f>DATE(2025,6,12)+TIME(22,26,37)</f>
        <v>45820.935150462959</v>
      </c>
    </row>
    <row r="57" spans="1:194" ht="110.25" x14ac:dyDescent="0.25">
      <c r="A57" s="6" t="s">
        <v>506</v>
      </c>
      <c r="B57" s="6" t="s">
        <v>507</v>
      </c>
      <c r="C57" s="6" t="s">
        <v>508</v>
      </c>
      <c r="D57" s="6" t="s">
        <v>509</v>
      </c>
      <c r="E57" s="6"/>
      <c r="F57" s="6" t="s">
        <v>408</v>
      </c>
      <c r="G57" s="6"/>
      <c r="H57" s="6"/>
      <c r="I57" s="6"/>
      <c r="J57" s="6"/>
      <c r="K57" s="6"/>
      <c r="L57" s="6" t="s">
        <v>510</v>
      </c>
      <c r="M57" s="6"/>
      <c r="N57" s="6"/>
      <c r="O57" s="6"/>
      <c r="P57" s="6"/>
      <c r="Q57" s="6"/>
      <c r="R57" s="6"/>
      <c r="S57" s="6"/>
      <c r="T57" s="6"/>
      <c r="U57" s="6"/>
      <c r="V57" s="6"/>
      <c r="W57" s="6"/>
      <c r="X57" s="6"/>
      <c r="Y57" s="6"/>
      <c r="Z57" s="6"/>
      <c r="AA57" s="6"/>
      <c r="AB57" s="6"/>
      <c r="AC57" s="6"/>
      <c r="AD57" s="6"/>
      <c r="AE57" s="6"/>
      <c r="AF57" s="4" t="s">
        <v>510</v>
      </c>
      <c r="AG57" s="6" t="s">
        <v>235</v>
      </c>
      <c r="AH57" s="6" t="s">
        <v>202</v>
      </c>
      <c r="AI57" s="6" t="s">
        <v>202</v>
      </c>
      <c r="AJ57" s="6" t="s">
        <v>202</v>
      </c>
      <c r="AK57" s="6" t="s">
        <v>202</v>
      </c>
      <c r="AL57" s="6" t="s">
        <v>201</v>
      </c>
      <c r="AM57" s="6" t="s">
        <v>201</v>
      </c>
      <c r="AN57" s="6" t="s">
        <v>202</v>
      </c>
      <c r="AO57" s="6" t="s">
        <v>202</v>
      </c>
      <c r="AP57" s="6" t="s">
        <v>202</v>
      </c>
      <c r="AQ57" s="6" t="s">
        <v>202</v>
      </c>
      <c r="AR57" s="6" t="s">
        <v>201</v>
      </c>
      <c r="AS57" s="6"/>
      <c r="AT57" s="6" t="s">
        <v>202</v>
      </c>
      <c r="AU57" s="6" t="s">
        <v>202</v>
      </c>
      <c r="AV57" s="6" t="s">
        <v>201</v>
      </c>
      <c r="AW57" s="6" t="s">
        <v>202</v>
      </c>
      <c r="AX57" s="6" t="s">
        <v>202</v>
      </c>
      <c r="AY57" s="6" t="s">
        <v>203</v>
      </c>
      <c r="AZ57" s="6" t="s">
        <v>202</v>
      </c>
      <c r="BA57" s="6" t="s">
        <v>201</v>
      </c>
      <c r="BB57" s="6" t="s">
        <v>202</v>
      </c>
      <c r="BC57" s="6" t="s">
        <v>202</v>
      </c>
      <c r="BD57" s="6" t="s">
        <v>203</v>
      </c>
      <c r="BE57" s="6" t="s">
        <v>204</v>
      </c>
      <c r="BF57" s="6" t="s">
        <v>204</v>
      </c>
      <c r="BG57" s="6" t="s">
        <v>204</v>
      </c>
      <c r="BH57" s="6" t="s">
        <v>204</v>
      </c>
      <c r="BI57" s="6" t="s">
        <v>204</v>
      </c>
      <c r="BJ57" s="6" t="s">
        <v>204</v>
      </c>
      <c r="BK57" s="6" t="s">
        <v>204</v>
      </c>
      <c r="BL57" s="6" t="s">
        <v>204</v>
      </c>
      <c r="BM57" s="6" t="s">
        <v>204</v>
      </c>
      <c r="BN57" s="6" t="s">
        <v>204</v>
      </c>
      <c r="BO57" s="6" t="s">
        <v>201</v>
      </c>
      <c r="BP57" s="6" t="s">
        <v>201</v>
      </c>
      <c r="BQ57" s="6" t="s">
        <v>204</v>
      </c>
      <c r="BR57" s="6" t="s">
        <v>204</v>
      </c>
      <c r="BS57" s="6"/>
      <c r="BT57" s="6" t="s">
        <v>271</v>
      </c>
      <c r="BU57" s="6" t="s">
        <v>203</v>
      </c>
      <c r="BV57" s="6" t="s">
        <v>203</v>
      </c>
      <c r="BW57" s="6" t="s">
        <v>203</v>
      </c>
      <c r="BX57" s="6" t="s">
        <v>203</v>
      </c>
      <c r="BY57" s="6" t="s">
        <v>203</v>
      </c>
      <c r="BZ57" s="6" t="s">
        <v>203</v>
      </c>
      <c r="CA57" s="6" t="s">
        <v>203</v>
      </c>
      <c r="CB57" s="6" t="s">
        <v>203</v>
      </c>
      <c r="CC57" s="6" t="s">
        <v>202</v>
      </c>
      <c r="CD57" s="6" t="s">
        <v>202</v>
      </c>
      <c r="CE57" s="6" t="s">
        <v>202</v>
      </c>
      <c r="CF57" s="6" t="s">
        <v>202</v>
      </c>
      <c r="CG57" s="6"/>
      <c r="CH57" s="6" t="s">
        <v>207</v>
      </c>
      <c r="CI57" s="6" t="s">
        <v>208</v>
      </c>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t="s">
        <v>294</v>
      </c>
      <c r="DV57" s="6"/>
      <c r="DW57" s="6" t="s">
        <v>207</v>
      </c>
      <c r="DX57" s="6"/>
      <c r="DY57" s="6"/>
      <c r="DZ57" s="6"/>
      <c r="EA57" s="6"/>
      <c r="EB57" s="6"/>
      <c r="EC57" s="6"/>
      <c r="ED57" s="6"/>
      <c r="EE57" s="6"/>
      <c r="EF57" s="6" t="s">
        <v>205</v>
      </c>
      <c r="EG57" s="6" t="s">
        <v>204</v>
      </c>
      <c r="EH57" s="6" t="s">
        <v>204</v>
      </c>
      <c r="EI57" s="6" t="s">
        <v>201</v>
      </c>
      <c r="EJ57" s="6" t="s">
        <v>201</v>
      </c>
      <c r="EK57" s="6" t="s">
        <v>201</v>
      </c>
      <c r="EL57" s="6" t="s">
        <v>201</v>
      </c>
      <c r="EM57" s="6" t="s">
        <v>202</v>
      </c>
      <c r="EN57" s="6" t="s">
        <v>201</v>
      </c>
      <c r="EO57" s="6" t="s">
        <v>203</v>
      </c>
      <c r="EP57" s="6"/>
      <c r="EQ57" s="6" t="s">
        <v>202</v>
      </c>
      <c r="ER57" s="6" t="s">
        <v>202</v>
      </c>
      <c r="ES57" s="6"/>
      <c r="ET57" s="6" t="s">
        <v>205</v>
      </c>
      <c r="EU57" s="6" t="s">
        <v>202</v>
      </c>
      <c r="EV57" s="6" t="s">
        <v>201</v>
      </c>
      <c r="EW57" s="6" t="s">
        <v>204</v>
      </c>
      <c r="EX57" s="6"/>
      <c r="EY57" s="6" t="s">
        <v>204</v>
      </c>
      <c r="EZ57" s="6" t="s">
        <v>204</v>
      </c>
      <c r="FA57" s="6" t="s">
        <v>204</v>
      </c>
      <c r="FB57" s="6" t="s">
        <v>204</v>
      </c>
      <c r="FC57" s="6" t="s">
        <v>204</v>
      </c>
      <c r="FD57" s="6" t="s">
        <v>204</v>
      </c>
      <c r="FE57" s="6" t="s">
        <v>204</v>
      </c>
      <c r="FF57" s="6" t="s">
        <v>204</v>
      </c>
      <c r="FG57" s="6" t="s">
        <v>204</v>
      </c>
      <c r="FH57" s="6" t="s">
        <v>204</v>
      </c>
      <c r="FI57" s="6" t="s">
        <v>204</v>
      </c>
      <c r="FJ57" s="6" t="s">
        <v>204</v>
      </c>
      <c r="FK57" s="6" t="s">
        <v>204</v>
      </c>
      <c r="FL57" s="6" t="s">
        <v>204</v>
      </c>
      <c r="FM57" s="6" t="s">
        <v>204</v>
      </c>
      <c r="FN57" s="6" t="s">
        <v>204</v>
      </c>
      <c r="FO57" s="6" t="s">
        <v>204</v>
      </c>
      <c r="FP57" s="6" t="s">
        <v>204</v>
      </c>
      <c r="FQ57" s="6" t="s">
        <v>204</v>
      </c>
      <c r="FR57" s="6" t="s">
        <v>202</v>
      </c>
      <c r="FS57" s="6" t="s">
        <v>202</v>
      </c>
      <c r="FT57" s="6" t="s">
        <v>204</v>
      </c>
      <c r="FU57" s="6" t="s">
        <v>204</v>
      </c>
      <c r="FV57" s="6"/>
      <c r="FW57" s="6" t="s">
        <v>238</v>
      </c>
      <c r="FX57" s="6"/>
      <c r="FY57" s="6" t="s">
        <v>203</v>
      </c>
      <c r="FZ57" s="6" t="s">
        <v>203</v>
      </c>
      <c r="GA57" s="6" t="s">
        <v>203</v>
      </c>
      <c r="GB57" s="6" t="s">
        <v>205</v>
      </c>
      <c r="GC57" s="6" t="s">
        <v>204</v>
      </c>
      <c r="GD57" s="6"/>
      <c r="GE57" s="6" t="s">
        <v>201</v>
      </c>
      <c r="GF57" s="6" t="s">
        <v>202</v>
      </c>
      <c r="GG57" s="6" t="s">
        <v>201</v>
      </c>
      <c r="GH57" s="6" t="s">
        <v>203</v>
      </c>
      <c r="GI57" s="6" t="s">
        <v>203</v>
      </c>
      <c r="GJ57" s="6" t="s">
        <v>202</v>
      </c>
      <c r="GK57" s="6"/>
      <c r="GL57" s="7">
        <f>DATE(2025,6,10)+TIME(10,22,51)</f>
        <v>45818.432534722226</v>
      </c>
    </row>
    <row r="58" spans="1:194" ht="409.5" x14ac:dyDescent="0.25">
      <c r="A58" s="3" t="s">
        <v>511</v>
      </c>
      <c r="B58" s="3" t="s">
        <v>512</v>
      </c>
      <c r="C58" s="3" t="s">
        <v>513</v>
      </c>
      <c r="D58" s="3" t="s">
        <v>514</v>
      </c>
      <c r="E58" s="3"/>
      <c r="F58" s="3" t="s">
        <v>408</v>
      </c>
      <c r="G58" s="3"/>
      <c r="H58" s="3"/>
      <c r="I58" s="3"/>
      <c r="J58" s="3"/>
      <c r="K58" s="3"/>
      <c r="L58" s="3" t="s">
        <v>515</v>
      </c>
      <c r="M58" s="3"/>
      <c r="N58" s="3"/>
      <c r="O58" s="3"/>
      <c r="P58" s="3"/>
      <c r="Q58" s="3"/>
      <c r="R58" s="3"/>
      <c r="S58" s="3"/>
      <c r="T58" s="3"/>
      <c r="U58" s="3"/>
      <c r="V58" s="3"/>
      <c r="W58" s="3"/>
      <c r="X58" s="3"/>
      <c r="Y58" s="3"/>
      <c r="Z58" s="3"/>
      <c r="AA58" s="3"/>
      <c r="AB58" s="3"/>
      <c r="AC58" s="3"/>
      <c r="AD58" s="3"/>
      <c r="AE58" s="3"/>
      <c r="AF58" s="4" t="s">
        <v>515</v>
      </c>
      <c r="AG58" s="3" t="s">
        <v>213</v>
      </c>
      <c r="AH58" s="3" t="s">
        <v>201</v>
      </c>
      <c r="AI58" s="3" t="s">
        <v>202</v>
      </c>
      <c r="AJ58" s="3" t="s">
        <v>201</v>
      </c>
      <c r="AK58" s="3" t="s">
        <v>201</v>
      </c>
      <c r="AL58" s="3" t="s">
        <v>203</v>
      </c>
      <c r="AM58" s="3" t="s">
        <v>201</v>
      </c>
      <c r="AN58" s="3" t="s">
        <v>203</v>
      </c>
      <c r="AO58" s="3" t="s">
        <v>203</v>
      </c>
      <c r="AP58" s="3" t="s">
        <v>202</v>
      </c>
      <c r="AQ58" s="3" t="s">
        <v>205</v>
      </c>
      <c r="AR58" s="3" t="s">
        <v>205</v>
      </c>
      <c r="AS58" s="3"/>
      <c r="AT58" s="3" t="s">
        <v>204</v>
      </c>
      <c r="AU58" s="3" t="s">
        <v>201</v>
      </c>
      <c r="AV58" s="3" t="s">
        <v>205</v>
      </c>
      <c r="AW58" s="3" t="s">
        <v>201</v>
      </c>
      <c r="AX58" s="3" t="s">
        <v>202</v>
      </c>
      <c r="AY58" s="3" t="s">
        <v>204</v>
      </c>
      <c r="AZ58" s="3" t="s">
        <v>202</v>
      </c>
      <c r="BA58" s="3" t="s">
        <v>205</v>
      </c>
      <c r="BB58" s="3" t="s">
        <v>202</v>
      </c>
      <c r="BC58" s="3" t="s">
        <v>203</v>
      </c>
      <c r="BD58" s="3" t="s">
        <v>202</v>
      </c>
      <c r="BE58" s="3" t="s">
        <v>204</v>
      </c>
      <c r="BF58" s="3" t="s">
        <v>205</v>
      </c>
      <c r="BG58" s="3" t="s">
        <v>201</v>
      </c>
      <c r="BH58" s="3" t="s">
        <v>202</v>
      </c>
      <c r="BI58" s="3" t="s">
        <v>202</v>
      </c>
      <c r="BJ58" s="3" t="s">
        <v>201</v>
      </c>
      <c r="BK58" s="3" t="s">
        <v>205</v>
      </c>
      <c r="BL58" s="3" t="s">
        <v>201</v>
      </c>
      <c r="BM58" s="3" t="s">
        <v>201</v>
      </c>
      <c r="BN58" s="3" t="s">
        <v>201</v>
      </c>
      <c r="BO58" s="3" t="s">
        <v>201</v>
      </c>
      <c r="BP58" s="3" t="s">
        <v>202</v>
      </c>
      <c r="BQ58" s="3" t="s">
        <v>202</v>
      </c>
      <c r="BR58" s="3"/>
      <c r="BS58" s="3"/>
      <c r="BT58" s="3" t="s">
        <v>210</v>
      </c>
      <c r="BU58" s="3" t="s">
        <v>201</v>
      </c>
      <c r="BV58" s="3" t="s">
        <v>202</v>
      </c>
      <c r="BW58" s="3" t="s">
        <v>201</v>
      </c>
      <c r="BX58" s="3" t="s">
        <v>201</v>
      </c>
      <c r="BY58" s="3" t="s">
        <v>202</v>
      </c>
      <c r="BZ58" s="3" t="s">
        <v>201</v>
      </c>
      <c r="CA58" s="3" t="s">
        <v>201</v>
      </c>
      <c r="CB58" s="3" t="s">
        <v>202</v>
      </c>
      <c r="CC58" s="3" t="s">
        <v>201</v>
      </c>
      <c r="CD58" s="3" t="s">
        <v>201</v>
      </c>
      <c r="CE58" s="3" t="s">
        <v>202</v>
      </c>
      <c r="CF58" s="3" t="s">
        <v>201</v>
      </c>
      <c r="CG58" s="3"/>
      <c r="CH58" s="3" t="s">
        <v>207</v>
      </c>
      <c r="CI58" s="3" t="s">
        <v>208</v>
      </c>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t="s">
        <v>236</v>
      </c>
      <c r="DQ58" s="3"/>
      <c r="DR58" s="3"/>
      <c r="DS58" s="3"/>
      <c r="DT58" s="3"/>
      <c r="DU58" s="3"/>
      <c r="DV58" s="3"/>
      <c r="DW58" s="3" t="s">
        <v>208</v>
      </c>
      <c r="DX58" s="3"/>
      <c r="DY58" s="3" t="s">
        <v>247</v>
      </c>
      <c r="DZ58" s="3" t="s">
        <v>219</v>
      </c>
      <c r="EA58" s="3"/>
      <c r="EB58" s="3"/>
      <c r="EC58" s="3" t="s">
        <v>201</v>
      </c>
      <c r="ED58" s="3" t="s">
        <v>202</v>
      </c>
      <c r="EE58" s="3" t="s">
        <v>202</v>
      </c>
      <c r="EF58" s="3" t="s">
        <v>202</v>
      </c>
      <c r="EG58" s="3" t="s">
        <v>202</v>
      </c>
      <c r="EH58" s="3" t="s">
        <v>202</v>
      </c>
      <c r="EI58" s="3" t="s">
        <v>202</v>
      </c>
      <c r="EJ58" s="3" t="s">
        <v>202</v>
      </c>
      <c r="EK58" s="3" t="s">
        <v>202</v>
      </c>
      <c r="EL58" s="3" t="s">
        <v>202</v>
      </c>
      <c r="EM58" s="3" t="s">
        <v>202</v>
      </c>
      <c r="EN58" s="3" t="s">
        <v>202</v>
      </c>
      <c r="EO58" s="3" t="s">
        <v>202</v>
      </c>
      <c r="EP58" s="3"/>
      <c r="EQ58" s="3" t="s">
        <v>203</v>
      </c>
      <c r="ER58" s="3" t="s">
        <v>203</v>
      </c>
      <c r="ES58" s="3"/>
      <c r="ET58" s="3" t="s">
        <v>203</v>
      </c>
      <c r="EU58" s="3" t="s">
        <v>203</v>
      </c>
      <c r="EV58" s="3" t="s">
        <v>203</v>
      </c>
      <c r="EW58" s="3"/>
      <c r="EX58" s="3"/>
      <c r="EY58" s="3" t="s">
        <v>202</v>
      </c>
      <c r="EZ58" s="3" t="s">
        <v>205</v>
      </c>
      <c r="FA58" s="3" t="s">
        <v>202</v>
      </c>
      <c r="FB58" s="3" t="s">
        <v>202</v>
      </c>
      <c r="FC58" s="3" t="s">
        <v>201</v>
      </c>
      <c r="FD58" s="3" t="s">
        <v>201</v>
      </c>
      <c r="FE58" s="3" t="s">
        <v>202</v>
      </c>
      <c r="FF58" s="3" t="s">
        <v>202</v>
      </c>
      <c r="FG58" s="3" t="s">
        <v>202</v>
      </c>
      <c r="FH58" s="3" t="s">
        <v>203</v>
      </c>
      <c r="FI58" s="3" t="s">
        <v>203</v>
      </c>
      <c r="FJ58" s="3" t="s">
        <v>205</v>
      </c>
      <c r="FK58" s="3" t="s">
        <v>203</v>
      </c>
      <c r="FL58" s="3" t="s">
        <v>203</v>
      </c>
      <c r="FM58" s="3" t="s">
        <v>202</v>
      </c>
      <c r="FN58" s="3" t="s">
        <v>202</v>
      </c>
      <c r="FO58" s="3" t="s">
        <v>203</v>
      </c>
      <c r="FP58" s="3" t="s">
        <v>203</v>
      </c>
      <c r="FQ58" s="3" t="s">
        <v>203</v>
      </c>
      <c r="FR58" s="3" t="s">
        <v>205</v>
      </c>
      <c r="FS58" s="3" t="s">
        <v>205</v>
      </c>
      <c r="FT58" s="3" t="s">
        <v>205</v>
      </c>
      <c r="FU58" s="3"/>
      <c r="FV58" s="3"/>
      <c r="FW58" s="3" t="s">
        <v>210</v>
      </c>
      <c r="FX58" s="3"/>
      <c r="FY58" s="3" t="s">
        <v>202</v>
      </c>
      <c r="FZ58" s="3" t="s">
        <v>202</v>
      </c>
      <c r="GA58" s="3" t="s">
        <v>202</v>
      </c>
      <c r="GB58" s="3" t="s">
        <v>202</v>
      </c>
      <c r="GC58" s="3"/>
      <c r="GD58" s="3"/>
      <c r="GE58" s="3" t="s">
        <v>201</v>
      </c>
      <c r="GF58" s="3" t="s">
        <v>201</v>
      </c>
      <c r="GG58" s="3" t="s">
        <v>201</v>
      </c>
      <c r="GH58" s="3" t="s">
        <v>202</v>
      </c>
      <c r="GI58" s="3" t="s">
        <v>201</v>
      </c>
      <c r="GJ58" s="3" t="s">
        <v>201</v>
      </c>
      <c r="GK58" s="3" t="s">
        <v>516</v>
      </c>
      <c r="GL58" s="5">
        <f>DATE(2025,6,13)+TIME(16,6,14)</f>
        <v>45821.670995370368</v>
      </c>
    </row>
    <row r="59" spans="1:194" s="9" customFormat="1" ht="47.25" x14ac:dyDescent="0.25">
      <c r="A59" s="8"/>
      <c r="B59" s="8"/>
      <c r="C59" s="8" t="s">
        <v>517</v>
      </c>
      <c r="D59" s="8" t="s">
        <v>518</v>
      </c>
      <c r="E59" s="8"/>
      <c r="F59" s="8" t="s">
        <v>277</v>
      </c>
      <c r="G59" s="6"/>
      <c r="H59" s="6"/>
      <c r="I59" s="6"/>
      <c r="J59" s="6"/>
      <c r="K59" s="6"/>
      <c r="L59" s="6"/>
      <c r="M59" s="6"/>
      <c r="N59" s="6" t="s">
        <v>519</v>
      </c>
      <c r="O59" s="6"/>
      <c r="P59" s="6"/>
      <c r="Q59" s="6"/>
      <c r="R59" s="6"/>
      <c r="S59" s="6"/>
      <c r="T59" s="6"/>
      <c r="U59" s="6"/>
      <c r="V59" s="6"/>
      <c r="W59" s="6"/>
      <c r="X59" s="6"/>
      <c r="Y59" s="6"/>
      <c r="Z59" s="6"/>
      <c r="AA59" s="6"/>
      <c r="AB59" s="6"/>
      <c r="AC59" s="6"/>
      <c r="AD59" s="6"/>
      <c r="AE59" s="6"/>
      <c r="AF59" s="9" t="s">
        <v>519</v>
      </c>
      <c r="AG59" s="8" t="s">
        <v>213</v>
      </c>
      <c r="AH59" s="8" t="s">
        <v>202</v>
      </c>
      <c r="AI59" s="8" t="s">
        <v>202</v>
      </c>
      <c r="AJ59" s="8" t="s">
        <v>203</v>
      </c>
      <c r="AK59" s="8" t="s">
        <v>202</v>
      </c>
      <c r="AL59" s="8" t="s">
        <v>205</v>
      </c>
      <c r="AM59" s="8" t="s">
        <v>204</v>
      </c>
      <c r="AN59" s="8" t="s">
        <v>204</v>
      </c>
      <c r="AO59" s="8" t="s">
        <v>205</v>
      </c>
      <c r="AP59" s="8" t="s">
        <v>205</v>
      </c>
      <c r="AQ59" s="8" t="s">
        <v>201</v>
      </c>
      <c r="AR59" s="8" t="s">
        <v>203</v>
      </c>
      <c r="AS59" s="8"/>
      <c r="AT59" s="8" t="s">
        <v>204</v>
      </c>
      <c r="AU59" s="8" t="s">
        <v>202</v>
      </c>
      <c r="AV59" s="8" t="s">
        <v>205</v>
      </c>
      <c r="AW59" s="8" t="s">
        <v>203</v>
      </c>
      <c r="AX59" s="8" t="s">
        <v>203</v>
      </c>
      <c r="AY59" s="8" t="s">
        <v>204</v>
      </c>
      <c r="AZ59" s="8" t="s">
        <v>202</v>
      </c>
      <c r="BA59" s="8" t="s">
        <v>205</v>
      </c>
      <c r="BB59" s="8" t="s">
        <v>203</v>
      </c>
      <c r="BC59" s="8" t="s">
        <v>203</v>
      </c>
      <c r="BD59" s="8" t="s">
        <v>202</v>
      </c>
      <c r="BE59" s="8" t="s">
        <v>204</v>
      </c>
      <c r="BF59" s="8" t="s">
        <v>204</v>
      </c>
      <c r="BG59" s="8" t="s">
        <v>204</v>
      </c>
      <c r="BH59" s="8" t="s">
        <v>204</v>
      </c>
      <c r="BI59" s="8" t="s">
        <v>204</v>
      </c>
      <c r="BJ59" s="8" t="s">
        <v>202</v>
      </c>
      <c r="BK59" s="8" t="s">
        <v>205</v>
      </c>
      <c r="BL59" s="8" t="s">
        <v>202</v>
      </c>
      <c r="BM59" s="8" t="s">
        <v>203</v>
      </c>
      <c r="BN59" s="8" t="s">
        <v>203</v>
      </c>
      <c r="BO59" s="8" t="s">
        <v>201</v>
      </c>
      <c r="BP59" s="8" t="s">
        <v>203</v>
      </c>
      <c r="BQ59" s="8" t="s">
        <v>204</v>
      </c>
      <c r="BR59" s="8"/>
      <c r="BS59" s="8"/>
      <c r="BT59" s="8" t="s">
        <v>210</v>
      </c>
      <c r="BU59" s="8" t="s">
        <v>201</v>
      </c>
      <c r="BV59" s="8" t="s">
        <v>203</v>
      </c>
      <c r="BW59" s="8" t="s">
        <v>202</v>
      </c>
      <c r="BX59" s="8" t="s">
        <v>201</v>
      </c>
      <c r="BY59" s="8" t="s">
        <v>203</v>
      </c>
      <c r="BZ59" s="8" t="s">
        <v>202</v>
      </c>
      <c r="CA59" s="8" t="s">
        <v>201</v>
      </c>
      <c r="CB59" s="8" t="s">
        <v>202</v>
      </c>
      <c r="CC59" s="8" t="s">
        <v>201</v>
      </c>
      <c r="CD59" s="8" t="s">
        <v>201</v>
      </c>
      <c r="CE59" s="8" t="s">
        <v>203</v>
      </c>
      <c r="CF59" s="8" t="s">
        <v>201</v>
      </c>
      <c r="CG59" s="8"/>
      <c r="CH59" s="8" t="s">
        <v>207</v>
      </c>
      <c r="CI59" s="8" t="s">
        <v>208</v>
      </c>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t="s">
        <v>236</v>
      </c>
      <c r="DQ59" s="8"/>
      <c r="DR59" s="8"/>
      <c r="DS59" s="8"/>
      <c r="DT59" s="8"/>
      <c r="DU59" s="8"/>
      <c r="DV59" s="8"/>
      <c r="DW59" s="8" t="s">
        <v>208</v>
      </c>
      <c r="DX59" s="8" t="s">
        <v>246</v>
      </c>
      <c r="DY59" s="8" t="s">
        <v>247</v>
      </c>
      <c r="DZ59" s="8" t="s">
        <v>219</v>
      </c>
      <c r="EA59" s="8"/>
      <c r="EB59" s="8"/>
      <c r="EC59" s="8" t="s">
        <v>204</v>
      </c>
      <c r="ED59" s="8" t="s">
        <v>204</v>
      </c>
      <c r="EE59" s="8" t="s">
        <v>204</v>
      </c>
      <c r="EF59" s="8" t="s">
        <v>204</v>
      </c>
      <c r="EG59" s="8" t="s">
        <v>204</v>
      </c>
      <c r="EH59" s="8" t="s">
        <v>204</v>
      </c>
      <c r="EI59" s="8" t="s">
        <v>204</v>
      </c>
      <c r="EJ59" s="8" t="s">
        <v>204</v>
      </c>
      <c r="EK59" s="8" t="s">
        <v>204</v>
      </c>
      <c r="EL59" s="8" t="s">
        <v>204</v>
      </c>
      <c r="EM59" s="8" t="s">
        <v>201</v>
      </c>
      <c r="EN59" s="8" t="s">
        <v>202</v>
      </c>
      <c r="EO59" s="8" t="s">
        <v>201</v>
      </c>
      <c r="EP59" s="8"/>
      <c r="EQ59" s="8" t="s">
        <v>205</v>
      </c>
      <c r="ER59" s="8" t="s">
        <v>205</v>
      </c>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t="s">
        <v>201</v>
      </c>
      <c r="FZ59" s="8" t="s">
        <v>201</v>
      </c>
      <c r="GA59" s="8" t="s">
        <v>201</v>
      </c>
      <c r="GB59" s="8" t="s">
        <v>201</v>
      </c>
      <c r="GC59" s="8" t="s">
        <v>204</v>
      </c>
      <c r="GD59" s="8"/>
      <c r="GE59" s="8" t="s">
        <v>202</v>
      </c>
      <c r="GF59" s="8" t="s">
        <v>201</v>
      </c>
      <c r="GG59" s="8" t="s">
        <v>201</v>
      </c>
      <c r="GH59" s="8" t="s">
        <v>202</v>
      </c>
      <c r="GI59" s="8" t="s">
        <v>203</v>
      </c>
      <c r="GJ59" s="8" t="s">
        <v>201</v>
      </c>
      <c r="GK59" s="8"/>
      <c r="GL59" s="10">
        <f>DATE(2025,6,10)+TIME(13,16,18)</f>
        <v>45818.552986111114</v>
      </c>
    </row>
    <row r="60" spans="1:194" ht="47.25" x14ac:dyDescent="0.25">
      <c r="A60" s="3"/>
      <c r="B60" s="3"/>
      <c r="C60" s="3" t="s">
        <v>520</v>
      </c>
      <c r="D60" s="3" t="s">
        <v>521</v>
      </c>
      <c r="E60" s="3"/>
      <c r="F60" s="3" t="s">
        <v>233</v>
      </c>
      <c r="G60" s="3"/>
      <c r="H60" s="3"/>
      <c r="I60" s="3"/>
      <c r="J60" s="3"/>
      <c r="K60" s="3"/>
      <c r="L60" s="3"/>
      <c r="M60" s="3"/>
      <c r="N60" s="3"/>
      <c r="O60" s="3"/>
      <c r="P60" s="3"/>
      <c r="Q60" s="3"/>
      <c r="R60" s="3"/>
      <c r="S60" s="3"/>
      <c r="T60" s="3"/>
      <c r="U60" s="3"/>
      <c r="V60" s="3"/>
      <c r="W60" s="3"/>
      <c r="X60" s="3"/>
      <c r="Y60" s="3"/>
      <c r="Z60" s="3"/>
      <c r="AA60" s="3"/>
      <c r="AB60" s="3" t="s">
        <v>522</v>
      </c>
      <c r="AC60" s="3"/>
      <c r="AD60" s="3"/>
      <c r="AE60" s="3"/>
      <c r="AF60" s="4" t="s">
        <v>522</v>
      </c>
      <c r="AG60" s="3" t="s">
        <v>213</v>
      </c>
      <c r="AH60" s="3" t="s">
        <v>203</v>
      </c>
      <c r="AI60" s="3" t="s">
        <v>202</v>
      </c>
      <c r="AJ60" s="3" t="s">
        <v>203</v>
      </c>
      <c r="AK60" s="3" t="s">
        <v>202</v>
      </c>
      <c r="AL60" s="3" t="s">
        <v>202</v>
      </c>
      <c r="AM60" s="3" t="s">
        <v>204</v>
      </c>
      <c r="AN60" s="3" t="s">
        <v>203</v>
      </c>
      <c r="AO60" s="3" t="s">
        <v>204</v>
      </c>
      <c r="AP60" s="3" t="s">
        <v>202</v>
      </c>
      <c r="AQ60" s="3" t="s">
        <v>202</v>
      </c>
      <c r="AR60" s="3" t="s">
        <v>202</v>
      </c>
      <c r="AS60" s="3"/>
      <c r="AT60" s="3" t="s">
        <v>203</v>
      </c>
      <c r="AU60" s="3" t="s">
        <v>202</v>
      </c>
      <c r="AV60" s="3" t="s">
        <v>205</v>
      </c>
      <c r="AW60" s="3" t="s">
        <v>202</v>
      </c>
      <c r="AX60" s="3" t="s">
        <v>203</v>
      </c>
      <c r="AY60" s="3" t="s">
        <v>204</v>
      </c>
      <c r="AZ60" s="3" t="s">
        <v>204</v>
      </c>
      <c r="BA60" s="3" t="s">
        <v>204</v>
      </c>
      <c r="BB60" s="3" t="s">
        <v>202</v>
      </c>
      <c r="BC60" s="3" t="s">
        <v>202</v>
      </c>
      <c r="BD60" s="3" t="s">
        <v>204</v>
      </c>
      <c r="BE60" s="3" t="s">
        <v>203</v>
      </c>
      <c r="BF60" s="3" t="s">
        <v>204</v>
      </c>
      <c r="BG60" s="3" t="s">
        <v>203</v>
      </c>
      <c r="BH60" s="3" t="s">
        <v>203</v>
      </c>
      <c r="BI60" s="3" t="s">
        <v>204</v>
      </c>
      <c r="BJ60" s="3" t="s">
        <v>202</v>
      </c>
      <c r="BK60" s="3" t="s">
        <v>204</v>
      </c>
      <c r="BL60" s="3" t="s">
        <v>202</v>
      </c>
      <c r="BM60" s="3" t="s">
        <v>202</v>
      </c>
      <c r="BN60" s="3" t="s">
        <v>204</v>
      </c>
      <c r="BO60" s="3" t="s">
        <v>204</v>
      </c>
      <c r="BP60" s="3" t="s">
        <v>204</v>
      </c>
      <c r="BQ60" s="3" t="s">
        <v>204</v>
      </c>
      <c r="BR60" s="3" t="s">
        <v>204</v>
      </c>
      <c r="BS60" s="3"/>
      <c r="BT60" s="3" t="s">
        <v>206</v>
      </c>
      <c r="BU60" s="3" t="s">
        <v>201</v>
      </c>
      <c r="BV60" s="3" t="s">
        <v>201</v>
      </c>
      <c r="BW60" s="3" t="s">
        <v>201</v>
      </c>
      <c r="BX60" s="3" t="s">
        <v>201</v>
      </c>
      <c r="BY60" s="3" t="s">
        <v>201</v>
      </c>
      <c r="BZ60" s="3" t="s">
        <v>201</v>
      </c>
      <c r="CA60" s="3" t="s">
        <v>201</v>
      </c>
      <c r="CB60" s="3" t="s">
        <v>201</v>
      </c>
      <c r="CC60" s="3" t="s">
        <v>201</v>
      </c>
      <c r="CD60" s="3" t="s">
        <v>201</v>
      </c>
      <c r="CE60" s="3" t="s">
        <v>201</v>
      </c>
      <c r="CF60" s="3" t="s">
        <v>201</v>
      </c>
      <c r="CG60" s="3"/>
      <c r="CH60" s="3" t="s">
        <v>207</v>
      </c>
      <c r="CI60" s="3" t="s">
        <v>207</v>
      </c>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t="s">
        <v>236</v>
      </c>
      <c r="DQ60" s="3" t="s">
        <v>237</v>
      </c>
      <c r="DR60" s="3"/>
      <c r="DS60" s="3"/>
      <c r="DT60" s="3"/>
      <c r="DU60" s="3"/>
      <c r="DV60" s="3"/>
      <c r="DW60" s="3" t="s">
        <v>207</v>
      </c>
      <c r="DX60" s="3"/>
      <c r="DY60" s="3"/>
      <c r="DZ60" s="3"/>
      <c r="EA60" s="3"/>
      <c r="EB60" s="3"/>
      <c r="EC60" s="3"/>
      <c r="ED60" s="3"/>
      <c r="EE60" s="3"/>
      <c r="EF60" s="3" t="s">
        <v>204</v>
      </c>
      <c r="EG60" s="3" t="s">
        <v>204</v>
      </c>
      <c r="EH60" s="3" t="s">
        <v>204</v>
      </c>
      <c r="EI60" s="3" t="s">
        <v>204</v>
      </c>
      <c r="EJ60" s="3" t="s">
        <v>204</v>
      </c>
      <c r="EK60" s="3" t="s">
        <v>205</v>
      </c>
      <c r="EL60" s="3" t="s">
        <v>204</v>
      </c>
      <c r="EM60" s="3"/>
      <c r="EN60" s="3"/>
      <c r="EO60" s="3"/>
      <c r="EP60" s="3"/>
      <c r="EQ60" s="3" t="s">
        <v>205</v>
      </c>
      <c r="ER60" s="3" t="s">
        <v>202</v>
      </c>
      <c r="ES60" s="3"/>
      <c r="ET60" s="3"/>
      <c r="EU60" s="3"/>
      <c r="EV60" s="3"/>
      <c r="EW60" s="3"/>
      <c r="EX60" s="3"/>
      <c r="EY60" s="3"/>
      <c r="EZ60" s="3"/>
      <c r="FA60" s="3"/>
      <c r="FB60" s="3"/>
      <c r="FC60" s="3"/>
      <c r="FD60" s="3"/>
      <c r="FE60" s="3"/>
      <c r="FF60" s="3"/>
      <c r="FG60" s="3"/>
      <c r="FH60" s="3" t="s">
        <v>201</v>
      </c>
      <c r="FI60" s="3" t="s">
        <v>201</v>
      </c>
      <c r="FJ60" s="3" t="s">
        <v>205</v>
      </c>
      <c r="FK60" s="3" t="s">
        <v>201</v>
      </c>
      <c r="FL60" s="3" t="s">
        <v>201</v>
      </c>
      <c r="FM60" s="3" t="s">
        <v>204</v>
      </c>
      <c r="FN60" s="3" t="s">
        <v>204</v>
      </c>
      <c r="FO60" s="3" t="s">
        <v>204</v>
      </c>
      <c r="FP60" s="3" t="s">
        <v>204</v>
      </c>
      <c r="FQ60" s="3" t="s">
        <v>201</v>
      </c>
      <c r="FR60" s="3" t="s">
        <v>204</v>
      </c>
      <c r="FS60" s="3" t="s">
        <v>204</v>
      </c>
      <c r="FT60" s="3" t="s">
        <v>204</v>
      </c>
      <c r="FU60" s="3" t="s">
        <v>204</v>
      </c>
      <c r="FV60" s="3"/>
      <c r="FW60" s="3" t="s">
        <v>238</v>
      </c>
      <c r="FX60" s="3"/>
      <c r="FY60" s="3" t="s">
        <v>202</v>
      </c>
      <c r="FZ60" s="3" t="s">
        <v>202</v>
      </c>
      <c r="GA60" s="3" t="s">
        <v>201</v>
      </c>
      <c r="GB60" s="3" t="s">
        <v>202</v>
      </c>
      <c r="GC60" s="3" t="s">
        <v>204</v>
      </c>
      <c r="GD60" s="3"/>
      <c r="GE60" s="3" t="s">
        <v>203</v>
      </c>
      <c r="GF60" s="3" t="s">
        <v>201</v>
      </c>
      <c r="GG60" s="3" t="s">
        <v>201</v>
      </c>
      <c r="GH60" s="3" t="s">
        <v>203</v>
      </c>
      <c r="GI60" s="3" t="s">
        <v>203</v>
      </c>
      <c r="GJ60" s="3" t="s">
        <v>202</v>
      </c>
      <c r="GK60" s="3"/>
      <c r="GL60" s="5">
        <f>DATE(2025,6,6)+TIME(10,5,24)</f>
        <v>45814.420416666668</v>
      </c>
    </row>
    <row r="61" spans="1:194" ht="409.5" x14ac:dyDescent="0.25">
      <c r="A61" s="6"/>
      <c r="B61" s="6"/>
      <c r="C61" s="6" t="s">
        <v>523</v>
      </c>
      <c r="D61" s="6" t="s">
        <v>524</v>
      </c>
      <c r="E61" s="6"/>
      <c r="F61" s="6" t="s">
        <v>444</v>
      </c>
      <c r="G61" s="6"/>
      <c r="H61" s="6"/>
      <c r="I61" s="6"/>
      <c r="J61" s="6"/>
      <c r="K61" s="6"/>
      <c r="L61" s="6"/>
      <c r="M61" s="6"/>
      <c r="N61" s="6"/>
      <c r="O61" s="6"/>
      <c r="P61" s="6"/>
      <c r="Q61" s="6"/>
      <c r="R61" s="6"/>
      <c r="S61" s="6"/>
      <c r="T61" s="6"/>
      <c r="U61" s="6"/>
      <c r="V61" s="6"/>
      <c r="W61" s="6"/>
      <c r="X61" s="6"/>
      <c r="Y61" s="6" t="s">
        <v>525</v>
      </c>
      <c r="Z61" s="6"/>
      <c r="AA61" s="6"/>
      <c r="AB61" s="6"/>
      <c r="AC61" s="6"/>
      <c r="AD61" s="6"/>
      <c r="AE61" s="6"/>
      <c r="AF61" s="4" t="s">
        <v>525</v>
      </c>
      <c r="AG61" s="6" t="s">
        <v>235</v>
      </c>
      <c r="AH61" s="6" t="s">
        <v>203</v>
      </c>
      <c r="AI61" s="6" t="s">
        <v>203</v>
      </c>
      <c r="AJ61" s="6" t="s">
        <v>204</v>
      </c>
      <c r="AK61" s="6" t="s">
        <v>202</v>
      </c>
      <c r="AL61" s="6" t="s">
        <v>202</v>
      </c>
      <c r="AM61" s="6" t="s">
        <v>204</v>
      </c>
      <c r="AN61" s="6" t="s">
        <v>204</v>
      </c>
      <c r="AO61" s="6" t="s">
        <v>204</v>
      </c>
      <c r="AP61" s="6" t="s">
        <v>204</v>
      </c>
      <c r="AQ61" s="6" t="s">
        <v>202</v>
      </c>
      <c r="AR61" s="6" t="s">
        <v>202</v>
      </c>
      <c r="AS61" s="6"/>
      <c r="AT61" s="6" t="s">
        <v>203</v>
      </c>
      <c r="AU61" s="6" t="s">
        <v>203</v>
      </c>
      <c r="AV61" s="6" t="s">
        <v>205</v>
      </c>
      <c r="AW61" s="6" t="s">
        <v>203</v>
      </c>
      <c r="AX61" s="6" t="s">
        <v>203</v>
      </c>
      <c r="AY61" s="6" t="s">
        <v>202</v>
      </c>
      <c r="AZ61" s="6" t="s">
        <v>203</v>
      </c>
      <c r="BA61" s="6" t="s">
        <v>203</v>
      </c>
      <c r="BB61" s="6" t="s">
        <v>203</v>
      </c>
      <c r="BC61" s="6" t="s">
        <v>203</v>
      </c>
      <c r="BD61" s="6" t="s">
        <v>202</v>
      </c>
      <c r="BE61" s="6" t="s">
        <v>204</v>
      </c>
      <c r="BF61" s="6" t="s">
        <v>204</v>
      </c>
      <c r="BG61" s="6" t="s">
        <v>204</v>
      </c>
      <c r="BH61" s="6" t="s">
        <v>204</v>
      </c>
      <c r="BI61" s="6" t="s">
        <v>204</v>
      </c>
      <c r="BJ61" s="6" t="s">
        <v>203</v>
      </c>
      <c r="BK61" s="6" t="s">
        <v>203</v>
      </c>
      <c r="BL61" s="6" t="s">
        <v>203</v>
      </c>
      <c r="BM61" s="6" t="s">
        <v>203</v>
      </c>
      <c r="BN61" s="6" t="s">
        <v>202</v>
      </c>
      <c r="BO61" s="6" t="s">
        <v>204</v>
      </c>
      <c r="BP61" s="6" t="s">
        <v>204</v>
      </c>
      <c r="BQ61" s="6" t="s">
        <v>204</v>
      </c>
      <c r="BR61" s="6" t="s">
        <v>204</v>
      </c>
      <c r="BS61" s="6"/>
      <c r="BT61" s="6" t="s">
        <v>206</v>
      </c>
      <c r="BU61" s="6" t="s">
        <v>201</v>
      </c>
      <c r="BV61" s="6" t="s">
        <v>201</v>
      </c>
      <c r="BW61" s="6" t="s">
        <v>201</v>
      </c>
      <c r="BX61" s="6" t="s">
        <v>201</v>
      </c>
      <c r="BY61" s="6" t="s">
        <v>201</v>
      </c>
      <c r="BZ61" s="6" t="s">
        <v>201</v>
      </c>
      <c r="CA61" s="6" t="s">
        <v>201</v>
      </c>
      <c r="CB61" s="6" t="s">
        <v>205</v>
      </c>
      <c r="CC61" s="6" t="s">
        <v>205</v>
      </c>
      <c r="CD61" s="6" t="s">
        <v>202</v>
      </c>
      <c r="CE61" s="6" t="s">
        <v>202</v>
      </c>
      <c r="CF61" s="6" t="s">
        <v>202</v>
      </c>
      <c r="CG61" s="6"/>
      <c r="CH61" s="6" t="s">
        <v>207</v>
      </c>
      <c r="CI61" s="6" t="s">
        <v>207</v>
      </c>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t="s">
        <v>236</v>
      </c>
      <c r="DQ61" s="6" t="s">
        <v>237</v>
      </c>
      <c r="DR61" s="6"/>
      <c r="DS61" s="6"/>
      <c r="DT61" s="6"/>
      <c r="DU61" s="6"/>
      <c r="DV61" s="6"/>
      <c r="DW61" s="6" t="s">
        <v>207</v>
      </c>
      <c r="DX61" s="6"/>
      <c r="DY61" s="6"/>
      <c r="DZ61" s="6"/>
      <c r="EA61" s="6"/>
      <c r="EB61" s="6"/>
      <c r="EC61" s="6"/>
      <c r="ED61" s="6"/>
      <c r="EE61" s="6"/>
      <c r="EF61" s="6" t="s">
        <v>201</v>
      </c>
      <c r="EG61" s="6" t="s">
        <v>204</v>
      </c>
      <c r="EH61" s="6" t="s">
        <v>204</v>
      </c>
      <c r="EI61" s="6" t="s">
        <v>201</v>
      </c>
      <c r="EJ61" s="6" t="s">
        <v>204</v>
      </c>
      <c r="EK61" s="6" t="s">
        <v>205</v>
      </c>
      <c r="EL61" s="6" t="s">
        <v>205</v>
      </c>
      <c r="EM61" s="6"/>
      <c r="EN61" s="6"/>
      <c r="EO61" s="6"/>
      <c r="EP61" s="6"/>
      <c r="EQ61" s="6" t="s">
        <v>205</v>
      </c>
      <c r="ER61" s="6" t="s">
        <v>205</v>
      </c>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t="s">
        <v>202</v>
      </c>
      <c r="FZ61" s="6" t="s">
        <v>202</v>
      </c>
      <c r="GA61" s="6" t="s">
        <v>201</v>
      </c>
      <c r="GB61" s="6" t="s">
        <v>202</v>
      </c>
      <c r="GC61" s="6" t="s">
        <v>204</v>
      </c>
      <c r="GD61" s="6"/>
      <c r="GE61" s="6" t="s">
        <v>202</v>
      </c>
      <c r="GF61" s="6" t="s">
        <v>201</v>
      </c>
      <c r="GG61" s="6" t="s">
        <v>202</v>
      </c>
      <c r="GH61" s="6" t="s">
        <v>202</v>
      </c>
      <c r="GI61" s="6" t="s">
        <v>201</v>
      </c>
      <c r="GJ61" s="6" t="s">
        <v>202</v>
      </c>
      <c r="GK61" s="6" t="s">
        <v>526</v>
      </c>
      <c r="GL61" s="7">
        <f>DATE(2025,6,6)+TIME(13,8,20)</f>
        <v>45814.547453703701</v>
      </c>
    </row>
    <row r="62" spans="1:194" ht="47.25" x14ac:dyDescent="0.25">
      <c r="A62" s="3"/>
      <c r="B62" s="3"/>
      <c r="C62" s="3" t="s">
        <v>333</v>
      </c>
      <c r="D62" s="3" t="s">
        <v>527</v>
      </c>
      <c r="E62" s="3"/>
      <c r="F62" s="3" t="s">
        <v>335</v>
      </c>
      <c r="G62" s="3"/>
      <c r="H62" s="3"/>
      <c r="I62" s="3"/>
      <c r="J62" s="3"/>
      <c r="K62" s="3"/>
      <c r="L62" s="3"/>
      <c r="M62" s="3"/>
      <c r="N62" s="3"/>
      <c r="O62" s="3" t="s">
        <v>528</v>
      </c>
      <c r="P62" s="3"/>
      <c r="Q62" s="3"/>
      <c r="R62" s="3"/>
      <c r="S62" s="3"/>
      <c r="T62" s="3"/>
      <c r="U62" s="3"/>
      <c r="V62" s="3"/>
      <c r="W62" s="3"/>
      <c r="X62" s="3"/>
      <c r="Y62" s="3"/>
      <c r="Z62" s="3"/>
      <c r="AA62" s="3"/>
      <c r="AB62" s="3"/>
      <c r="AC62" s="3"/>
      <c r="AD62" s="3"/>
      <c r="AE62" s="3"/>
      <c r="AF62" s="4" t="s">
        <v>528</v>
      </c>
      <c r="AG62" s="3" t="s">
        <v>213</v>
      </c>
      <c r="AH62" s="3" t="s">
        <v>203</v>
      </c>
      <c r="AI62" s="3" t="s">
        <v>203</v>
      </c>
      <c r="AJ62" s="3" t="s">
        <v>204</v>
      </c>
      <c r="AK62" s="3" t="s">
        <v>202</v>
      </c>
      <c r="AL62" s="3" t="s">
        <v>203</v>
      </c>
      <c r="AM62" s="3" t="s">
        <v>202</v>
      </c>
      <c r="AN62" s="3" t="s">
        <v>203</v>
      </c>
      <c r="AO62" s="3" t="s">
        <v>202</v>
      </c>
      <c r="AP62" s="3" t="s">
        <v>203</v>
      </c>
      <c r="AQ62" s="3" t="s">
        <v>203</v>
      </c>
      <c r="AR62" s="3" t="s">
        <v>203</v>
      </c>
      <c r="AS62" s="3"/>
      <c r="AT62" s="3" t="s">
        <v>202</v>
      </c>
      <c r="AU62" s="3" t="s">
        <v>202</v>
      </c>
      <c r="AV62" s="3" t="s">
        <v>205</v>
      </c>
      <c r="AW62" s="3" t="s">
        <v>203</v>
      </c>
      <c r="AX62" s="3" t="s">
        <v>203</v>
      </c>
      <c r="AY62" s="3" t="s">
        <v>204</v>
      </c>
      <c r="AZ62" s="3" t="s">
        <v>203</v>
      </c>
      <c r="BA62" s="3" t="s">
        <v>205</v>
      </c>
      <c r="BB62" s="3" t="s">
        <v>203</v>
      </c>
      <c r="BC62" s="3" t="s">
        <v>203</v>
      </c>
      <c r="BD62" s="3" t="s">
        <v>204</v>
      </c>
      <c r="BE62" s="3" t="s">
        <v>205</v>
      </c>
      <c r="BF62" s="3" t="s">
        <v>205</v>
      </c>
      <c r="BG62" s="3" t="s">
        <v>203</v>
      </c>
      <c r="BH62" s="3" t="s">
        <v>204</v>
      </c>
      <c r="BI62" s="3" t="s">
        <v>204</v>
      </c>
      <c r="BJ62" s="3" t="s">
        <v>202</v>
      </c>
      <c r="BK62" s="3" t="s">
        <v>204</v>
      </c>
      <c r="BL62" s="3" t="s">
        <v>203</v>
      </c>
      <c r="BM62" s="3" t="s">
        <v>203</v>
      </c>
      <c r="BN62" s="3" t="s">
        <v>204</v>
      </c>
      <c r="BO62" s="3" t="s">
        <v>204</v>
      </c>
      <c r="BP62" s="3" t="s">
        <v>204</v>
      </c>
      <c r="BQ62" s="3" t="s">
        <v>204</v>
      </c>
      <c r="BR62" s="3" t="s">
        <v>204</v>
      </c>
      <c r="BS62" s="3"/>
      <c r="BT62" s="3" t="s">
        <v>206</v>
      </c>
      <c r="BU62" s="3" t="s">
        <v>201</v>
      </c>
      <c r="BV62" s="3" t="s">
        <v>201</v>
      </c>
      <c r="BW62" s="3" t="s">
        <v>201</v>
      </c>
      <c r="BX62" s="3" t="s">
        <v>201</v>
      </c>
      <c r="BY62" s="3" t="s">
        <v>201</v>
      </c>
      <c r="BZ62" s="3" t="s">
        <v>201</v>
      </c>
      <c r="CA62" s="3" t="s">
        <v>201</v>
      </c>
      <c r="CB62" s="3" t="s">
        <v>201</v>
      </c>
      <c r="CC62" s="3" t="s">
        <v>201</v>
      </c>
      <c r="CD62" s="3" t="s">
        <v>201</v>
      </c>
      <c r="CE62" s="3" t="s">
        <v>201</v>
      </c>
      <c r="CF62" s="3" t="s">
        <v>201</v>
      </c>
      <c r="CG62" s="3"/>
      <c r="CH62" s="3" t="s">
        <v>207</v>
      </c>
      <c r="CI62" s="3" t="s">
        <v>207</v>
      </c>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t="s">
        <v>236</v>
      </c>
      <c r="DQ62" s="3"/>
      <c r="DR62" s="3"/>
      <c r="DS62" s="3"/>
      <c r="DT62" s="3"/>
      <c r="DU62" s="3"/>
      <c r="DV62" s="3"/>
      <c r="DW62" s="3" t="s">
        <v>207</v>
      </c>
      <c r="DX62" s="3"/>
      <c r="DY62" s="3"/>
      <c r="DZ62" s="3"/>
      <c r="EA62" s="3"/>
      <c r="EB62" s="3"/>
      <c r="EC62" s="3"/>
      <c r="ED62" s="3"/>
      <c r="EE62" s="3"/>
      <c r="EF62" s="3" t="s">
        <v>202</v>
      </c>
      <c r="EG62" s="3" t="s">
        <v>202</v>
      </c>
      <c r="EH62" s="3" t="s">
        <v>204</v>
      </c>
      <c r="EI62" s="3" t="s">
        <v>202</v>
      </c>
      <c r="EJ62" s="3" t="s">
        <v>201</v>
      </c>
      <c r="EK62" s="3" t="s">
        <v>205</v>
      </c>
      <c r="EL62" s="3" t="s">
        <v>204</v>
      </c>
      <c r="EM62" s="3"/>
      <c r="EN62" s="3"/>
      <c r="EO62" s="3"/>
      <c r="EP62" s="3"/>
      <c r="EQ62" s="3" t="s">
        <v>205</v>
      </c>
      <c r="ER62" s="3" t="s">
        <v>205</v>
      </c>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t="s">
        <v>201</v>
      </c>
      <c r="FZ62" s="3" t="s">
        <v>201</v>
      </c>
      <c r="GA62" s="3" t="s">
        <v>201</v>
      </c>
      <c r="GB62" s="3" t="s">
        <v>201</v>
      </c>
      <c r="GC62" s="3" t="s">
        <v>204</v>
      </c>
      <c r="GD62" s="3"/>
      <c r="GE62" s="3" t="s">
        <v>202</v>
      </c>
      <c r="GF62" s="3" t="s">
        <v>201</v>
      </c>
      <c r="GG62" s="3" t="s">
        <v>203</v>
      </c>
      <c r="GH62" s="3" t="s">
        <v>201</v>
      </c>
      <c r="GI62" s="3" t="s">
        <v>202</v>
      </c>
      <c r="GJ62" s="3" t="s">
        <v>201</v>
      </c>
      <c r="GK62" s="3"/>
      <c r="GL62" s="5">
        <f>DATE(2025,5,23)+TIME(10,57,6)</f>
        <v>45800.456319444442</v>
      </c>
    </row>
    <row r="63" spans="1:194" s="9" customFormat="1" ht="236.25" x14ac:dyDescent="0.25">
      <c r="A63" s="8" t="s">
        <v>375</v>
      </c>
      <c r="B63" s="8" t="s">
        <v>376</v>
      </c>
      <c r="C63" s="8" t="s">
        <v>377</v>
      </c>
      <c r="D63" s="8" t="s">
        <v>529</v>
      </c>
      <c r="E63" s="8"/>
      <c r="F63" s="8" t="s">
        <v>198</v>
      </c>
      <c r="G63" s="6"/>
      <c r="H63" s="6"/>
      <c r="I63" s="6"/>
      <c r="J63" s="6"/>
      <c r="K63" s="6" t="s">
        <v>379</v>
      </c>
      <c r="L63" s="6"/>
      <c r="M63" s="6"/>
      <c r="N63" s="6"/>
      <c r="O63" s="6"/>
      <c r="P63" s="6"/>
      <c r="Q63" s="6"/>
      <c r="R63" s="6"/>
      <c r="S63" s="6"/>
      <c r="T63" s="6"/>
      <c r="U63" s="6"/>
      <c r="V63" s="6"/>
      <c r="W63" s="6"/>
      <c r="X63" s="6"/>
      <c r="Y63" s="6"/>
      <c r="Z63" s="6"/>
      <c r="AA63" s="6"/>
      <c r="AB63" s="6"/>
      <c r="AC63" s="6"/>
      <c r="AD63" s="6"/>
      <c r="AE63" s="6"/>
      <c r="AF63" s="9" t="s">
        <v>379</v>
      </c>
      <c r="AG63" s="8" t="s">
        <v>213</v>
      </c>
      <c r="AH63" s="8" t="s">
        <v>201</v>
      </c>
      <c r="AI63" s="8" t="s">
        <v>201</v>
      </c>
      <c r="AJ63" s="8" t="s">
        <v>202</v>
      </c>
      <c r="AK63" s="8" t="s">
        <v>201</v>
      </c>
      <c r="AL63" s="8" t="s">
        <v>201</v>
      </c>
      <c r="AM63" s="8" t="s">
        <v>201</v>
      </c>
      <c r="AN63" s="8" t="s">
        <v>202</v>
      </c>
      <c r="AO63" s="8" t="s">
        <v>201</v>
      </c>
      <c r="AP63" s="8" t="s">
        <v>201</v>
      </c>
      <c r="AQ63" s="8" t="s">
        <v>201</v>
      </c>
      <c r="AR63" s="8" t="s">
        <v>201</v>
      </c>
      <c r="AS63" s="8"/>
      <c r="AT63" s="8" t="s">
        <v>202</v>
      </c>
      <c r="AU63" s="8" t="s">
        <v>202</v>
      </c>
      <c r="AV63" s="8" t="s">
        <v>202</v>
      </c>
      <c r="AW63" s="8" t="s">
        <v>201</v>
      </c>
      <c r="AX63" s="8" t="s">
        <v>201</v>
      </c>
      <c r="AY63" s="8" t="s">
        <v>202</v>
      </c>
      <c r="AZ63" s="8" t="s">
        <v>202</v>
      </c>
      <c r="BA63" s="8" t="s">
        <v>202</v>
      </c>
      <c r="BB63" s="8" t="s">
        <v>201</v>
      </c>
      <c r="BC63" s="8" t="s">
        <v>201</v>
      </c>
      <c r="BD63" s="8" t="s">
        <v>202</v>
      </c>
      <c r="BE63" s="8" t="s">
        <v>203</v>
      </c>
      <c r="BF63" s="8" t="s">
        <v>202</v>
      </c>
      <c r="BG63" s="8" t="s">
        <v>201</v>
      </c>
      <c r="BH63" s="8" t="s">
        <v>201</v>
      </c>
      <c r="BI63" s="8" t="s">
        <v>202</v>
      </c>
      <c r="BJ63" s="8" t="s">
        <v>201</v>
      </c>
      <c r="BK63" s="8" t="s">
        <v>203</v>
      </c>
      <c r="BL63" s="8" t="s">
        <v>201</v>
      </c>
      <c r="BM63" s="8" t="s">
        <v>201</v>
      </c>
      <c r="BN63" s="8" t="s">
        <v>203</v>
      </c>
      <c r="BO63" s="8" t="s">
        <v>201</v>
      </c>
      <c r="BP63" s="8" t="s">
        <v>202</v>
      </c>
      <c r="BQ63" s="8" t="s">
        <v>202</v>
      </c>
      <c r="BR63" s="8" t="s">
        <v>204</v>
      </c>
      <c r="BS63" s="8"/>
      <c r="BT63" s="8" t="s">
        <v>210</v>
      </c>
      <c r="BU63" s="8" t="s">
        <v>202</v>
      </c>
      <c r="BV63" s="8" t="s">
        <v>201</v>
      </c>
      <c r="BW63" s="8" t="s">
        <v>201</v>
      </c>
      <c r="BX63" s="8" t="s">
        <v>202</v>
      </c>
      <c r="BY63" s="8" t="s">
        <v>201</v>
      </c>
      <c r="BZ63" s="8" t="s">
        <v>201</v>
      </c>
      <c r="CA63" s="8" t="s">
        <v>202</v>
      </c>
      <c r="CB63" s="8" t="s">
        <v>201</v>
      </c>
      <c r="CC63" s="8" t="s">
        <v>201</v>
      </c>
      <c r="CD63" s="8" t="s">
        <v>202</v>
      </c>
      <c r="CE63" s="8" t="s">
        <v>201</v>
      </c>
      <c r="CF63" s="8" t="s">
        <v>201</v>
      </c>
      <c r="CG63" s="8"/>
      <c r="CH63" s="8" t="s">
        <v>207</v>
      </c>
      <c r="CI63" s="8" t="s">
        <v>207</v>
      </c>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t="s">
        <v>288</v>
      </c>
      <c r="DT63" s="8"/>
      <c r="DU63" s="8"/>
      <c r="DV63" s="8"/>
      <c r="DW63" s="8" t="s">
        <v>208</v>
      </c>
      <c r="DX63" s="8" t="s">
        <v>246</v>
      </c>
      <c r="DY63" s="8"/>
      <c r="DZ63" s="8"/>
      <c r="EA63" s="8"/>
      <c r="EB63" s="8"/>
      <c r="EC63" s="8" t="s">
        <v>203</v>
      </c>
      <c r="ED63" s="8" t="s">
        <v>203</v>
      </c>
      <c r="EE63" s="8" t="s">
        <v>203</v>
      </c>
      <c r="EF63" s="8" t="s">
        <v>203</v>
      </c>
      <c r="EG63" s="8" t="s">
        <v>203</v>
      </c>
      <c r="EH63" s="8" t="s">
        <v>203</v>
      </c>
      <c r="EI63" s="8" t="s">
        <v>203</v>
      </c>
      <c r="EJ63" s="8" t="s">
        <v>202</v>
      </c>
      <c r="EK63" s="8" t="s">
        <v>201</v>
      </c>
      <c r="EL63" s="8" t="s">
        <v>201</v>
      </c>
      <c r="EM63" s="8"/>
      <c r="EN63" s="8"/>
      <c r="EO63" s="8"/>
      <c r="EP63" s="8"/>
      <c r="EQ63" s="8" t="s">
        <v>203</v>
      </c>
      <c r="ER63" s="8" t="s">
        <v>203</v>
      </c>
      <c r="ES63" s="8"/>
      <c r="ET63" s="8" t="s">
        <v>203</v>
      </c>
      <c r="EU63" s="8" t="s">
        <v>205</v>
      </c>
      <c r="EV63" s="8" t="s">
        <v>205</v>
      </c>
      <c r="EW63" s="8" t="s">
        <v>205</v>
      </c>
      <c r="EX63" s="8"/>
      <c r="EY63" s="8" t="s">
        <v>203</v>
      </c>
      <c r="EZ63" s="8" t="s">
        <v>205</v>
      </c>
      <c r="FA63" s="8" t="s">
        <v>203</v>
      </c>
      <c r="FB63" s="8" t="s">
        <v>203</v>
      </c>
      <c r="FC63" s="8" t="s">
        <v>203</v>
      </c>
      <c r="FD63" s="8" t="s">
        <v>204</v>
      </c>
      <c r="FE63" s="8" t="s">
        <v>203</v>
      </c>
      <c r="FF63" s="8" t="s">
        <v>203</v>
      </c>
      <c r="FG63" s="8" t="s">
        <v>203</v>
      </c>
      <c r="FH63" s="8" t="s">
        <v>202</v>
      </c>
      <c r="FI63" s="8" t="s">
        <v>202</v>
      </c>
      <c r="FJ63" s="8" t="s">
        <v>205</v>
      </c>
      <c r="FK63" s="8" t="s">
        <v>205</v>
      </c>
      <c r="FL63" s="8" t="s">
        <v>203</v>
      </c>
      <c r="FM63" s="8" t="s">
        <v>203</v>
      </c>
      <c r="FN63" s="8" t="s">
        <v>204</v>
      </c>
      <c r="FO63" s="8" t="s">
        <v>203</v>
      </c>
      <c r="FP63" s="8" t="s">
        <v>203</v>
      </c>
      <c r="FQ63" s="8" t="s">
        <v>203</v>
      </c>
      <c r="FR63" s="8" t="s">
        <v>202</v>
      </c>
      <c r="FS63" s="8" t="s">
        <v>202</v>
      </c>
      <c r="FT63" s="8" t="s">
        <v>202</v>
      </c>
      <c r="FU63" s="8" t="s">
        <v>204</v>
      </c>
      <c r="FV63" s="8"/>
      <c r="FW63" s="8" t="s">
        <v>210</v>
      </c>
      <c r="FX63" s="8"/>
      <c r="FY63" s="8" t="s">
        <v>202</v>
      </c>
      <c r="FZ63" s="8" t="s">
        <v>201</v>
      </c>
      <c r="GA63" s="8" t="s">
        <v>201</v>
      </c>
      <c r="GB63" s="8" t="s">
        <v>201</v>
      </c>
      <c r="GC63" s="8" t="s">
        <v>204</v>
      </c>
      <c r="GD63" s="8"/>
      <c r="GE63" s="8" t="s">
        <v>201</v>
      </c>
      <c r="GF63" s="8" t="s">
        <v>201</v>
      </c>
      <c r="GG63" s="8" t="s">
        <v>201</v>
      </c>
      <c r="GH63" s="8" t="s">
        <v>201</v>
      </c>
      <c r="GI63" s="8" t="s">
        <v>201</v>
      </c>
      <c r="GJ63" s="8" t="s">
        <v>201</v>
      </c>
      <c r="GK63" s="8" t="s">
        <v>530</v>
      </c>
      <c r="GL63" s="10">
        <f>DATE(2025,7,12)+TIME(9,41,33)</f>
        <v>45850.403854166667</v>
      </c>
    </row>
    <row r="64" spans="1:194" ht="409.5" x14ac:dyDescent="0.25">
      <c r="A64" s="3" t="s">
        <v>304</v>
      </c>
      <c r="B64" s="3" t="s">
        <v>305</v>
      </c>
      <c r="C64" s="3" t="s">
        <v>306</v>
      </c>
      <c r="D64" s="3" t="s">
        <v>531</v>
      </c>
      <c r="E64" s="3"/>
      <c r="F64" s="3" t="s">
        <v>269</v>
      </c>
      <c r="G64" s="3"/>
      <c r="H64" s="3"/>
      <c r="I64" s="3"/>
      <c r="J64" s="3"/>
      <c r="K64" s="3"/>
      <c r="L64" s="3"/>
      <c r="M64" s="3"/>
      <c r="N64" s="3"/>
      <c r="O64" s="3"/>
      <c r="P64" s="3"/>
      <c r="Q64" s="3"/>
      <c r="R64" s="3"/>
      <c r="S64" s="3"/>
      <c r="T64" s="3"/>
      <c r="U64" s="3"/>
      <c r="V64" s="3"/>
      <c r="W64" s="3" t="s">
        <v>532</v>
      </c>
      <c r="X64" s="3"/>
      <c r="Y64" s="3"/>
      <c r="Z64" s="3"/>
      <c r="AA64" s="3"/>
      <c r="AB64" s="3"/>
      <c r="AC64" s="3"/>
      <c r="AD64" s="3"/>
      <c r="AE64" s="3"/>
      <c r="AF64" s="4" t="s">
        <v>532</v>
      </c>
      <c r="AG64" s="3" t="s">
        <v>200</v>
      </c>
      <c r="AH64" s="3" t="s">
        <v>203</v>
      </c>
      <c r="AI64" s="3" t="s">
        <v>203</v>
      </c>
      <c r="AJ64" s="3" t="s">
        <v>203</v>
      </c>
      <c r="AK64" s="3" t="s">
        <v>203</v>
      </c>
      <c r="AL64" s="3" t="s">
        <v>203</v>
      </c>
      <c r="AM64" s="3" t="s">
        <v>204</v>
      </c>
      <c r="AN64" s="3" t="s">
        <v>205</v>
      </c>
      <c r="AO64" s="3" t="s">
        <v>203</v>
      </c>
      <c r="AP64" s="3" t="s">
        <v>203</v>
      </c>
      <c r="AQ64" s="3" t="s">
        <v>203</v>
      </c>
      <c r="AR64" s="3" t="s">
        <v>203</v>
      </c>
      <c r="AS64" s="3"/>
      <c r="AT64" s="3" t="s">
        <v>203</v>
      </c>
      <c r="AU64" s="3" t="s">
        <v>203</v>
      </c>
      <c r="AV64" s="3" t="s">
        <v>203</v>
      </c>
      <c r="AW64" s="3" t="s">
        <v>203</v>
      </c>
      <c r="AX64" s="3" t="s">
        <v>203</v>
      </c>
      <c r="AY64" s="3" t="s">
        <v>203</v>
      </c>
      <c r="AZ64" s="3" t="s">
        <v>203</v>
      </c>
      <c r="BA64" s="3" t="s">
        <v>202</v>
      </c>
      <c r="BB64" s="3" t="s">
        <v>203</v>
      </c>
      <c r="BC64" s="3" t="s">
        <v>203</v>
      </c>
      <c r="BD64" s="3" t="s">
        <v>203</v>
      </c>
      <c r="BE64" s="3" t="s">
        <v>203</v>
      </c>
      <c r="BF64" s="3" t="s">
        <v>202</v>
      </c>
      <c r="BG64" s="3" t="s">
        <v>203</v>
      </c>
      <c r="BH64" s="3" t="s">
        <v>203</v>
      </c>
      <c r="BI64" s="3" t="s">
        <v>203</v>
      </c>
      <c r="BJ64" s="3" t="s">
        <v>203</v>
      </c>
      <c r="BK64" s="3" t="s">
        <v>202</v>
      </c>
      <c r="BL64" s="3" t="s">
        <v>203</v>
      </c>
      <c r="BM64" s="3" t="s">
        <v>203</v>
      </c>
      <c r="BN64" s="3" t="s">
        <v>203</v>
      </c>
      <c r="BO64" s="3" t="s">
        <v>203</v>
      </c>
      <c r="BP64" s="3" t="s">
        <v>205</v>
      </c>
      <c r="BQ64" s="3" t="s">
        <v>205</v>
      </c>
      <c r="BR64" s="3" t="s">
        <v>205</v>
      </c>
      <c r="BS64" s="3"/>
      <c r="BT64" s="3" t="s">
        <v>271</v>
      </c>
      <c r="BU64" s="3" t="s">
        <v>203</v>
      </c>
      <c r="BV64" s="3" t="s">
        <v>205</v>
      </c>
      <c r="BW64" s="3" t="s">
        <v>203</v>
      </c>
      <c r="BX64" s="3" t="s">
        <v>202</v>
      </c>
      <c r="BY64" s="3" t="s">
        <v>205</v>
      </c>
      <c r="BZ64" s="3" t="s">
        <v>202</v>
      </c>
      <c r="CA64" s="3" t="s">
        <v>203</v>
      </c>
      <c r="CB64" s="3" t="s">
        <v>205</v>
      </c>
      <c r="CC64" s="3" t="s">
        <v>203</v>
      </c>
      <c r="CD64" s="3" t="s">
        <v>203</v>
      </c>
      <c r="CE64" s="3" t="s">
        <v>205</v>
      </c>
      <c r="CF64" s="3" t="s">
        <v>203</v>
      </c>
      <c r="CG64" s="3"/>
      <c r="CH64" s="3" t="s">
        <v>207</v>
      </c>
      <c r="CI64" s="3" t="s">
        <v>207</v>
      </c>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t="s">
        <v>236</v>
      </c>
      <c r="DQ64" s="3" t="s">
        <v>237</v>
      </c>
      <c r="DR64" s="3"/>
      <c r="DS64" s="3"/>
      <c r="DT64" s="3"/>
      <c r="DU64" s="3"/>
      <c r="DV64" s="3" t="s">
        <v>533</v>
      </c>
      <c r="DW64" s="3" t="s">
        <v>207</v>
      </c>
      <c r="DX64" s="3"/>
      <c r="DY64" s="3"/>
      <c r="DZ64" s="3"/>
      <c r="EA64" s="3"/>
      <c r="EB64" s="3"/>
      <c r="EC64" s="3"/>
      <c r="ED64" s="3"/>
      <c r="EE64" s="3"/>
      <c r="EF64" s="3" t="s">
        <v>201</v>
      </c>
      <c r="EG64" s="3" t="s">
        <v>203</v>
      </c>
      <c r="EH64" s="3" t="s">
        <v>203</v>
      </c>
      <c r="EI64" s="3" t="s">
        <v>201</v>
      </c>
      <c r="EJ64" s="3" t="s">
        <v>201</v>
      </c>
      <c r="EK64" s="3" t="s">
        <v>201</v>
      </c>
      <c r="EL64" s="3" t="s">
        <v>202</v>
      </c>
      <c r="EM64" s="3"/>
      <c r="EN64" s="3"/>
      <c r="EO64" s="3"/>
      <c r="EP64" s="3"/>
      <c r="EQ64" s="3" t="s">
        <v>203</v>
      </c>
      <c r="ER64" s="3" t="s">
        <v>203</v>
      </c>
      <c r="ES64" s="3"/>
      <c r="ET64" s="3" t="s">
        <v>205</v>
      </c>
      <c r="EU64" s="3" t="s">
        <v>205</v>
      </c>
      <c r="EV64" s="3" t="s">
        <v>205</v>
      </c>
      <c r="EW64" s="3" t="s">
        <v>205</v>
      </c>
      <c r="EX64" s="3"/>
      <c r="EY64" s="3" t="s">
        <v>203</v>
      </c>
      <c r="EZ64" s="3" t="s">
        <v>203</v>
      </c>
      <c r="FA64" s="3" t="s">
        <v>202</v>
      </c>
      <c r="FB64" s="3" t="s">
        <v>203</v>
      </c>
      <c r="FC64" s="3" t="s">
        <v>203</v>
      </c>
      <c r="FD64" s="3" t="s">
        <v>203</v>
      </c>
      <c r="FE64" s="3" t="s">
        <v>204</v>
      </c>
      <c r="FF64" s="3" t="s">
        <v>204</v>
      </c>
      <c r="FG64" s="3" t="s">
        <v>204</v>
      </c>
      <c r="FH64" s="3" t="s">
        <v>205</v>
      </c>
      <c r="FI64" s="3" t="s">
        <v>203</v>
      </c>
      <c r="FJ64" s="3" t="s">
        <v>203</v>
      </c>
      <c r="FK64" s="3" t="s">
        <v>205</v>
      </c>
      <c r="FL64" s="3" t="s">
        <v>203</v>
      </c>
      <c r="FM64" s="3" t="s">
        <v>205</v>
      </c>
      <c r="FN64" s="3" t="s">
        <v>205</v>
      </c>
      <c r="FO64" s="3" t="s">
        <v>205</v>
      </c>
      <c r="FP64" s="3" t="s">
        <v>205</v>
      </c>
      <c r="FQ64" s="3" t="s">
        <v>205</v>
      </c>
      <c r="FR64" s="3" t="s">
        <v>205</v>
      </c>
      <c r="FS64" s="3" t="s">
        <v>205</v>
      </c>
      <c r="FT64" s="3" t="s">
        <v>205</v>
      </c>
      <c r="FU64" s="3" t="s">
        <v>205</v>
      </c>
      <c r="FV64" s="3"/>
      <c r="FW64" s="3" t="s">
        <v>271</v>
      </c>
      <c r="FX64" s="3"/>
      <c r="FY64" s="3" t="s">
        <v>203</v>
      </c>
      <c r="FZ64" s="3" t="s">
        <v>203</v>
      </c>
      <c r="GA64" s="3" t="s">
        <v>203</v>
      </c>
      <c r="GB64" s="3" t="s">
        <v>205</v>
      </c>
      <c r="GC64" s="3" t="s">
        <v>205</v>
      </c>
      <c r="GD64" s="3"/>
      <c r="GE64" s="3" t="s">
        <v>202</v>
      </c>
      <c r="GF64" s="3" t="s">
        <v>203</v>
      </c>
      <c r="GG64" s="3" t="s">
        <v>203</v>
      </c>
      <c r="GH64" s="3" t="s">
        <v>203</v>
      </c>
      <c r="GI64" s="3" t="s">
        <v>202</v>
      </c>
      <c r="GJ64" s="3" t="s">
        <v>202</v>
      </c>
      <c r="GK64" s="3" t="s">
        <v>310</v>
      </c>
      <c r="GL64" s="5">
        <f>DATE(2025,6,6)+TIME(12,48,52)</f>
        <v>45814.533935185187</v>
      </c>
    </row>
    <row r="65" spans="1:194" ht="346.5" x14ac:dyDescent="0.25">
      <c r="A65" s="6" t="s">
        <v>534</v>
      </c>
      <c r="B65" s="6" t="s">
        <v>535</v>
      </c>
      <c r="C65" s="6" t="s">
        <v>536</v>
      </c>
      <c r="D65" s="6" t="s">
        <v>537</v>
      </c>
      <c r="E65" s="6"/>
      <c r="F65" s="6" t="s">
        <v>538</v>
      </c>
      <c r="G65" s="6"/>
      <c r="H65" s="6"/>
      <c r="I65" s="6"/>
      <c r="J65" s="6"/>
      <c r="K65" s="6"/>
      <c r="L65" s="6"/>
      <c r="M65" s="6"/>
      <c r="N65" s="6"/>
      <c r="O65" s="6"/>
      <c r="P65" s="6"/>
      <c r="Q65" s="6"/>
      <c r="R65" s="6" t="s">
        <v>539</v>
      </c>
      <c r="S65" s="6"/>
      <c r="T65" s="6"/>
      <c r="U65" s="6"/>
      <c r="V65" s="6"/>
      <c r="W65" s="6"/>
      <c r="X65" s="6"/>
      <c r="Y65" s="6"/>
      <c r="Z65" s="6"/>
      <c r="AA65" s="6"/>
      <c r="AB65" s="6"/>
      <c r="AC65" s="6"/>
      <c r="AD65" s="6"/>
      <c r="AE65" s="6"/>
      <c r="AF65" s="4" t="s">
        <v>539</v>
      </c>
      <c r="AG65" s="6" t="s">
        <v>235</v>
      </c>
      <c r="AH65" s="6" t="s">
        <v>202</v>
      </c>
      <c r="AI65" s="6" t="s">
        <v>202</v>
      </c>
      <c r="AJ65" s="6" t="s">
        <v>202</v>
      </c>
      <c r="AK65" s="6" t="s">
        <v>202</v>
      </c>
      <c r="AL65" s="6" t="s">
        <v>204</v>
      </c>
      <c r="AM65" s="6" t="s">
        <v>204</v>
      </c>
      <c r="AN65" s="6" t="s">
        <v>202</v>
      </c>
      <c r="AO65" s="6" t="s">
        <v>204</v>
      </c>
      <c r="AP65" s="6" t="s">
        <v>204</v>
      </c>
      <c r="AQ65" s="6" t="s">
        <v>202</v>
      </c>
      <c r="AR65" s="6" t="s">
        <v>201</v>
      </c>
      <c r="AS65" s="6"/>
      <c r="AT65" s="6" t="s">
        <v>204</v>
      </c>
      <c r="AU65" s="6" t="s">
        <v>202</v>
      </c>
      <c r="AV65" s="6" t="s">
        <v>205</v>
      </c>
      <c r="AW65" s="6" t="s">
        <v>203</v>
      </c>
      <c r="AX65" s="6" t="s">
        <v>203</v>
      </c>
      <c r="AY65" s="6" t="s">
        <v>201</v>
      </c>
      <c r="AZ65" s="6" t="s">
        <v>202</v>
      </c>
      <c r="BA65" s="6" t="s">
        <v>203</v>
      </c>
      <c r="BB65" s="6" t="s">
        <v>202</v>
      </c>
      <c r="BC65" s="6" t="s">
        <v>202</v>
      </c>
      <c r="BD65" s="6" t="s">
        <v>202</v>
      </c>
      <c r="BE65" s="6" t="s">
        <v>205</v>
      </c>
      <c r="BF65" s="6" t="s">
        <v>205</v>
      </c>
      <c r="BG65" s="6" t="s">
        <v>202</v>
      </c>
      <c r="BH65" s="6" t="s">
        <v>204</v>
      </c>
      <c r="BI65" s="6" t="s">
        <v>201</v>
      </c>
      <c r="BJ65" s="6" t="s">
        <v>202</v>
      </c>
      <c r="BK65" s="6" t="s">
        <v>203</v>
      </c>
      <c r="BL65" s="6" t="s">
        <v>202</v>
      </c>
      <c r="BM65" s="6" t="s">
        <v>202</v>
      </c>
      <c r="BN65" s="6" t="s">
        <v>202</v>
      </c>
      <c r="BO65" s="6" t="s">
        <v>202</v>
      </c>
      <c r="BP65" s="6" t="s">
        <v>204</v>
      </c>
      <c r="BQ65" s="6" t="s">
        <v>204</v>
      </c>
      <c r="BR65" s="6" t="s">
        <v>204</v>
      </c>
      <c r="BS65" s="6"/>
      <c r="BT65" s="6" t="s">
        <v>206</v>
      </c>
      <c r="BU65" s="6" t="s">
        <v>201</v>
      </c>
      <c r="BV65" s="6" t="s">
        <v>201</v>
      </c>
      <c r="BW65" s="6" t="s">
        <v>201</v>
      </c>
      <c r="BX65" s="6" t="s">
        <v>202</v>
      </c>
      <c r="BY65" s="6" t="s">
        <v>202</v>
      </c>
      <c r="BZ65" s="6" t="s">
        <v>202</v>
      </c>
      <c r="CA65" s="6" t="s">
        <v>202</v>
      </c>
      <c r="CB65" s="6" t="s">
        <v>202</v>
      </c>
      <c r="CC65" s="6" t="s">
        <v>202</v>
      </c>
      <c r="CD65" s="6" t="s">
        <v>202</v>
      </c>
      <c r="CE65" s="6" t="s">
        <v>202</v>
      </c>
      <c r="CF65" s="6" t="s">
        <v>202</v>
      </c>
      <c r="CG65" s="6"/>
      <c r="CH65" s="6" t="s">
        <v>207</v>
      </c>
      <c r="CI65" s="6" t="s">
        <v>207</v>
      </c>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t="s">
        <v>236</v>
      </c>
      <c r="DQ65" s="6"/>
      <c r="DR65" s="6"/>
      <c r="DS65" s="6"/>
      <c r="DT65" s="6"/>
      <c r="DU65" s="6"/>
      <c r="DV65" s="6"/>
      <c r="DW65" s="6" t="s">
        <v>207</v>
      </c>
      <c r="DX65" s="6"/>
      <c r="DY65" s="6"/>
      <c r="DZ65" s="6"/>
      <c r="EA65" s="6"/>
      <c r="EB65" s="6"/>
      <c r="EC65" s="6"/>
      <c r="ED65" s="6"/>
      <c r="EE65" s="6"/>
      <c r="EF65" s="6" t="s">
        <v>201</v>
      </c>
      <c r="EG65" s="6" t="s">
        <v>203</v>
      </c>
      <c r="EH65" s="6" t="s">
        <v>203</v>
      </c>
      <c r="EI65" s="6" t="s">
        <v>201</v>
      </c>
      <c r="EJ65" s="6" t="s">
        <v>205</v>
      </c>
      <c r="EK65" s="6" t="s">
        <v>205</v>
      </c>
      <c r="EL65" s="6" t="s">
        <v>205</v>
      </c>
      <c r="EM65" s="6"/>
      <c r="EN65" s="6"/>
      <c r="EO65" s="6"/>
      <c r="EP65" s="6"/>
      <c r="EQ65" s="6" t="s">
        <v>205</v>
      </c>
      <c r="ER65" s="6" t="s">
        <v>205</v>
      </c>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t="s">
        <v>203</v>
      </c>
      <c r="FZ65" s="6" t="s">
        <v>202</v>
      </c>
      <c r="GA65" s="6" t="s">
        <v>201</v>
      </c>
      <c r="GB65" s="6" t="s">
        <v>202</v>
      </c>
      <c r="GC65" s="6"/>
      <c r="GD65" s="6"/>
      <c r="GE65" s="6" t="s">
        <v>204</v>
      </c>
      <c r="GF65" s="6" t="s">
        <v>204</v>
      </c>
      <c r="GG65" s="6" t="s">
        <v>204</v>
      </c>
      <c r="GH65" s="6" t="s">
        <v>204</v>
      </c>
      <c r="GI65" s="6" t="s">
        <v>204</v>
      </c>
      <c r="GJ65" s="6" t="s">
        <v>204</v>
      </c>
      <c r="GK65" s="6" t="s">
        <v>540</v>
      </c>
      <c r="GL65" s="7">
        <f>DATE(2025,6,4)+TIME(14,5,14)</f>
        <v>45812.586967592593</v>
      </c>
    </row>
    <row r="66" spans="1:194" s="9" customFormat="1" ht="110.25" x14ac:dyDescent="0.25">
      <c r="A66" s="8" t="s">
        <v>404</v>
      </c>
      <c r="B66" s="8" t="s">
        <v>405</v>
      </c>
      <c r="C66" s="8" t="s">
        <v>406</v>
      </c>
      <c r="D66" s="8" t="s">
        <v>541</v>
      </c>
      <c r="E66" s="8"/>
      <c r="F66" s="8" t="s">
        <v>408</v>
      </c>
      <c r="G66" s="3"/>
      <c r="H66" s="3"/>
      <c r="I66" s="3"/>
      <c r="J66" s="3"/>
      <c r="K66" s="3"/>
      <c r="L66" s="3" t="s">
        <v>409</v>
      </c>
      <c r="M66" s="3"/>
      <c r="N66" s="3"/>
      <c r="O66" s="3"/>
      <c r="P66" s="3"/>
      <c r="Q66" s="3"/>
      <c r="R66" s="3"/>
      <c r="S66" s="3"/>
      <c r="T66" s="3"/>
      <c r="U66" s="3"/>
      <c r="V66" s="3"/>
      <c r="W66" s="3"/>
      <c r="X66" s="3"/>
      <c r="Y66" s="3"/>
      <c r="Z66" s="3"/>
      <c r="AA66" s="3"/>
      <c r="AB66" s="3"/>
      <c r="AC66" s="3"/>
      <c r="AD66" s="3"/>
      <c r="AE66" s="3"/>
      <c r="AF66" s="9" t="s">
        <v>409</v>
      </c>
      <c r="AG66" s="8" t="s">
        <v>235</v>
      </c>
      <c r="AH66" s="8" t="s">
        <v>202</v>
      </c>
      <c r="AI66" s="8" t="s">
        <v>203</v>
      </c>
      <c r="AJ66" s="8" t="s">
        <v>204</v>
      </c>
      <c r="AK66" s="8" t="s">
        <v>202</v>
      </c>
      <c r="AL66" s="8" t="s">
        <v>202</v>
      </c>
      <c r="AM66" s="8" t="s">
        <v>204</v>
      </c>
      <c r="AN66" s="8" t="s">
        <v>204</v>
      </c>
      <c r="AO66" s="8" t="s">
        <v>203</v>
      </c>
      <c r="AP66" s="8" t="s">
        <v>203</v>
      </c>
      <c r="AQ66" s="8" t="s">
        <v>204</v>
      </c>
      <c r="AR66" s="8" t="s">
        <v>202</v>
      </c>
      <c r="AS66" s="8"/>
      <c r="AT66" s="8" t="s">
        <v>205</v>
      </c>
      <c r="AU66" s="8" t="s">
        <v>203</v>
      </c>
      <c r="AV66" s="8" t="s">
        <v>203</v>
      </c>
      <c r="AW66" s="8" t="s">
        <v>202</v>
      </c>
      <c r="AX66" s="8" t="s">
        <v>203</v>
      </c>
      <c r="AY66" s="8" t="s">
        <v>204</v>
      </c>
      <c r="AZ66" s="8" t="s">
        <v>202</v>
      </c>
      <c r="BA66" s="8" t="s">
        <v>203</v>
      </c>
      <c r="BB66" s="8" t="s">
        <v>203</v>
      </c>
      <c r="BC66" s="8" t="s">
        <v>205</v>
      </c>
      <c r="BD66" s="8" t="s">
        <v>203</v>
      </c>
      <c r="BE66" s="8" t="s">
        <v>204</v>
      </c>
      <c r="BF66" s="8" t="s">
        <v>204</v>
      </c>
      <c r="BG66" s="8" t="s">
        <v>204</v>
      </c>
      <c r="BH66" s="8" t="s">
        <v>204</v>
      </c>
      <c r="BI66" s="8" t="s">
        <v>204</v>
      </c>
      <c r="BJ66" s="8" t="s">
        <v>203</v>
      </c>
      <c r="BK66" s="8" t="s">
        <v>205</v>
      </c>
      <c r="BL66" s="8" t="s">
        <v>203</v>
      </c>
      <c r="BM66" s="8" t="s">
        <v>205</v>
      </c>
      <c r="BN66" s="8" t="s">
        <v>204</v>
      </c>
      <c r="BO66" s="8" t="s">
        <v>202</v>
      </c>
      <c r="BP66" s="8" t="s">
        <v>202</v>
      </c>
      <c r="BQ66" s="8" t="s">
        <v>204</v>
      </c>
      <c r="BR66" s="8" t="s">
        <v>204</v>
      </c>
      <c r="BS66" s="8"/>
      <c r="BT66" s="8" t="s">
        <v>206</v>
      </c>
      <c r="BU66" s="8" t="s">
        <v>201</v>
      </c>
      <c r="BV66" s="8" t="s">
        <v>202</v>
      </c>
      <c r="BW66" s="8" t="s">
        <v>201</v>
      </c>
      <c r="BX66" s="8" t="s">
        <v>202</v>
      </c>
      <c r="BY66" s="8" t="s">
        <v>202</v>
      </c>
      <c r="BZ66" s="8" t="s">
        <v>202</v>
      </c>
      <c r="CA66" s="8" t="s">
        <v>202</v>
      </c>
      <c r="CB66" s="8" t="s">
        <v>203</v>
      </c>
      <c r="CC66" s="8" t="s">
        <v>202</v>
      </c>
      <c r="CD66" s="8" t="s">
        <v>202</v>
      </c>
      <c r="CE66" s="8" t="s">
        <v>202</v>
      </c>
      <c r="CF66" s="8" t="s">
        <v>202</v>
      </c>
      <c r="CG66" s="8"/>
      <c r="CH66" s="8" t="s">
        <v>207</v>
      </c>
      <c r="CI66" s="8" t="s">
        <v>207</v>
      </c>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t="s">
        <v>288</v>
      </c>
      <c r="DT66" s="8"/>
      <c r="DU66" s="8" t="s">
        <v>294</v>
      </c>
      <c r="DV66" s="8"/>
      <c r="DW66" s="8" t="s">
        <v>228</v>
      </c>
      <c r="DX66" s="8"/>
      <c r="DY66" s="8"/>
      <c r="DZ66" s="8"/>
      <c r="EA66" s="8"/>
      <c r="EB66" s="8"/>
      <c r="EC66" s="8"/>
      <c r="ED66" s="8"/>
      <c r="EE66" s="8"/>
      <c r="EF66" s="8" t="s">
        <v>204</v>
      </c>
      <c r="EG66" s="8" t="s">
        <v>202</v>
      </c>
      <c r="EH66" s="8" t="s">
        <v>204</v>
      </c>
      <c r="EI66" s="8" t="s">
        <v>201</v>
      </c>
      <c r="EJ66" s="8" t="s">
        <v>202</v>
      </c>
      <c r="EK66" s="8" t="s">
        <v>201</v>
      </c>
      <c r="EL66" s="8" t="s">
        <v>202</v>
      </c>
      <c r="EM66" s="8"/>
      <c r="EN66" s="8"/>
      <c r="EO66" s="8"/>
      <c r="EP66" s="8"/>
      <c r="EQ66" s="8" t="s">
        <v>203</v>
      </c>
      <c r="ER66" s="8" t="s">
        <v>203</v>
      </c>
      <c r="ES66" s="8"/>
      <c r="ET66" s="8" t="s">
        <v>202</v>
      </c>
      <c r="EU66" s="8" t="s">
        <v>204</v>
      </c>
      <c r="EV66" s="8" t="s">
        <v>204</v>
      </c>
      <c r="EW66" s="8" t="s">
        <v>204</v>
      </c>
      <c r="EX66" s="8"/>
      <c r="EY66" s="8" t="s">
        <v>202</v>
      </c>
      <c r="EZ66" s="8" t="s">
        <v>205</v>
      </c>
      <c r="FA66" s="8" t="s">
        <v>202</v>
      </c>
      <c r="FB66" s="8" t="s">
        <v>204</v>
      </c>
      <c r="FC66" s="8" t="s">
        <v>204</v>
      </c>
      <c r="FD66" s="8" t="s">
        <v>204</v>
      </c>
      <c r="FE66" s="8" t="s">
        <v>204</v>
      </c>
      <c r="FF66" s="8" t="s">
        <v>204</v>
      </c>
      <c r="FG66" s="8" t="s">
        <v>204</v>
      </c>
      <c r="FH66" s="8" t="s">
        <v>204</v>
      </c>
      <c r="FI66" s="8" t="s">
        <v>204</v>
      </c>
      <c r="FJ66" s="8" t="s">
        <v>204</v>
      </c>
      <c r="FK66" s="8" t="s">
        <v>204</v>
      </c>
      <c r="FL66" s="8" t="s">
        <v>204</v>
      </c>
      <c r="FM66" s="8" t="s">
        <v>204</v>
      </c>
      <c r="FN66" s="8" t="s">
        <v>204</v>
      </c>
      <c r="FO66" s="8" t="s">
        <v>204</v>
      </c>
      <c r="FP66" s="8" t="s">
        <v>204</v>
      </c>
      <c r="FQ66" s="8" t="s">
        <v>204</v>
      </c>
      <c r="FR66" s="8" t="s">
        <v>204</v>
      </c>
      <c r="FS66" s="8" t="s">
        <v>204</v>
      </c>
      <c r="FT66" s="8" t="s">
        <v>204</v>
      </c>
      <c r="FU66" s="8" t="s">
        <v>204</v>
      </c>
      <c r="FV66" s="8"/>
      <c r="FW66" s="8" t="s">
        <v>238</v>
      </c>
      <c r="FX66" s="8"/>
      <c r="FY66" s="8" t="s">
        <v>202</v>
      </c>
      <c r="FZ66" s="8" t="s">
        <v>202</v>
      </c>
      <c r="GA66" s="8" t="s">
        <v>201</v>
      </c>
      <c r="GB66" s="8" t="s">
        <v>203</v>
      </c>
      <c r="GC66" s="8"/>
      <c r="GD66" s="8"/>
      <c r="GE66" s="8" t="s">
        <v>202</v>
      </c>
      <c r="GF66" s="8" t="s">
        <v>201</v>
      </c>
      <c r="GG66" s="8" t="s">
        <v>202</v>
      </c>
      <c r="GH66" s="8" t="s">
        <v>201</v>
      </c>
      <c r="GI66" s="8" t="s">
        <v>202</v>
      </c>
      <c r="GJ66" s="8" t="s">
        <v>201</v>
      </c>
      <c r="GK66" s="8"/>
      <c r="GL66" s="10">
        <f>DATE(2025,6,12)+TIME(15,18,0)</f>
        <v>45820.637499999997</v>
      </c>
    </row>
    <row r="67" spans="1:194" ht="220.5" x14ac:dyDescent="0.25">
      <c r="A67" s="6" t="s">
        <v>252</v>
      </c>
      <c r="B67" s="6" t="s">
        <v>542</v>
      </c>
      <c r="C67" s="6" t="s">
        <v>543</v>
      </c>
      <c r="D67" s="6" t="s">
        <v>544</v>
      </c>
      <c r="E67" s="6"/>
      <c r="F67" s="6" t="s">
        <v>545</v>
      </c>
      <c r="G67" s="6"/>
      <c r="H67" s="6"/>
      <c r="I67" s="6"/>
      <c r="J67" s="6"/>
      <c r="K67" s="6"/>
      <c r="L67" s="6"/>
      <c r="M67" s="6"/>
      <c r="N67" s="6"/>
      <c r="O67" s="6"/>
      <c r="P67" s="6"/>
      <c r="Q67" s="6"/>
      <c r="R67" s="6"/>
      <c r="S67" s="6"/>
      <c r="T67" s="6"/>
      <c r="U67" s="6"/>
      <c r="V67" s="6"/>
      <c r="W67" s="6"/>
      <c r="X67" s="6"/>
      <c r="Y67" s="6"/>
      <c r="Z67" s="6"/>
      <c r="AA67" s="6"/>
      <c r="AB67" s="6"/>
      <c r="AC67" s="6"/>
      <c r="AD67" s="6"/>
      <c r="AE67" s="6" t="s">
        <v>546</v>
      </c>
      <c r="AF67" s="4" t="s">
        <v>546</v>
      </c>
      <c r="AG67" s="6" t="s">
        <v>200</v>
      </c>
      <c r="AH67" s="6" t="s">
        <v>205</v>
      </c>
      <c r="AI67" s="6" t="s">
        <v>205</v>
      </c>
      <c r="AJ67" s="6" t="s">
        <v>204</v>
      </c>
      <c r="AK67" s="6" t="s">
        <v>204</v>
      </c>
      <c r="AL67" s="6" t="s">
        <v>204</v>
      </c>
      <c r="AM67" s="6" t="s">
        <v>204</v>
      </c>
      <c r="AN67" s="6" t="s">
        <v>204</v>
      </c>
      <c r="AO67" s="6" t="s">
        <v>204</v>
      </c>
      <c r="AP67" s="6" t="s">
        <v>204</v>
      </c>
      <c r="AQ67" s="6" t="s">
        <v>204</v>
      </c>
      <c r="AR67" s="6" t="s">
        <v>205</v>
      </c>
      <c r="AS67" s="6"/>
      <c r="AT67" s="6" t="s">
        <v>203</v>
      </c>
      <c r="AU67" s="6" t="s">
        <v>203</v>
      </c>
      <c r="AV67" s="6" t="s">
        <v>203</v>
      </c>
      <c r="AW67" s="6" t="s">
        <v>205</v>
      </c>
      <c r="AX67" s="6" t="s">
        <v>205</v>
      </c>
      <c r="AY67" s="6" t="s">
        <v>204</v>
      </c>
      <c r="AZ67" s="6" t="s">
        <v>203</v>
      </c>
      <c r="BA67" s="6" t="s">
        <v>202</v>
      </c>
      <c r="BB67" s="6" t="s">
        <v>205</v>
      </c>
      <c r="BC67" s="6" t="s">
        <v>205</v>
      </c>
      <c r="BD67" s="6" t="s">
        <v>204</v>
      </c>
      <c r="BE67" s="6" t="s">
        <v>204</v>
      </c>
      <c r="BF67" s="6" t="s">
        <v>204</v>
      </c>
      <c r="BG67" s="6" t="s">
        <v>204</v>
      </c>
      <c r="BH67" s="6" t="s">
        <v>204</v>
      </c>
      <c r="BI67" s="6" t="s">
        <v>204</v>
      </c>
      <c r="BJ67" s="6" t="s">
        <v>203</v>
      </c>
      <c r="BK67" s="6" t="s">
        <v>202</v>
      </c>
      <c r="BL67" s="6" t="s">
        <v>205</v>
      </c>
      <c r="BM67" s="6" t="s">
        <v>205</v>
      </c>
      <c r="BN67" s="6" t="s">
        <v>204</v>
      </c>
      <c r="BO67" s="6" t="s">
        <v>205</v>
      </c>
      <c r="BP67" s="6" t="s">
        <v>205</v>
      </c>
      <c r="BQ67" s="6" t="s">
        <v>204</v>
      </c>
      <c r="BR67" s="6" t="s">
        <v>205</v>
      </c>
      <c r="BS67" s="6"/>
      <c r="BT67" s="6" t="s">
        <v>271</v>
      </c>
      <c r="BU67" s="6" t="s">
        <v>203</v>
      </c>
      <c r="BV67" s="6" t="s">
        <v>205</v>
      </c>
      <c r="BW67" s="6" t="s">
        <v>203</v>
      </c>
      <c r="BX67" s="6" t="s">
        <v>203</v>
      </c>
      <c r="BY67" s="6" t="s">
        <v>205</v>
      </c>
      <c r="BZ67" s="6" t="s">
        <v>203</v>
      </c>
      <c r="CA67" s="6" t="s">
        <v>203</v>
      </c>
      <c r="CB67" s="6" t="s">
        <v>205</v>
      </c>
      <c r="CC67" s="6" t="s">
        <v>203</v>
      </c>
      <c r="CD67" s="6" t="s">
        <v>203</v>
      </c>
      <c r="CE67" s="6" t="s">
        <v>205</v>
      </c>
      <c r="CF67" s="6" t="s">
        <v>203</v>
      </c>
      <c r="CG67" s="6"/>
      <c r="CH67" s="6" t="s">
        <v>207</v>
      </c>
      <c r="CI67" s="6" t="s">
        <v>207</v>
      </c>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t="s">
        <v>236</v>
      </c>
      <c r="DQ67" s="6"/>
      <c r="DR67" s="6"/>
      <c r="DS67" s="6"/>
      <c r="DT67" s="6"/>
      <c r="DU67" s="6"/>
      <c r="DV67" s="6"/>
      <c r="DW67" s="6" t="s">
        <v>207</v>
      </c>
      <c r="DX67" s="6"/>
      <c r="DY67" s="6"/>
      <c r="DZ67" s="6"/>
      <c r="EA67" s="6"/>
      <c r="EB67" s="6"/>
      <c r="EC67" s="6"/>
      <c r="ED67" s="6"/>
      <c r="EE67" s="6"/>
      <c r="EF67" s="6" t="s">
        <v>201</v>
      </c>
      <c r="EG67" s="6" t="s">
        <v>203</v>
      </c>
      <c r="EH67" s="6" t="s">
        <v>205</v>
      </c>
      <c r="EI67" s="6" t="s">
        <v>201</v>
      </c>
      <c r="EJ67" s="6" t="s">
        <v>205</v>
      </c>
      <c r="EK67" s="6" t="s">
        <v>205</v>
      </c>
      <c r="EL67" s="6" t="s">
        <v>205</v>
      </c>
      <c r="EM67" s="6"/>
      <c r="EN67" s="6"/>
      <c r="EO67" s="6"/>
      <c r="EP67" s="6"/>
      <c r="EQ67" s="6" t="s">
        <v>205</v>
      </c>
      <c r="ER67" s="6" t="s">
        <v>205</v>
      </c>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t="s">
        <v>205</v>
      </c>
      <c r="FZ67" s="6" t="s">
        <v>205</v>
      </c>
      <c r="GA67" s="6" t="s">
        <v>202</v>
      </c>
      <c r="GB67" s="6" t="s">
        <v>205</v>
      </c>
      <c r="GC67" s="6" t="s">
        <v>205</v>
      </c>
      <c r="GD67" s="6"/>
      <c r="GE67" s="6" t="s">
        <v>203</v>
      </c>
      <c r="GF67" s="6" t="s">
        <v>203</v>
      </c>
      <c r="GG67" s="6" t="s">
        <v>203</v>
      </c>
      <c r="GH67" s="6" t="s">
        <v>205</v>
      </c>
      <c r="GI67" s="6" t="s">
        <v>201</v>
      </c>
      <c r="GJ67" s="6" t="s">
        <v>202</v>
      </c>
      <c r="GK67" s="6" t="s">
        <v>547</v>
      </c>
      <c r="GL67" s="7">
        <f>DATE(2025,6,6)+TIME(12,45,24)</f>
        <v>45814.531527777777</v>
      </c>
    </row>
    <row r="68" spans="1:194" s="9" customFormat="1" ht="47.25" x14ac:dyDescent="0.25">
      <c r="A68" s="8" t="s">
        <v>229</v>
      </c>
      <c r="B68" s="8" t="s">
        <v>230</v>
      </c>
      <c r="C68" s="8" t="s">
        <v>231</v>
      </c>
      <c r="D68" s="8" t="s">
        <v>548</v>
      </c>
      <c r="E68" s="8"/>
      <c r="F68" s="8" t="s">
        <v>233</v>
      </c>
      <c r="G68" s="3"/>
      <c r="H68" s="3"/>
      <c r="I68" s="3"/>
      <c r="J68" s="3"/>
      <c r="K68" s="3"/>
      <c r="L68" s="3"/>
      <c r="M68" s="3"/>
      <c r="N68" s="3"/>
      <c r="O68" s="3"/>
      <c r="P68" s="3"/>
      <c r="Q68" s="3"/>
      <c r="R68" s="3"/>
      <c r="S68" s="3"/>
      <c r="T68" s="3"/>
      <c r="U68" s="3"/>
      <c r="V68" s="3"/>
      <c r="W68" s="3"/>
      <c r="X68" s="3"/>
      <c r="Y68" s="3"/>
      <c r="Z68" s="3"/>
      <c r="AA68" s="3"/>
      <c r="AB68" s="3" t="s">
        <v>234</v>
      </c>
      <c r="AC68" s="3"/>
      <c r="AD68" s="3"/>
      <c r="AE68" s="3"/>
      <c r="AF68" s="9" t="s">
        <v>234</v>
      </c>
      <c r="AG68" s="8" t="s">
        <v>235</v>
      </c>
      <c r="AH68" s="8" t="s">
        <v>202</v>
      </c>
      <c r="AI68" s="8" t="s">
        <v>203</v>
      </c>
      <c r="AJ68" s="8" t="s">
        <v>203</v>
      </c>
      <c r="AK68" s="8" t="s">
        <v>203</v>
      </c>
      <c r="AL68" s="8" t="s">
        <v>202</v>
      </c>
      <c r="AM68" s="8" t="s">
        <v>205</v>
      </c>
      <c r="AN68" s="8" t="s">
        <v>205</v>
      </c>
      <c r="AO68" s="8" t="s">
        <v>203</v>
      </c>
      <c r="AP68" s="8" t="s">
        <v>202</v>
      </c>
      <c r="AQ68" s="8" t="s">
        <v>203</v>
      </c>
      <c r="AR68" s="8" t="s">
        <v>203</v>
      </c>
      <c r="AS68" s="8"/>
      <c r="AT68" s="8" t="s">
        <v>205</v>
      </c>
      <c r="AU68" s="8" t="s">
        <v>203</v>
      </c>
      <c r="AV68" s="8" t="s">
        <v>203</v>
      </c>
      <c r="AW68" s="8" t="s">
        <v>202</v>
      </c>
      <c r="AX68" s="8" t="s">
        <v>202</v>
      </c>
      <c r="AY68" s="8" t="s">
        <v>201</v>
      </c>
      <c r="AZ68" s="8" t="s">
        <v>202</v>
      </c>
      <c r="BA68" s="8" t="s">
        <v>203</v>
      </c>
      <c r="BB68" s="8" t="s">
        <v>203</v>
      </c>
      <c r="BC68" s="8" t="s">
        <v>203</v>
      </c>
      <c r="BD68" s="8" t="s">
        <v>202</v>
      </c>
      <c r="BE68" s="8" t="s">
        <v>204</v>
      </c>
      <c r="BF68" s="8" t="s">
        <v>204</v>
      </c>
      <c r="BG68" s="8" t="s">
        <v>204</v>
      </c>
      <c r="BH68" s="8" t="s">
        <v>204</v>
      </c>
      <c r="BI68" s="8" t="s">
        <v>204</v>
      </c>
      <c r="BJ68" s="8" t="s">
        <v>202</v>
      </c>
      <c r="BK68" s="8" t="s">
        <v>203</v>
      </c>
      <c r="BL68" s="8" t="s">
        <v>202</v>
      </c>
      <c r="BM68" s="8" t="s">
        <v>203</v>
      </c>
      <c r="BN68" s="8" t="s">
        <v>202</v>
      </c>
      <c r="BO68" s="8" t="s">
        <v>202</v>
      </c>
      <c r="BP68" s="8" t="s">
        <v>203</v>
      </c>
      <c r="BQ68" s="8" t="s">
        <v>202</v>
      </c>
      <c r="BR68" s="8"/>
      <c r="BS68" s="8"/>
      <c r="BT68" s="8" t="s">
        <v>206</v>
      </c>
      <c r="BU68" s="8" t="s">
        <v>202</v>
      </c>
      <c r="BV68" s="8" t="s">
        <v>202</v>
      </c>
      <c r="BW68" s="8" t="s">
        <v>201</v>
      </c>
      <c r="BX68" s="8" t="s">
        <v>203</v>
      </c>
      <c r="BY68" s="8" t="s">
        <v>203</v>
      </c>
      <c r="BZ68" s="8" t="s">
        <v>201</v>
      </c>
      <c r="CA68" s="8" t="s">
        <v>202</v>
      </c>
      <c r="CB68" s="8" t="s">
        <v>202</v>
      </c>
      <c r="CC68" s="8" t="s">
        <v>202</v>
      </c>
      <c r="CD68" s="8" t="s">
        <v>202</v>
      </c>
      <c r="CE68" s="8" t="s">
        <v>202</v>
      </c>
      <c r="CF68" s="8" t="s">
        <v>201</v>
      </c>
      <c r="CG68" s="8"/>
      <c r="CH68" s="8" t="s">
        <v>207</v>
      </c>
      <c r="CI68" s="8" t="s">
        <v>207</v>
      </c>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t="s">
        <v>236</v>
      </c>
      <c r="DQ68" s="8" t="s">
        <v>237</v>
      </c>
      <c r="DR68" s="8"/>
      <c r="DS68" s="8"/>
      <c r="DT68" s="8"/>
      <c r="DU68" s="8"/>
      <c r="DV68" s="8"/>
      <c r="DW68" s="8" t="s">
        <v>228</v>
      </c>
      <c r="DX68" s="8"/>
      <c r="DY68" s="8"/>
      <c r="DZ68" s="8"/>
      <c r="EA68" s="8"/>
      <c r="EB68" s="8"/>
      <c r="EC68" s="8"/>
      <c r="ED68" s="8"/>
      <c r="EE68" s="8"/>
      <c r="EF68" s="8" t="s">
        <v>202</v>
      </c>
      <c r="EG68" s="8" t="s">
        <v>202</v>
      </c>
      <c r="EH68" s="8" t="s">
        <v>202</v>
      </c>
      <c r="EI68" s="8" t="s">
        <v>203</v>
      </c>
      <c r="EJ68" s="8" t="s">
        <v>203</v>
      </c>
      <c r="EK68" s="8" t="s">
        <v>205</v>
      </c>
      <c r="EL68" s="8" t="s">
        <v>203</v>
      </c>
      <c r="EM68" s="8"/>
      <c r="EN68" s="8"/>
      <c r="EO68" s="8"/>
      <c r="EP68" s="8"/>
      <c r="EQ68" s="8" t="s">
        <v>203</v>
      </c>
      <c r="ER68" s="8" t="s">
        <v>202</v>
      </c>
      <c r="ES68" s="8"/>
      <c r="ET68" s="8" t="s">
        <v>204</v>
      </c>
      <c r="EU68" s="8" t="s">
        <v>204</v>
      </c>
      <c r="EV68" s="8" t="s">
        <v>204</v>
      </c>
      <c r="EW68" s="8"/>
      <c r="EX68" s="8"/>
      <c r="EY68" s="8" t="s">
        <v>204</v>
      </c>
      <c r="EZ68" s="8" t="s">
        <v>204</v>
      </c>
      <c r="FA68" s="8" t="s">
        <v>204</v>
      </c>
      <c r="FB68" s="8" t="s">
        <v>204</v>
      </c>
      <c r="FC68" s="8" t="s">
        <v>204</v>
      </c>
      <c r="FD68" s="8" t="s">
        <v>204</v>
      </c>
      <c r="FE68" s="8" t="s">
        <v>204</v>
      </c>
      <c r="FF68" s="8" t="s">
        <v>204</v>
      </c>
      <c r="FG68" s="8" t="s">
        <v>204</v>
      </c>
      <c r="FH68" s="8" t="s">
        <v>203</v>
      </c>
      <c r="FI68" s="8" t="s">
        <v>203</v>
      </c>
      <c r="FJ68" s="8" t="s">
        <v>205</v>
      </c>
      <c r="FK68" s="8" t="s">
        <v>203</v>
      </c>
      <c r="FL68" s="8" t="s">
        <v>203</v>
      </c>
      <c r="FM68" s="8" t="s">
        <v>203</v>
      </c>
      <c r="FN68" s="8" t="s">
        <v>204</v>
      </c>
      <c r="FO68" s="8" t="s">
        <v>204</v>
      </c>
      <c r="FP68" s="8" t="s">
        <v>204</v>
      </c>
      <c r="FQ68" s="8" t="s">
        <v>204</v>
      </c>
      <c r="FR68" s="8" t="s">
        <v>204</v>
      </c>
      <c r="FS68" s="8" t="s">
        <v>204</v>
      </c>
      <c r="FT68" s="8" t="s">
        <v>204</v>
      </c>
      <c r="FU68" s="8"/>
      <c r="FV68" s="8"/>
      <c r="FW68" s="8" t="s">
        <v>238</v>
      </c>
      <c r="FX68" s="8"/>
      <c r="FY68" s="8" t="s">
        <v>202</v>
      </c>
      <c r="FZ68" s="8" t="s">
        <v>203</v>
      </c>
      <c r="GA68" s="8" t="s">
        <v>203</v>
      </c>
      <c r="GB68" s="8" t="s">
        <v>201</v>
      </c>
      <c r="GC68" s="8"/>
      <c r="GD68" s="8"/>
      <c r="GE68" s="8" t="s">
        <v>202</v>
      </c>
      <c r="GF68" s="8" t="s">
        <v>203</v>
      </c>
      <c r="GG68" s="8" t="s">
        <v>201</v>
      </c>
      <c r="GH68" s="8" t="s">
        <v>205</v>
      </c>
      <c r="GI68" s="8" t="s">
        <v>202</v>
      </c>
      <c r="GJ68" s="8" t="s">
        <v>203</v>
      </c>
      <c r="GK68" s="8"/>
      <c r="GL68" s="10">
        <f>DATE(2025,6,17)+TIME(10,26,53)</f>
        <v>45825.435335648152</v>
      </c>
    </row>
    <row r="69" spans="1:194" ht="47.25" x14ac:dyDescent="0.25">
      <c r="A69" s="6" t="s">
        <v>549</v>
      </c>
      <c r="B69" s="6" t="s">
        <v>550</v>
      </c>
      <c r="C69" s="6" t="s">
        <v>551</v>
      </c>
      <c r="D69" s="6" t="s">
        <v>552</v>
      </c>
      <c r="E69" s="6"/>
      <c r="F69" s="6" t="s">
        <v>225</v>
      </c>
      <c r="G69" s="6"/>
      <c r="H69" s="6"/>
      <c r="I69" s="6"/>
      <c r="J69" s="6"/>
      <c r="K69" s="6"/>
      <c r="L69" s="6"/>
      <c r="M69" s="6"/>
      <c r="N69" s="6"/>
      <c r="O69" s="6"/>
      <c r="P69" s="6"/>
      <c r="Q69" s="6"/>
      <c r="R69" s="6"/>
      <c r="S69" s="6"/>
      <c r="T69" s="6"/>
      <c r="U69" s="6"/>
      <c r="V69" s="6"/>
      <c r="W69" s="6"/>
      <c r="X69" s="6"/>
      <c r="Y69" s="6"/>
      <c r="Z69" s="6"/>
      <c r="AA69" s="6"/>
      <c r="AB69" s="6"/>
      <c r="AC69" s="6" t="s">
        <v>553</v>
      </c>
      <c r="AD69" s="6"/>
      <c r="AE69" s="6"/>
      <c r="AF69" s="4" t="s">
        <v>553</v>
      </c>
      <c r="AG69" s="6" t="s">
        <v>235</v>
      </c>
      <c r="AH69" s="6" t="s">
        <v>203</v>
      </c>
      <c r="AI69" s="6" t="s">
        <v>201</v>
      </c>
      <c r="AJ69" s="6" t="s">
        <v>202</v>
      </c>
      <c r="AK69" s="6" t="s">
        <v>202</v>
      </c>
      <c r="AL69" s="6" t="s">
        <v>201</v>
      </c>
      <c r="AM69" s="6" t="s">
        <v>204</v>
      </c>
      <c r="AN69" s="6" t="s">
        <v>204</v>
      </c>
      <c r="AO69" s="6" t="s">
        <v>203</v>
      </c>
      <c r="AP69" s="6" t="s">
        <v>202</v>
      </c>
      <c r="AQ69" s="6" t="s">
        <v>202</v>
      </c>
      <c r="AR69" s="6" t="s">
        <v>202</v>
      </c>
      <c r="AS69" s="6"/>
      <c r="AT69" s="6" t="s">
        <v>203</v>
      </c>
      <c r="AU69" s="6" t="s">
        <v>203</v>
      </c>
      <c r="AV69" s="6" t="s">
        <v>202</v>
      </c>
      <c r="AW69" s="6" t="s">
        <v>202</v>
      </c>
      <c r="AX69" s="6" t="s">
        <v>204</v>
      </c>
      <c r="AY69" s="6" t="s">
        <v>202</v>
      </c>
      <c r="AZ69" s="6" t="s">
        <v>201</v>
      </c>
      <c r="BA69" s="6" t="s">
        <v>202</v>
      </c>
      <c r="BB69" s="6" t="s">
        <v>201</v>
      </c>
      <c r="BC69" s="6" t="s">
        <v>204</v>
      </c>
      <c r="BD69" s="6" t="s">
        <v>204</v>
      </c>
      <c r="BE69" s="6" t="s">
        <v>205</v>
      </c>
      <c r="BF69" s="6" t="s">
        <v>202</v>
      </c>
      <c r="BG69" s="6" t="s">
        <v>203</v>
      </c>
      <c r="BH69" s="6" t="s">
        <v>203</v>
      </c>
      <c r="BI69" s="6" t="s">
        <v>204</v>
      </c>
      <c r="BJ69" s="6" t="s">
        <v>202</v>
      </c>
      <c r="BK69" s="6" t="s">
        <v>202</v>
      </c>
      <c r="BL69" s="6" t="s">
        <v>202</v>
      </c>
      <c r="BM69" s="6" t="s">
        <v>203</v>
      </c>
      <c r="BN69" s="6" t="s">
        <v>201</v>
      </c>
      <c r="BO69" s="6" t="s">
        <v>203</v>
      </c>
      <c r="BP69" s="6" t="s">
        <v>204</v>
      </c>
      <c r="BQ69" s="6" t="s">
        <v>204</v>
      </c>
      <c r="BR69" s="6" t="s">
        <v>203</v>
      </c>
      <c r="BS69" s="6" t="s">
        <v>554</v>
      </c>
      <c r="BT69" s="6" t="s">
        <v>206</v>
      </c>
      <c r="BU69" s="6" t="s">
        <v>202</v>
      </c>
      <c r="BV69" s="6" t="s">
        <v>203</v>
      </c>
      <c r="BW69" s="6" t="s">
        <v>202</v>
      </c>
      <c r="BX69" s="6" t="s">
        <v>202</v>
      </c>
      <c r="BY69" s="6" t="s">
        <v>202</v>
      </c>
      <c r="BZ69" s="6" t="s">
        <v>202</v>
      </c>
      <c r="CA69" s="6" t="s">
        <v>203</v>
      </c>
      <c r="CB69" s="6" t="s">
        <v>203</v>
      </c>
      <c r="CC69" s="6" t="s">
        <v>202</v>
      </c>
      <c r="CD69" s="6" t="s">
        <v>201</v>
      </c>
      <c r="CE69" s="6" t="s">
        <v>202</v>
      </c>
      <c r="CF69" s="6" t="s">
        <v>202</v>
      </c>
      <c r="CG69" s="6"/>
      <c r="CH69" s="6" t="s">
        <v>207</v>
      </c>
      <c r="CI69" s="6" t="s">
        <v>207</v>
      </c>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t="s">
        <v>236</v>
      </c>
      <c r="DQ69" s="6"/>
      <c r="DR69" s="6"/>
      <c r="DS69" s="6"/>
      <c r="DT69" s="6"/>
      <c r="DU69" s="6"/>
      <c r="DV69" s="6"/>
      <c r="DW69" s="6" t="s">
        <v>207</v>
      </c>
      <c r="DX69" s="6"/>
      <c r="DY69" s="6"/>
      <c r="DZ69" s="6"/>
      <c r="EA69" s="6"/>
      <c r="EB69" s="6"/>
      <c r="EC69" s="6"/>
      <c r="ED69" s="6"/>
      <c r="EE69" s="6"/>
      <c r="EF69" s="6" t="s">
        <v>201</v>
      </c>
      <c r="EG69" s="6" t="s">
        <v>203</v>
      </c>
      <c r="EH69" s="6" t="s">
        <v>203</v>
      </c>
      <c r="EI69" s="6" t="s">
        <v>204</v>
      </c>
      <c r="EJ69" s="6" t="s">
        <v>205</v>
      </c>
      <c r="EK69" s="6" t="s">
        <v>205</v>
      </c>
      <c r="EL69" s="6" t="s">
        <v>205</v>
      </c>
      <c r="EM69" s="6"/>
      <c r="EN69" s="6"/>
      <c r="EO69" s="6"/>
      <c r="EP69" s="6"/>
      <c r="EQ69" s="6" t="s">
        <v>205</v>
      </c>
      <c r="ER69" s="6" t="s">
        <v>205</v>
      </c>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t="s">
        <v>203</v>
      </c>
      <c r="FZ69" s="6" t="s">
        <v>202</v>
      </c>
      <c r="GA69" s="6" t="s">
        <v>201</v>
      </c>
      <c r="GB69" s="6" t="s">
        <v>203</v>
      </c>
      <c r="GC69" s="6" t="s">
        <v>204</v>
      </c>
      <c r="GD69" s="6"/>
      <c r="GE69" s="6" t="s">
        <v>202</v>
      </c>
      <c r="GF69" s="6" t="s">
        <v>202</v>
      </c>
      <c r="GG69" s="6" t="s">
        <v>202</v>
      </c>
      <c r="GH69" s="6" t="s">
        <v>203</v>
      </c>
      <c r="GI69" s="6" t="s">
        <v>201</v>
      </c>
      <c r="GJ69" s="6" t="s">
        <v>203</v>
      </c>
      <c r="GK69" s="6"/>
      <c r="GL69" s="7">
        <f>DATE(2025,5,22)+TIME(14,31,29)</f>
        <v>45799.605196759258</v>
      </c>
    </row>
    <row r="70" spans="1:194" ht="110.25" x14ac:dyDescent="0.25">
      <c r="A70" s="3" t="s">
        <v>555</v>
      </c>
      <c r="B70" s="3" t="s">
        <v>556</v>
      </c>
      <c r="C70" s="3" t="s">
        <v>557</v>
      </c>
      <c r="D70" s="3" t="s">
        <v>558</v>
      </c>
      <c r="E70" s="3"/>
      <c r="F70" s="3" t="s">
        <v>225</v>
      </c>
      <c r="G70" s="3"/>
      <c r="H70" s="3"/>
      <c r="I70" s="3"/>
      <c r="J70" s="3"/>
      <c r="K70" s="3"/>
      <c r="L70" s="3"/>
      <c r="M70" s="3"/>
      <c r="N70" s="3"/>
      <c r="O70" s="3"/>
      <c r="P70" s="3"/>
      <c r="Q70" s="3"/>
      <c r="R70" s="3"/>
      <c r="S70" s="3"/>
      <c r="T70" s="3"/>
      <c r="U70" s="3"/>
      <c r="V70" s="3"/>
      <c r="W70" s="3"/>
      <c r="X70" s="3"/>
      <c r="Y70" s="3"/>
      <c r="Z70" s="3"/>
      <c r="AA70" s="3"/>
      <c r="AB70" s="3"/>
      <c r="AC70" s="3" t="s">
        <v>559</v>
      </c>
      <c r="AD70" s="3"/>
      <c r="AE70" s="3"/>
      <c r="AF70" s="4" t="s">
        <v>559</v>
      </c>
      <c r="AG70" s="3" t="s">
        <v>235</v>
      </c>
      <c r="AH70" s="3" t="s">
        <v>203</v>
      </c>
      <c r="AI70" s="3" t="s">
        <v>202</v>
      </c>
      <c r="AJ70" s="3" t="s">
        <v>202</v>
      </c>
      <c r="AK70" s="3" t="s">
        <v>201</v>
      </c>
      <c r="AL70" s="3" t="s">
        <v>202</v>
      </c>
      <c r="AM70" s="3" t="s">
        <v>205</v>
      </c>
      <c r="AN70" s="3" t="s">
        <v>205</v>
      </c>
      <c r="AO70" s="3" t="s">
        <v>202</v>
      </c>
      <c r="AP70" s="3" t="s">
        <v>201</v>
      </c>
      <c r="AQ70" s="3" t="s">
        <v>202</v>
      </c>
      <c r="AR70" s="3" t="s">
        <v>201</v>
      </c>
      <c r="AS70" s="3"/>
      <c r="AT70" s="3" t="s">
        <v>203</v>
      </c>
      <c r="AU70" s="3" t="s">
        <v>203</v>
      </c>
      <c r="AV70" s="3" t="s">
        <v>205</v>
      </c>
      <c r="AW70" s="3" t="s">
        <v>202</v>
      </c>
      <c r="AX70" s="3" t="s">
        <v>203</v>
      </c>
      <c r="AY70" s="3" t="s">
        <v>205</v>
      </c>
      <c r="AZ70" s="3" t="s">
        <v>202</v>
      </c>
      <c r="BA70" s="3" t="s">
        <v>203</v>
      </c>
      <c r="BB70" s="3" t="s">
        <v>202</v>
      </c>
      <c r="BC70" s="3" t="s">
        <v>202</v>
      </c>
      <c r="BD70" s="3" t="s">
        <v>203</v>
      </c>
      <c r="BE70" s="3" t="s">
        <v>203</v>
      </c>
      <c r="BF70" s="3" t="s">
        <v>205</v>
      </c>
      <c r="BG70" s="3" t="s">
        <v>202</v>
      </c>
      <c r="BH70" s="3" t="s">
        <v>203</v>
      </c>
      <c r="BI70" s="3" t="s">
        <v>205</v>
      </c>
      <c r="BJ70" s="3" t="s">
        <v>202</v>
      </c>
      <c r="BK70" s="3" t="s">
        <v>205</v>
      </c>
      <c r="BL70" s="3" t="s">
        <v>201</v>
      </c>
      <c r="BM70" s="3" t="s">
        <v>202</v>
      </c>
      <c r="BN70" s="3" t="s">
        <v>203</v>
      </c>
      <c r="BO70" s="3" t="s">
        <v>202</v>
      </c>
      <c r="BP70" s="3" t="s">
        <v>203</v>
      </c>
      <c r="BQ70" s="3" t="s">
        <v>203</v>
      </c>
      <c r="BR70" s="3" t="s">
        <v>203</v>
      </c>
      <c r="BS70" s="3" t="s">
        <v>560</v>
      </c>
      <c r="BT70" s="3" t="s">
        <v>206</v>
      </c>
      <c r="BU70" s="3" t="s">
        <v>203</v>
      </c>
      <c r="BV70" s="3" t="s">
        <v>203</v>
      </c>
      <c r="BW70" s="3" t="s">
        <v>203</v>
      </c>
      <c r="BX70" s="3" t="s">
        <v>202</v>
      </c>
      <c r="BY70" s="3" t="s">
        <v>202</v>
      </c>
      <c r="BZ70" s="3" t="s">
        <v>202</v>
      </c>
      <c r="CA70" s="3" t="s">
        <v>203</v>
      </c>
      <c r="CB70" s="3" t="s">
        <v>203</v>
      </c>
      <c r="CC70" s="3" t="s">
        <v>203</v>
      </c>
      <c r="CD70" s="3" t="s">
        <v>201</v>
      </c>
      <c r="CE70" s="3" t="s">
        <v>201</v>
      </c>
      <c r="CF70" s="3" t="s">
        <v>201</v>
      </c>
      <c r="CG70" s="3"/>
      <c r="CH70" s="3" t="s">
        <v>207</v>
      </c>
      <c r="CI70" s="3" t="s">
        <v>207</v>
      </c>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t="s">
        <v>294</v>
      </c>
      <c r="DV70" s="3"/>
      <c r="DW70" s="3" t="s">
        <v>208</v>
      </c>
      <c r="DX70" s="3" t="s">
        <v>246</v>
      </c>
      <c r="DY70" s="3" t="s">
        <v>247</v>
      </c>
      <c r="DZ70" s="3" t="s">
        <v>219</v>
      </c>
      <c r="EA70" s="3"/>
      <c r="EB70" s="3" t="s">
        <v>561</v>
      </c>
      <c r="EC70" s="3" t="s">
        <v>204</v>
      </c>
      <c r="ED70" s="3" t="s">
        <v>204</v>
      </c>
      <c r="EE70" s="3" t="s">
        <v>204</v>
      </c>
      <c r="EF70" s="3" t="s">
        <v>204</v>
      </c>
      <c r="EG70" s="3" t="s">
        <v>203</v>
      </c>
      <c r="EH70" s="3" t="s">
        <v>203</v>
      </c>
      <c r="EI70" s="3" t="s">
        <v>202</v>
      </c>
      <c r="EJ70" s="3" t="s">
        <v>203</v>
      </c>
      <c r="EK70" s="3" t="s">
        <v>202</v>
      </c>
      <c r="EL70" s="3" t="s">
        <v>203</v>
      </c>
      <c r="EM70" s="3"/>
      <c r="EN70" s="3"/>
      <c r="EO70" s="3"/>
      <c r="EP70" s="3"/>
      <c r="EQ70" s="3" t="s">
        <v>203</v>
      </c>
      <c r="ER70" s="3" t="s">
        <v>202</v>
      </c>
      <c r="ES70" s="3"/>
      <c r="ET70" s="3" t="s">
        <v>203</v>
      </c>
      <c r="EU70" s="3" t="s">
        <v>203</v>
      </c>
      <c r="EV70" s="3" t="s">
        <v>202</v>
      </c>
      <c r="EW70" s="3" t="s">
        <v>202</v>
      </c>
      <c r="EX70" s="3" t="s">
        <v>562</v>
      </c>
      <c r="EY70" s="3" t="s">
        <v>203</v>
      </c>
      <c r="EZ70" s="3" t="s">
        <v>205</v>
      </c>
      <c r="FA70" s="3" t="s">
        <v>202</v>
      </c>
      <c r="FB70" s="3" t="s">
        <v>202</v>
      </c>
      <c r="FC70" s="3" t="s">
        <v>203</v>
      </c>
      <c r="FD70" s="3" t="s">
        <v>204</v>
      </c>
      <c r="FE70" s="3" t="s">
        <v>204</v>
      </c>
      <c r="FF70" s="3" t="s">
        <v>204</v>
      </c>
      <c r="FG70" s="3" t="s">
        <v>204</v>
      </c>
      <c r="FH70" s="3" t="s">
        <v>204</v>
      </c>
      <c r="FI70" s="3" t="s">
        <v>203</v>
      </c>
      <c r="FJ70" s="3" t="s">
        <v>205</v>
      </c>
      <c r="FK70" s="3" t="s">
        <v>205</v>
      </c>
      <c r="FL70" s="3" t="s">
        <v>202</v>
      </c>
      <c r="FM70" s="3" t="s">
        <v>205</v>
      </c>
      <c r="FN70" s="3" t="s">
        <v>204</v>
      </c>
      <c r="FO70" s="3" t="s">
        <v>204</v>
      </c>
      <c r="FP70" s="3" t="s">
        <v>204</v>
      </c>
      <c r="FQ70" s="3" t="s">
        <v>204</v>
      </c>
      <c r="FR70" s="3" t="s">
        <v>202</v>
      </c>
      <c r="FS70" s="3" t="s">
        <v>203</v>
      </c>
      <c r="FT70" s="3" t="s">
        <v>203</v>
      </c>
      <c r="FU70" s="3"/>
      <c r="FV70" s="3"/>
      <c r="FW70" s="3" t="s">
        <v>238</v>
      </c>
      <c r="FX70" s="3"/>
      <c r="FY70" s="3" t="s">
        <v>203</v>
      </c>
      <c r="FZ70" s="3" t="s">
        <v>202</v>
      </c>
      <c r="GA70" s="3" t="s">
        <v>201</v>
      </c>
      <c r="GB70" s="3" t="s">
        <v>203</v>
      </c>
      <c r="GC70" s="3"/>
      <c r="GD70" s="3"/>
      <c r="GE70" s="3" t="s">
        <v>201</v>
      </c>
      <c r="GF70" s="3" t="s">
        <v>203</v>
      </c>
      <c r="GG70" s="3" t="s">
        <v>201</v>
      </c>
      <c r="GH70" s="3" t="s">
        <v>203</v>
      </c>
      <c r="GI70" s="3" t="s">
        <v>202</v>
      </c>
      <c r="GJ70" s="3" t="s">
        <v>202</v>
      </c>
      <c r="GK70" s="3"/>
      <c r="GL70" s="5">
        <f>DATE(2025,5,20)+TIME(15,33,51)</f>
        <v>45797.648506944446</v>
      </c>
    </row>
    <row r="71" spans="1:194" ht="47.25" x14ac:dyDescent="0.25">
      <c r="A71" s="6" t="s">
        <v>501</v>
      </c>
      <c r="B71" s="6" t="s">
        <v>502</v>
      </c>
      <c r="C71" s="6" t="s">
        <v>503</v>
      </c>
      <c r="D71" s="6" t="s">
        <v>563</v>
      </c>
      <c r="E71" s="6"/>
      <c r="F71" s="6" t="s">
        <v>198</v>
      </c>
      <c r="G71" s="6"/>
      <c r="H71" s="6"/>
      <c r="I71" s="6"/>
      <c r="J71" s="6"/>
      <c r="K71" s="6" t="s">
        <v>564</v>
      </c>
      <c r="L71" s="6"/>
      <c r="M71" s="6"/>
      <c r="N71" s="6"/>
      <c r="O71" s="6"/>
      <c r="P71" s="6"/>
      <c r="Q71" s="6"/>
      <c r="R71" s="6"/>
      <c r="S71" s="6"/>
      <c r="T71" s="6"/>
      <c r="U71" s="6"/>
      <c r="V71" s="6"/>
      <c r="W71" s="6"/>
      <c r="X71" s="6"/>
      <c r="Y71" s="6"/>
      <c r="Z71" s="6"/>
      <c r="AA71" s="6"/>
      <c r="AB71" s="6"/>
      <c r="AC71" s="6"/>
      <c r="AD71" s="6"/>
      <c r="AE71" s="6"/>
      <c r="AF71" s="4" t="s">
        <v>564</v>
      </c>
      <c r="AG71" s="6" t="s">
        <v>235</v>
      </c>
      <c r="AH71" s="6" t="s">
        <v>201</v>
      </c>
      <c r="AI71" s="6" t="s">
        <v>202</v>
      </c>
      <c r="AJ71" s="6" t="s">
        <v>202</v>
      </c>
      <c r="AK71" s="6" t="s">
        <v>201</v>
      </c>
      <c r="AL71" s="6" t="s">
        <v>201</v>
      </c>
      <c r="AM71" s="6" t="s">
        <v>201</v>
      </c>
      <c r="AN71" s="6" t="s">
        <v>202</v>
      </c>
      <c r="AO71" s="6" t="s">
        <v>201</v>
      </c>
      <c r="AP71" s="6" t="s">
        <v>201</v>
      </c>
      <c r="AQ71" s="6" t="s">
        <v>201</v>
      </c>
      <c r="AR71" s="6" t="s">
        <v>201</v>
      </c>
      <c r="AS71" s="6"/>
      <c r="AT71" s="6" t="s">
        <v>201</v>
      </c>
      <c r="AU71" s="6" t="s">
        <v>201</v>
      </c>
      <c r="AV71" s="6" t="s">
        <v>203</v>
      </c>
      <c r="AW71" s="6" t="s">
        <v>201</v>
      </c>
      <c r="AX71" s="6" t="s">
        <v>201</v>
      </c>
      <c r="AY71" s="6" t="s">
        <v>201</v>
      </c>
      <c r="AZ71" s="6" t="s">
        <v>202</v>
      </c>
      <c r="BA71" s="6" t="s">
        <v>202</v>
      </c>
      <c r="BB71" s="6" t="s">
        <v>202</v>
      </c>
      <c r="BC71" s="6" t="s">
        <v>201</v>
      </c>
      <c r="BD71" s="6" t="s">
        <v>202</v>
      </c>
      <c r="BE71" s="6" t="s">
        <v>202</v>
      </c>
      <c r="BF71" s="6" t="s">
        <v>203</v>
      </c>
      <c r="BG71" s="6" t="s">
        <v>202</v>
      </c>
      <c r="BH71" s="6" t="s">
        <v>202</v>
      </c>
      <c r="BI71" s="6" t="s">
        <v>202</v>
      </c>
      <c r="BJ71" s="6" t="s">
        <v>202</v>
      </c>
      <c r="BK71" s="6" t="s">
        <v>202</v>
      </c>
      <c r="BL71" s="6" t="s">
        <v>201</v>
      </c>
      <c r="BM71" s="6" t="s">
        <v>201</v>
      </c>
      <c r="BN71" s="6" t="s">
        <v>202</v>
      </c>
      <c r="BO71" s="6" t="s">
        <v>201</v>
      </c>
      <c r="BP71" s="6" t="s">
        <v>202</v>
      </c>
      <c r="BQ71" s="6" t="s">
        <v>201</v>
      </c>
      <c r="BR71" s="6" t="s">
        <v>204</v>
      </c>
      <c r="BS71" s="6"/>
      <c r="BT71" s="6" t="s">
        <v>206</v>
      </c>
      <c r="BU71" s="6" t="s">
        <v>202</v>
      </c>
      <c r="BV71" s="6" t="s">
        <v>201</v>
      </c>
      <c r="BW71" s="6" t="s">
        <v>202</v>
      </c>
      <c r="BX71" s="6" t="s">
        <v>202</v>
      </c>
      <c r="BY71" s="6" t="s">
        <v>202</v>
      </c>
      <c r="BZ71" s="6" t="s">
        <v>202</v>
      </c>
      <c r="CA71" s="6" t="s">
        <v>202</v>
      </c>
      <c r="CB71" s="6" t="s">
        <v>202</v>
      </c>
      <c r="CC71" s="6" t="s">
        <v>201</v>
      </c>
      <c r="CD71" s="6" t="s">
        <v>201</v>
      </c>
      <c r="CE71" s="6" t="s">
        <v>201</v>
      </c>
      <c r="CF71" s="6" t="s">
        <v>201</v>
      </c>
      <c r="CG71" s="6"/>
      <c r="CH71" s="6" t="s">
        <v>207</v>
      </c>
      <c r="CI71" s="6" t="s">
        <v>208</v>
      </c>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t="s">
        <v>565</v>
      </c>
      <c r="DW71" s="6" t="s">
        <v>228</v>
      </c>
      <c r="DX71" s="6"/>
      <c r="DY71" s="6"/>
      <c r="DZ71" s="6"/>
      <c r="EA71" s="6"/>
      <c r="EB71" s="6"/>
      <c r="EC71" s="6"/>
      <c r="ED71" s="6"/>
      <c r="EE71" s="6"/>
      <c r="EF71" s="6" t="s">
        <v>203</v>
      </c>
      <c r="EG71" s="6" t="s">
        <v>202</v>
      </c>
      <c r="EH71" s="6" t="s">
        <v>202</v>
      </c>
      <c r="EI71" s="6" t="s">
        <v>201</v>
      </c>
      <c r="EJ71" s="6" t="s">
        <v>201</v>
      </c>
      <c r="EK71" s="6" t="s">
        <v>202</v>
      </c>
      <c r="EL71" s="6" t="s">
        <v>201</v>
      </c>
      <c r="EM71" s="6" t="s">
        <v>202</v>
      </c>
      <c r="EN71" s="6" t="s">
        <v>202</v>
      </c>
      <c r="EO71" s="6" t="s">
        <v>202</v>
      </c>
      <c r="EP71" s="6"/>
      <c r="EQ71" s="6" t="s">
        <v>201</v>
      </c>
      <c r="ER71" s="6" t="s">
        <v>202</v>
      </c>
      <c r="ES71" s="6"/>
      <c r="ET71" s="6" t="s">
        <v>202</v>
      </c>
      <c r="EU71" s="6" t="s">
        <v>202</v>
      </c>
      <c r="EV71" s="6" t="s">
        <v>202</v>
      </c>
      <c r="EW71" s="6" t="s">
        <v>204</v>
      </c>
      <c r="EX71" s="6"/>
      <c r="EY71" s="6" t="s">
        <v>202</v>
      </c>
      <c r="EZ71" s="6" t="s">
        <v>202</v>
      </c>
      <c r="FA71" s="6" t="s">
        <v>201</v>
      </c>
      <c r="FB71" s="6" t="s">
        <v>201</v>
      </c>
      <c r="FC71" s="6" t="s">
        <v>201</v>
      </c>
      <c r="FD71" s="6" t="s">
        <v>202</v>
      </c>
      <c r="FE71" s="6" t="s">
        <v>202</v>
      </c>
      <c r="FF71" s="6" t="s">
        <v>202</v>
      </c>
      <c r="FG71" s="6" t="s">
        <v>202</v>
      </c>
      <c r="FH71" s="6" t="s">
        <v>201</v>
      </c>
      <c r="FI71" s="6" t="s">
        <v>202</v>
      </c>
      <c r="FJ71" s="6" t="s">
        <v>202</v>
      </c>
      <c r="FK71" s="6" t="s">
        <v>201</v>
      </c>
      <c r="FL71" s="6" t="s">
        <v>201</v>
      </c>
      <c r="FM71" s="6" t="s">
        <v>201</v>
      </c>
      <c r="FN71" s="6" t="s">
        <v>202</v>
      </c>
      <c r="FO71" s="6" t="s">
        <v>202</v>
      </c>
      <c r="FP71" s="6" t="s">
        <v>202</v>
      </c>
      <c r="FQ71" s="6" t="s">
        <v>202</v>
      </c>
      <c r="FR71" s="6" t="s">
        <v>201</v>
      </c>
      <c r="FS71" s="6" t="s">
        <v>203</v>
      </c>
      <c r="FT71" s="6" t="s">
        <v>202</v>
      </c>
      <c r="FU71" s="6" t="s">
        <v>204</v>
      </c>
      <c r="FV71" s="6"/>
      <c r="FW71" s="6" t="s">
        <v>210</v>
      </c>
      <c r="FX71" s="6"/>
      <c r="FY71" s="6" t="s">
        <v>201</v>
      </c>
      <c r="FZ71" s="6" t="s">
        <v>201</v>
      </c>
      <c r="GA71" s="6" t="s">
        <v>201</v>
      </c>
      <c r="GB71" s="6" t="s">
        <v>201</v>
      </c>
      <c r="GC71" s="6" t="s">
        <v>204</v>
      </c>
      <c r="GD71" s="6"/>
      <c r="GE71" s="6" t="s">
        <v>202</v>
      </c>
      <c r="GF71" s="6" t="s">
        <v>201</v>
      </c>
      <c r="GG71" s="6" t="s">
        <v>202</v>
      </c>
      <c r="GH71" s="6" t="s">
        <v>201</v>
      </c>
      <c r="GI71" s="6" t="s">
        <v>201</v>
      </c>
      <c r="GJ71" s="6" t="s">
        <v>201</v>
      </c>
      <c r="GK71" s="6"/>
      <c r="GL71" s="7">
        <f>DATE(2025,6,12)+TIME(12,54,24)</f>
        <v>45820.537777777776</v>
      </c>
    </row>
    <row r="72" spans="1:194" ht="126" x14ac:dyDescent="0.25">
      <c r="A72" s="3" t="s">
        <v>566</v>
      </c>
      <c r="B72" s="3" t="s">
        <v>567</v>
      </c>
      <c r="C72" s="3" t="s">
        <v>568</v>
      </c>
      <c r="D72" s="3" t="s">
        <v>569</v>
      </c>
      <c r="E72" s="3"/>
      <c r="F72" s="3" t="s">
        <v>244</v>
      </c>
      <c r="G72" s="3"/>
      <c r="H72" s="3" t="s">
        <v>570</v>
      </c>
      <c r="I72" s="3"/>
      <c r="J72" s="3"/>
      <c r="K72" s="3"/>
      <c r="L72" s="3"/>
      <c r="M72" s="3"/>
      <c r="N72" s="3"/>
      <c r="O72" s="3"/>
      <c r="P72" s="3"/>
      <c r="Q72" s="3"/>
      <c r="R72" s="3"/>
      <c r="S72" s="3"/>
      <c r="T72" s="3"/>
      <c r="U72" s="3"/>
      <c r="V72" s="3"/>
      <c r="W72" s="3"/>
      <c r="X72" s="3"/>
      <c r="Y72" s="3"/>
      <c r="Z72" s="3"/>
      <c r="AA72" s="3"/>
      <c r="AB72" s="3"/>
      <c r="AC72" s="3"/>
      <c r="AD72" s="3"/>
      <c r="AE72" s="3"/>
      <c r="AF72" s="4" t="s">
        <v>570</v>
      </c>
      <c r="AG72" s="3" t="s">
        <v>571</v>
      </c>
      <c r="AH72" s="3" t="s">
        <v>202</v>
      </c>
      <c r="AI72" s="3" t="s">
        <v>201</v>
      </c>
      <c r="AJ72" s="3" t="s">
        <v>202</v>
      </c>
      <c r="AK72" s="3" t="s">
        <v>202</v>
      </c>
      <c r="AL72" s="3" t="s">
        <v>205</v>
      </c>
      <c r="AM72" s="3" t="s">
        <v>205</v>
      </c>
      <c r="AN72" s="3" t="s">
        <v>205</v>
      </c>
      <c r="AO72" s="3" t="s">
        <v>205</v>
      </c>
      <c r="AP72" s="3" t="s">
        <v>203</v>
      </c>
      <c r="AQ72" s="3" t="s">
        <v>203</v>
      </c>
      <c r="AR72" s="3" t="s">
        <v>205</v>
      </c>
      <c r="AS72" s="3"/>
      <c r="AT72" s="3" t="s">
        <v>205</v>
      </c>
      <c r="AU72" s="3" t="s">
        <v>203</v>
      </c>
      <c r="AV72" s="3" t="s">
        <v>202</v>
      </c>
      <c r="AW72" s="3" t="s">
        <v>203</v>
      </c>
      <c r="AX72" s="3" t="s">
        <v>205</v>
      </c>
      <c r="AY72" s="3" t="s">
        <v>203</v>
      </c>
      <c r="AZ72" s="3" t="s">
        <v>203</v>
      </c>
      <c r="BA72" s="3" t="s">
        <v>202</v>
      </c>
      <c r="BB72" s="3" t="s">
        <v>203</v>
      </c>
      <c r="BC72" s="3" t="s">
        <v>205</v>
      </c>
      <c r="BD72" s="3" t="s">
        <v>203</v>
      </c>
      <c r="BE72" s="3" t="s">
        <v>204</v>
      </c>
      <c r="BF72" s="3" t="s">
        <v>204</v>
      </c>
      <c r="BG72" s="3" t="s">
        <v>204</v>
      </c>
      <c r="BH72" s="3" t="s">
        <v>204</v>
      </c>
      <c r="BI72" s="3" t="s">
        <v>204</v>
      </c>
      <c r="BJ72" s="3" t="s">
        <v>203</v>
      </c>
      <c r="BK72" s="3" t="s">
        <v>203</v>
      </c>
      <c r="BL72" s="3" t="s">
        <v>203</v>
      </c>
      <c r="BM72" s="3" t="s">
        <v>205</v>
      </c>
      <c r="BN72" s="3" t="s">
        <v>203</v>
      </c>
      <c r="BO72" s="3" t="s">
        <v>205</v>
      </c>
      <c r="BP72" s="3" t="s">
        <v>205</v>
      </c>
      <c r="BQ72" s="3" t="s">
        <v>203</v>
      </c>
      <c r="BR72" s="3" t="s">
        <v>204</v>
      </c>
      <c r="BS72" s="3"/>
      <c r="BT72" s="3" t="s">
        <v>271</v>
      </c>
      <c r="BU72" s="3" t="s">
        <v>205</v>
      </c>
      <c r="BV72" s="3" t="s">
        <v>205</v>
      </c>
      <c r="BW72" s="3" t="s">
        <v>205</v>
      </c>
      <c r="BX72" s="3" t="s">
        <v>202</v>
      </c>
      <c r="BY72" s="3" t="s">
        <v>202</v>
      </c>
      <c r="BZ72" s="3" t="s">
        <v>202</v>
      </c>
      <c r="CA72" s="3" t="s">
        <v>203</v>
      </c>
      <c r="CB72" s="3" t="s">
        <v>203</v>
      </c>
      <c r="CC72" s="3" t="s">
        <v>203</v>
      </c>
      <c r="CD72" s="3" t="s">
        <v>202</v>
      </c>
      <c r="CE72" s="3" t="s">
        <v>202</v>
      </c>
      <c r="CF72" s="3" t="s">
        <v>202</v>
      </c>
      <c r="CG72" s="3"/>
      <c r="CH72" s="3" t="s">
        <v>207</v>
      </c>
      <c r="CI72" s="3" t="s">
        <v>208</v>
      </c>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t="s">
        <v>237</v>
      </c>
      <c r="DR72" s="3"/>
      <c r="DS72" s="3"/>
      <c r="DT72" s="3"/>
      <c r="DU72" s="3"/>
      <c r="DV72" s="3"/>
      <c r="DW72" s="3" t="s">
        <v>207</v>
      </c>
      <c r="DX72" s="3"/>
      <c r="DY72" s="3"/>
      <c r="DZ72" s="3"/>
      <c r="EA72" s="3"/>
      <c r="EB72" s="3"/>
      <c r="EC72" s="3"/>
      <c r="ED72" s="3"/>
      <c r="EE72" s="3"/>
      <c r="EF72" s="3" t="s">
        <v>204</v>
      </c>
      <c r="EG72" s="3" t="s">
        <v>204</v>
      </c>
      <c r="EH72" s="3" t="s">
        <v>204</v>
      </c>
      <c r="EI72" s="3" t="s">
        <v>204</v>
      </c>
      <c r="EJ72" s="3" t="s">
        <v>204</v>
      </c>
      <c r="EK72" s="3" t="s">
        <v>204</v>
      </c>
      <c r="EL72" s="3" t="s">
        <v>204</v>
      </c>
      <c r="EM72" s="3" t="s">
        <v>203</v>
      </c>
      <c r="EN72" s="3" t="s">
        <v>203</v>
      </c>
      <c r="EO72" s="3" t="s">
        <v>203</v>
      </c>
      <c r="EP72" s="3"/>
      <c r="EQ72" s="3" t="s">
        <v>202</v>
      </c>
      <c r="ER72" s="3" t="s">
        <v>205</v>
      </c>
      <c r="ES72" s="3"/>
      <c r="ET72" s="3" t="s">
        <v>205</v>
      </c>
      <c r="EU72" s="3" t="s">
        <v>201</v>
      </c>
      <c r="EV72" s="3" t="s">
        <v>201</v>
      </c>
      <c r="EW72" s="3" t="s">
        <v>204</v>
      </c>
      <c r="EX72" s="3"/>
      <c r="EY72" s="3" t="s">
        <v>204</v>
      </c>
      <c r="EZ72" s="3" t="s">
        <v>204</v>
      </c>
      <c r="FA72" s="3" t="s">
        <v>204</v>
      </c>
      <c r="FB72" s="3" t="s">
        <v>204</v>
      </c>
      <c r="FC72" s="3" t="s">
        <v>204</v>
      </c>
      <c r="FD72" s="3" t="s">
        <v>204</v>
      </c>
      <c r="FE72" s="3" t="s">
        <v>204</v>
      </c>
      <c r="FF72" s="3" t="s">
        <v>204</v>
      </c>
      <c r="FG72" s="3" t="s">
        <v>204</v>
      </c>
      <c r="FH72" s="3"/>
      <c r="FI72" s="3"/>
      <c r="FJ72" s="3"/>
      <c r="FK72" s="3"/>
      <c r="FL72" s="3"/>
      <c r="FM72" s="3"/>
      <c r="FN72" s="3"/>
      <c r="FO72" s="3"/>
      <c r="FP72" s="3"/>
      <c r="FQ72" s="3"/>
      <c r="FR72" s="3" t="s">
        <v>205</v>
      </c>
      <c r="FS72" s="3" t="s">
        <v>205</v>
      </c>
      <c r="FT72" s="3" t="s">
        <v>203</v>
      </c>
      <c r="FU72" s="3" t="s">
        <v>204</v>
      </c>
      <c r="FV72" s="3"/>
      <c r="FW72" s="3" t="s">
        <v>271</v>
      </c>
      <c r="FX72" s="3"/>
      <c r="FY72" s="3" t="s">
        <v>203</v>
      </c>
      <c r="FZ72" s="3" t="s">
        <v>203</v>
      </c>
      <c r="GA72" s="3" t="s">
        <v>203</v>
      </c>
      <c r="GB72" s="3" t="s">
        <v>205</v>
      </c>
      <c r="GC72" s="3" t="s">
        <v>204</v>
      </c>
      <c r="GD72" s="3"/>
      <c r="GE72" s="3" t="s">
        <v>201</v>
      </c>
      <c r="GF72" s="3" t="s">
        <v>205</v>
      </c>
      <c r="GG72" s="3" t="s">
        <v>202</v>
      </c>
      <c r="GH72" s="3" t="s">
        <v>205</v>
      </c>
      <c r="GI72" s="3" t="s">
        <v>202</v>
      </c>
      <c r="GJ72" s="3" t="s">
        <v>201</v>
      </c>
      <c r="GK72" s="3" t="s">
        <v>572</v>
      </c>
      <c r="GL72" s="5">
        <f>DATE(2025,5,22)+TIME(15,56,4)</f>
        <v>45799.663935185185</v>
      </c>
    </row>
    <row r="73" spans="1:194" ht="47.25" x14ac:dyDescent="0.25">
      <c r="A73" s="6" t="s">
        <v>573</v>
      </c>
      <c r="B73" s="6" t="s">
        <v>574</v>
      </c>
      <c r="C73" s="6" t="s">
        <v>575</v>
      </c>
      <c r="D73" s="6" t="s">
        <v>576</v>
      </c>
      <c r="E73" s="6"/>
      <c r="F73" s="6" t="s">
        <v>225</v>
      </c>
      <c r="G73" s="6"/>
      <c r="H73" s="6"/>
      <c r="I73" s="6"/>
      <c r="J73" s="6"/>
      <c r="K73" s="6"/>
      <c r="L73" s="6"/>
      <c r="M73" s="6"/>
      <c r="N73" s="6"/>
      <c r="O73" s="6"/>
      <c r="P73" s="6"/>
      <c r="Q73" s="6"/>
      <c r="R73" s="6"/>
      <c r="S73" s="6"/>
      <c r="T73" s="6"/>
      <c r="U73" s="6"/>
      <c r="V73" s="6"/>
      <c r="W73" s="6"/>
      <c r="X73" s="6"/>
      <c r="Y73" s="6"/>
      <c r="Z73" s="6"/>
      <c r="AA73" s="6"/>
      <c r="AB73" s="6"/>
      <c r="AC73" s="6" t="s">
        <v>577</v>
      </c>
      <c r="AD73" s="6"/>
      <c r="AE73" s="6"/>
      <c r="AF73" s="4" t="s">
        <v>577</v>
      </c>
      <c r="AG73" s="6" t="s">
        <v>235</v>
      </c>
      <c r="AH73" s="6" t="s">
        <v>204</v>
      </c>
      <c r="AI73" s="6" t="s">
        <v>202</v>
      </c>
      <c r="AJ73" s="6" t="s">
        <v>204</v>
      </c>
      <c r="AK73" s="6" t="s">
        <v>202</v>
      </c>
      <c r="AL73" s="6" t="s">
        <v>202</v>
      </c>
      <c r="AM73" s="6" t="s">
        <v>204</v>
      </c>
      <c r="AN73" s="6" t="s">
        <v>204</v>
      </c>
      <c r="AO73" s="6" t="s">
        <v>204</v>
      </c>
      <c r="AP73" s="6" t="s">
        <v>203</v>
      </c>
      <c r="AQ73" s="6" t="s">
        <v>203</v>
      </c>
      <c r="AR73" s="6" t="s">
        <v>204</v>
      </c>
      <c r="AS73" s="6"/>
      <c r="AT73" s="6" t="s">
        <v>205</v>
      </c>
      <c r="AU73" s="6" t="s">
        <v>203</v>
      </c>
      <c r="AV73" s="6" t="s">
        <v>204</v>
      </c>
      <c r="AW73" s="6" t="s">
        <v>204</v>
      </c>
      <c r="AX73" s="6" t="s">
        <v>204</v>
      </c>
      <c r="AY73" s="6" t="s">
        <v>204</v>
      </c>
      <c r="AZ73" s="6" t="s">
        <v>202</v>
      </c>
      <c r="BA73" s="6" t="s">
        <v>202</v>
      </c>
      <c r="BB73" s="6" t="s">
        <v>204</v>
      </c>
      <c r="BC73" s="6" t="s">
        <v>204</v>
      </c>
      <c r="BD73" s="6" t="s">
        <v>204</v>
      </c>
      <c r="BE73" s="6" t="s">
        <v>204</v>
      </c>
      <c r="BF73" s="6" t="s">
        <v>204</v>
      </c>
      <c r="BG73" s="6" t="s">
        <v>204</v>
      </c>
      <c r="BH73" s="6" t="s">
        <v>204</v>
      </c>
      <c r="BI73" s="6" t="s">
        <v>204</v>
      </c>
      <c r="BJ73" s="6" t="s">
        <v>202</v>
      </c>
      <c r="BK73" s="6" t="s">
        <v>204</v>
      </c>
      <c r="BL73" s="6" t="s">
        <v>204</v>
      </c>
      <c r="BM73" s="6" t="s">
        <v>204</v>
      </c>
      <c r="BN73" s="6" t="s">
        <v>201</v>
      </c>
      <c r="BO73" s="6" t="s">
        <v>204</v>
      </c>
      <c r="BP73" s="6" t="s">
        <v>204</v>
      </c>
      <c r="BQ73" s="6" t="s">
        <v>204</v>
      </c>
      <c r="BR73" s="6" t="s">
        <v>204</v>
      </c>
      <c r="BS73" s="6"/>
      <c r="BT73" s="6" t="s">
        <v>206</v>
      </c>
      <c r="BU73" s="6" t="s">
        <v>202</v>
      </c>
      <c r="BV73" s="6" t="s">
        <v>203</v>
      </c>
      <c r="BW73" s="6" t="s">
        <v>202</v>
      </c>
      <c r="BX73" s="6" t="s">
        <v>202</v>
      </c>
      <c r="BY73" s="6" t="s">
        <v>203</v>
      </c>
      <c r="BZ73" s="6" t="s">
        <v>203</v>
      </c>
      <c r="CA73" s="6" t="s">
        <v>202</v>
      </c>
      <c r="CB73" s="6" t="s">
        <v>203</v>
      </c>
      <c r="CC73" s="6" t="s">
        <v>202</v>
      </c>
      <c r="CD73" s="6" t="s">
        <v>202</v>
      </c>
      <c r="CE73" s="6" t="s">
        <v>203</v>
      </c>
      <c r="CF73" s="6" t="s">
        <v>202</v>
      </c>
      <c r="CG73" s="6"/>
      <c r="CH73" s="6" t="s">
        <v>207</v>
      </c>
      <c r="CI73" s="6" t="s">
        <v>207</v>
      </c>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t="s">
        <v>236</v>
      </c>
      <c r="DQ73" s="6"/>
      <c r="DR73" s="6"/>
      <c r="DS73" s="6"/>
      <c r="DT73" s="6"/>
      <c r="DU73" s="6"/>
      <c r="DV73" s="6"/>
      <c r="DW73" s="6" t="s">
        <v>207</v>
      </c>
      <c r="DX73" s="6"/>
      <c r="DY73" s="6"/>
      <c r="DZ73" s="6"/>
      <c r="EA73" s="6"/>
      <c r="EB73" s="6"/>
      <c r="EC73" s="6"/>
      <c r="ED73" s="6"/>
      <c r="EE73" s="6"/>
      <c r="EF73" s="6" t="s">
        <v>204</v>
      </c>
      <c r="EG73" s="6" t="s">
        <v>204</v>
      </c>
      <c r="EH73" s="6" t="s">
        <v>204</v>
      </c>
      <c r="EI73" s="6" t="s">
        <v>204</v>
      </c>
      <c r="EJ73" s="6" t="s">
        <v>205</v>
      </c>
      <c r="EK73" s="6" t="s">
        <v>205</v>
      </c>
      <c r="EL73" s="6" t="s">
        <v>205</v>
      </c>
      <c r="EM73" s="6"/>
      <c r="EN73" s="6"/>
      <c r="EO73" s="6"/>
      <c r="EP73" s="6"/>
      <c r="EQ73" s="6" t="s">
        <v>205</v>
      </c>
      <c r="ER73" s="6" t="s">
        <v>205</v>
      </c>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t="s">
        <v>203</v>
      </c>
      <c r="FZ73" s="6" t="s">
        <v>202</v>
      </c>
      <c r="GA73" s="6" t="s">
        <v>201</v>
      </c>
      <c r="GB73" s="6" t="s">
        <v>203</v>
      </c>
      <c r="GC73" s="6"/>
      <c r="GD73" s="6"/>
      <c r="GE73" s="6" t="s">
        <v>202</v>
      </c>
      <c r="GF73" s="6" t="s">
        <v>202</v>
      </c>
      <c r="GG73" s="6" t="s">
        <v>202</v>
      </c>
      <c r="GH73" s="6" t="s">
        <v>203</v>
      </c>
      <c r="GI73" s="6" t="s">
        <v>201</v>
      </c>
      <c r="GJ73" s="6" t="s">
        <v>203</v>
      </c>
      <c r="GK73" s="6"/>
      <c r="GL73" s="7">
        <f>DATE(2025,5,27)+TIME(14,59,0)</f>
        <v>45804.624305555553</v>
      </c>
    </row>
    <row r="74" spans="1:194" ht="78.75" x14ac:dyDescent="0.25">
      <c r="A74" s="3" t="s">
        <v>578</v>
      </c>
      <c r="B74" s="3" t="s">
        <v>579</v>
      </c>
      <c r="C74" s="3" t="s">
        <v>580</v>
      </c>
      <c r="D74" s="3" t="s">
        <v>581</v>
      </c>
      <c r="E74" s="3"/>
      <c r="F74" s="3" t="s">
        <v>582</v>
      </c>
      <c r="G74" s="3" t="s">
        <v>583</v>
      </c>
      <c r="H74" s="3"/>
      <c r="I74" s="3"/>
      <c r="J74" s="3"/>
      <c r="K74" s="3"/>
      <c r="L74" s="3"/>
      <c r="M74" s="3"/>
      <c r="N74" s="3"/>
      <c r="O74" s="3"/>
      <c r="P74" s="3"/>
      <c r="Q74" s="3"/>
      <c r="R74" s="3"/>
      <c r="S74" s="3"/>
      <c r="T74" s="3"/>
      <c r="U74" s="3"/>
      <c r="V74" s="3"/>
      <c r="W74" s="3"/>
      <c r="X74" s="3"/>
      <c r="Y74" s="3"/>
      <c r="Z74" s="3"/>
      <c r="AA74" s="3"/>
      <c r="AB74" s="3"/>
      <c r="AC74" s="3"/>
      <c r="AD74" s="3"/>
      <c r="AE74" s="3"/>
      <c r="AF74" s="4" t="s">
        <v>583</v>
      </c>
      <c r="AG74" s="3" t="s">
        <v>213</v>
      </c>
      <c r="AH74" s="3" t="s">
        <v>201</v>
      </c>
      <c r="AI74" s="3" t="s">
        <v>202</v>
      </c>
      <c r="AJ74" s="3" t="s">
        <v>204</v>
      </c>
      <c r="AK74" s="3" t="s">
        <v>201</v>
      </c>
      <c r="AL74" s="3" t="s">
        <v>201</v>
      </c>
      <c r="AM74" s="3" t="s">
        <v>201</v>
      </c>
      <c r="AN74" s="3" t="s">
        <v>201</v>
      </c>
      <c r="AO74" s="3" t="s">
        <v>201</v>
      </c>
      <c r="AP74" s="3" t="s">
        <v>201</v>
      </c>
      <c r="AQ74" s="3" t="s">
        <v>201</v>
      </c>
      <c r="AR74" s="3" t="s">
        <v>201</v>
      </c>
      <c r="AS74" s="3"/>
      <c r="AT74" s="3" t="s">
        <v>202</v>
      </c>
      <c r="AU74" s="3" t="s">
        <v>202</v>
      </c>
      <c r="AV74" s="3" t="s">
        <v>205</v>
      </c>
      <c r="AW74" s="3" t="s">
        <v>201</v>
      </c>
      <c r="AX74" s="3" t="s">
        <v>201</v>
      </c>
      <c r="AY74" s="3" t="s">
        <v>202</v>
      </c>
      <c r="AZ74" s="3" t="s">
        <v>201</v>
      </c>
      <c r="BA74" s="3" t="s">
        <v>205</v>
      </c>
      <c r="BB74" s="3" t="s">
        <v>201</v>
      </c>
      <c r="BC74" s="3" t="s">
        <v>201</v>
      </c>
      <c r="BD74" s="3" t="s">
        <v>202</v>
      </c>
      <c r="BE74" s="3" t="s">
        <v>204</v>
      </c>
      <c r="BF74" s="3" t="s">
        <v>204</v>
      </c>
      <c r="BG74" s="3" t="s">
        <v>204</v>
      </c>
      <c r="BH74" s="3" t="s">
        <v>204</v>
      </c>
      <c r="BI74" s="3" t="s">
        <v>204</v>
      </c>
      <c r="BJ74" s="3" t="s">
        <v>201</v>
      </c>
      <c r="BK74" s="3" t="s">
        <v>205</v>
      </c>
      <c r="BL74" s="3" t="s">
        <v>201</v>
      </c>
      <c r="BM74" s="3" t="s">
        <v>201</v>
      </c>
      <c r="BN74" s="3" t="s">
        <v>202</v>
      </c>
      <c r="BO74" s="3" t="s">
        <v>201</v>
      </c>
      <c r="BP74" s="3" t="s">
        <v>202</v>
      </c>
      <c r="BQ74" s="3" t="s">
        <v>202</v>
      </c>
      <c r="BR74" s="3" t="s">
        <v>204</v>
      </c>
      <c r="BS74" s="3"/>
      <c r="BT74" s="3" t="s">
        <v>210</v>
      </c>
      <c r="BU74" s="3" t="s">
        <v>201</v>
      </c>
      <c r="BV74" s="3" t="s">
        <v>202</v>
      </c>
      <c r="BW74" s="3" t="s">
        <v>202</v>
      </c>
      <c r="BX74" s="3" t="s">
        <v>201</v>
      </c>
      <c r="BY74" s="3" t="s">
        <v>201</v>
      </c>
      <c r="BZ74" s="3" t="s">
        <v>201</v>
      </c>
      <c r="CA74" s="3" t="s">
        <v>201</v>
      </c>
      <c r="CB74" s="3" t="s">
        <v>202</v>
      </c>
      <c r="CC74" s="3" t="s">
        <v>202</v>
      </c>
      <c r="CD74" s="3" t="s">
        <v>201</v>
      </c>
      <c r="CE74" s="3" t="s">
        <v>201</v>
      </c>
      <c r="CF74" s="3" t="s">
        <v>201</v>
      </c>
      <c r="CG74" s="3"/>
      <c r="CH74" s="3" t="s">
        <v>207</v>
      </c>
      <c r="CI74" s="3" t="s">
        <v>208</v>
      </c>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t="s">
        <v>214</v>
      </c>
      <c r="DU74" s="3"/>
      <c r="DV74" s="3"/>
      <c r="DW74" s="3" t="s">
        <v>228</v>
      </c>
      <c r="DX74" s="3"/>
      <c r="DY74" s="3"/>
      <c r="DZ74" s="3"/>
      <c r="EA74" s="3"/>
      <c r="EB74" s="3"/>
      <c r="EC74" s="3"/>
      <c r="ED74" s="3"/>
      <c r="EE74" s="3"/>
      <c r="EF74" s="3" t="s">
        <v>203</v>
      </c>
      <c r="EG74" s="3" t="s">
        <v>203</v>
      </c>
      <c r="EH74" s="3" t="s">
        <v>203</v>
      </c>
      <c r="EI74" s="3" t="s">
        <v>202</v>
      </c>
      <c r="EJ74" s="3" t="s">
        <v>201</v>
      </c>
      <c r="EK74" s="3" t="s">
        <v>203</v>
      </c>
      <c r="EL74" s="3" t="s">
        <v>202</v>
      </c>
      <c r="EM74" s="3" t="s">
        <v>202</v>
      </c>
      <c r="EN74" s="3" t="s">
        <v>205</v>
      </c>
      <c r="EO74" s="3" t="s">
        <v>202</v>
      </c>
      <c r="EP74" s="3"/>
      <c r="EQ74" s="3" t="s">
        <v>201</v>
      </c>
      <c r="ER74" s="3" t="s">
        <v>202</v>
      </c>
      <c r="ES74" s="3"/>
      <c r="ET74" s="3" t="s">
        <v>201</v>
      </c>
      <c r="EU74" s="3" t="s">
        <v>203</v>
      </c>
      <c r="EV74" s="3" t="s">
        <v>201</v>
      </c>
      <c r="EW74" s="3" t="s">
        <v>204</v>
      </c>
      <c r="EX74" s="3"/>
      <c r="EY74" s="3" t="s">
        <v>201</v>
      </c>
      <c r="EZ74" s="3" t="s">
        <v>205</v>
      </c>
      <c r="FA74" s="3" t="s">
        <v>202</v>
      </c>
      <c r="FB74" s="3" t="s">
        <v>202</v>
      </c>
      <c r="FC74" s="3" t="s">
        <v>202</v>
      </c>
      <c r="FD74" s="3" t="s">
        <v>202</v>
      </c>
      <c r="FE74" s="3" t="s">
        <v>203</v>
      </c>
      <c r="FF74" s="3" t="s">
        <v>203</v>
      </c>
      <c r="FG74" s="3" t="s">
        <v>203</v>
      </c>
      <c r="FH74" s="3" t="s">
        <v>202</v>
      </c>
      <c r="FI74" s="3" t="s">
        <v>201</v>
      </c>
      <c r="FJ74" s="3" t="s">
        <v>205</v>
      </c>
      <c r="FK74" s="3" t="s">
        <v>203</v>
      </c>
      <c r="FL74" s="3" t="s">
        <v>202</v>
      </c>
      <c r="FM74" s="3" t="s">
        <v>202</v>
      </c>
      <c r="FN74" s="3" t="s">
        <v>202</v>
      </c>
      <c r="FO74" s="3" t="s">
        <v>203</v>
      </c>
      <c r="FP74" s="3" t="s">
        <v>203</v>
      </c>
      <c r="FQ74" s="3" t="s">
        <v>203</v>
      </c>
      <c r="FR74" s="3" t="s">
        <v>201</v>
      </c>
      <c r="FS74" s="3" t="s">
        <v>201</v>
      </c>
      <c r="FT74" s="3" t="s">
        <v>201</v>
      </c>
      <c r="FU74" s="3" t="s">
        <v>204</v>
      </c>
      <c r="FV74" s="3"/>
      <c r="FW74" s="3" t="s">
        <v>210</v>
      </c>
      <c r="FX74" s="3"/>
      <c r="FY74" s="3" t="s">
        <v>201</v>
      </c>
      <c r="FZ74" s="3" t="s">
        <v>203</v>
      </c>
      <c r="GA74" s="3" t="s">
        <v>201</v>
      </c>
      <c r="GB74" s="3" t="s">
        <v>203</v>
      </c>
      <c r="GC74" s="3"/>
      <c r="GD74" s="3"/>
      <c r="GE74" s="3" t="s">
        <v>201</v>
      </c>
      <c r="GF74" s="3" t="s">
        <v>201</v>
      </c>
      <c r="GG74" s="3" t="s">
        <v>201</v>
      </c>
      <c r="GH74" s="3" t="s">
        <v>202</v>
      </c>
      <c r="GI74" s="3" t="s">
        <v>201</v>
      </c>
      <c r="GJ74" s="3" t="s">
        <v>202</v>
      </c>
      <c r="GK74" s="3"/>
      <c r="GL74" s="5">
        <f>DATE(2025,6,16)+TIME(10,15,24)</f>
        <v>45824.427361111113</v>
      </c>
    </row>
    <row r="75" spans="1:194" ht="47.25" x14ac:dyDescent="0.25">
      <c r="A75" s="6" t="s">
        <v>494</v>
      </c>
      <c r="B75" s="6" t="s">
        <v>495</v>
      </c>
      <c r="C75" s="6" t="s">
        <v>496</v>
      </c>
      <c r="D75" s="6" t="s">
        <v>584</v>
      </c>
      <c r="E75" s="6"/>
      <c r="F75" s="6" t="s">
        <v>487</v>
      </c>
      <c r="G75" s="6"/>
      <c r="H75" s="6"/>
      <c r="I75" s="6"/>
      <c r="J75" s="6"/>
      <c r="K75" s="6"/>
      <c r="L75" s="6"/>
      <c r="M75" s="6"/>
      <c r="N75" s="6"/>
      <c r="O75" s="6"/>
      <c r="P75" s="6"/>
      <c r="Q75" s="6"/>
      <c r="R75" s="6"/>
      <c r="S75" s="6"/>
      <c r="T75" s="6"/>
      <c r="U75" s="6"/>
      <c r="V75" s="6" t="s">
        <v>585</v>
      </c>
      <c r="W75" s="6"/>
      <c r="X75" s="6"/>
      <c r="Y75" s="6"/>
      <c r="Z75" s="6"/>
      <c r="AA75" s="6"/>
      <c r="AB75" s="6"/>
      <c r="AC75" s="6"/>
      <c r="AD75" s="6"/>
      <c r="AE75" s="6"/>
      <c r="AF75" s="4" t="s">
        <v>585</v>
      </c>
      <c r="AG75" s="6" t="s">
        <v>213</v>
      </c>
      <c r="AH75" s="6" t="s">
        <v>202</v>
      </c>
      <c r="AI75" s="6" t="s">
        <v>202</v>
      </c>
      <c r="AJ75" s="6" t="s">
        <v>203</v>
      </c>
      <c r="AK75" s="6" t="s">
        <v>202</v>
      </c>
      <c r="AL75" s="6" t="s">
        <v>201</v>
      </c>
      <c r="AM75" s="6" t="s">
        <v>201</v>
      </c>
      <c r="AN75" s="6" t="s">
        <v>205</v>
      </c>
      <c r="AO75" s="6" t="s">
        <v>202</v>
      </c>
      <c r="AP75" s="6" t="s">
        <v>202</v>
      </c>
      <c r="AQ75" s="6" t="s">
        <v>202</v>
      </c>
      <c r="AR75" s="6" t="s">
        <v>203</v>
      </c>
      <c r="AS75" s="6"/>
      <c r="AT75" s="6" t="s">
        <v>202</v>
      </c>
      <c r="AU75" s="6" t="s">
        <v>201</v>
      </c>
      <c r="AV75" s="6" t="s">
        <v>202</v>
      </c>
      <c r="AW75" s="6" t="s">
        <v>202</v>
      </c>
      <c r="AX75" s="6" t="s">
        <v>202</v>
      </c>
      <c r="AY75" s="6" t="s">
        <v>202</v>
      </c>
      <c r="AZ75" s="6" t="s">
        <v>203</v>
      </c>
      <c r="BA75" s="6" t="s">
        <v>203</v>
      </c>
      <c r="BB75" s="6" t="s">
        <v>202</v>
      </c>
      <c r="BC75" s="6" t="s">
        <v>202</v>
      </c>
      <c r="BD75" s="6" t="s">
        <v>202</v>
      </c>
      <c r="BE75" s="6" t="s">
        <v>202</v>
      </c>
      <c r="BF75" s="6" t="s">
        <v>203</v>
      </c>
      <c r="BG75" s="6" t="s">
        <v>202</v>
      </c>
      <c r="BH75" s="6" t="s">
        <v>202</v>
      </c>
      <c r="BI75" s="6" t="s">
        <v>201</v>
      </c>
      <c r="BJ75" s="6" t="s">
        <v>202</v>
      </c>
      <c r="BK75" s="6" t="s">
        <v>203</v>
      </c>
      <c r="BL75" s="6" t="s">
        <v>202</v>
      </c>
      <c r="BM75" s="6" t="s">
        <v>204</v>
      </c>
      <c r="BN75" s="6" t="s">
        <v>202</v>
      </c>
      <c r="BO75" s="6" t="s">
        <v>201</v>
      </c>
      <c r="BP75" s="6" t="s">
        <v>201</v>
      </c>
      <c r="BQ75" s="6" t="s">
        <v>204</v>
      </c>
      <c r="BR75" s="6" t="s">
        <v>202</v>
      </c>
      <c r="BS75" s="6" t="s">
        <v>586</v>
      </c>
      <c r="BT75" s="6" t="s">
        <v>206</v>
      </c>
      <c r="BU75" s="6" t="s">
        <v>202</v>
      </c>
      <c r="BV75" s="6" t="s">
        <v>202</v>
      </c>
      <c r="BW75" s="6" t="s">
        <v>201</v>
      </c>
      <c r="BX75" s="6" t="s">
        <v>202</v>
      </c>
      <c r="BY75" s="6" t="s">
        <v>201</v>
      </c>
      <c r="BZ75" s="6" t="s">
        <v>201</v>
      </c>
      <c r="CA75" s="6" t="s">
        <v>202</v>
      </c>
      <c r="CB75" s="6" t="s">
        <v>201</v>
      </c>
      <c r="CC75" s="6" t="s">
        <v>202</v>
      </c>
      <c r="CD75" s="6" t="s">
        <v>202</v>
      </c>
      <c r="CE75" s="6" t="s">
        <v>201</v>
      </c>
      <c r="CF75" s="6" t="s">
        <v>202</v>
      </c>
      <c r="CG75" s="6"/>
      <c r="CH75" s="6" t="s">
        <v>208</v>
      </c>
      <c r="CI75" s="6" t="s">
        <v>208</v>
      </c>
      <c r="CJ75" s="6" t="s">
        <v>201</v>
      </c>
      <c r="CK75" s="6" t="s">
        <v>201</v>
      </c>
      <c r="CL75" s="6" t="s">
        <v>201</v>
      </c>
      <c r="CM75" s="6" t="s">
        <v>201</v>
      </c>
      <c r="CN75" s="6" t="s">
        <v>201</v>
      </c>
      <c r="CO75" s="6" t="s">
        <v>202</v>
      </c>
      <c r="CP75" s="6" t="s">
        <v>201</v>
      </c>
      <c r="CQ75" s="6" t="s">
        <v>201</v>
      </c>
      <c r="CR75" s="6" t="s">
        <v>201</v>
      </c>
      <c r="CS75" s="6" t="s">
        <v>201</v>
      </c>
      <c r="CT75" s="6" t="s">
        <v>201</v>
      </c>
      <c r="CU75" s="6" t="s">
        <v>204</v>
      </c>
      <c r="CV75" s="6" t="s">
        <v>203</v>
      </c>
      <c r="CW75" s="6" t="s">
        <v>202</v>
      </c>
      <c r="CX75" s="6" t="s">
        <v>202</v>
      </c>
      <c r="CY75" s="6" t="s">
        <v>204</v>
      </c>
      <c r="CZ75" s="6" t="s">
        <v>201</v>
      </c>
      <c r="DA75" s="6" t="s">
        <v>204</v>
      </c>
      <c r="DB75" s="6" t="s">
        <v>264</v>
      </c>
      <c r="DC75" s="6"/>
      <c r="DD75" s="6"/>
      <c r="DE75" s="6"/>
      <c r="DF75" s="6" t="s">
        <v>217</v>
      </c>
      <c r="DG75" s="6"/>
      <c r="DH75" s="6" t="s">
        <v>202</v>
      </c>
      <c r="DI75" s="6" t="s">
        <v>202</v>
      </c>
      <c r="DJ75" s="6" t="s">
        <v>204</v>
      </c>
      <c r="DK75" s="6" t="s">
        <v>201</v>
      </c>
      <c r="DL75" s="6" t="s">
        <v>201</v>
      </c>
      <c r="DM75" s="6" t="s">
        <v>204</v>
      </c>
      <c r="DN75" s="6" t="s">
        <v>201</v>
      </c>
      <c r="DO75" s="6" t="s">
        <v>586</v>
      </c>
      <c r="DP75" s="6"/>
      <c r="DQ75" s="6"/>
      <c r="DR75" s="6"/>
      <c r="DS75" s="6"/>
      <c r="DT75" s="6"/>
      <c r="DU75" s="6"/>
      <c r="DV75" s="6"/>
      <c r="DW75" s="6" t="s">
        <v>208</v>
      </c>
      <c r="DX75" s="6"/>
      <c r="DY75" s="6" t="s">
        <v>247</v>
      </c>
      <c r="DZ75" s="6" t="s">
        <v>219</v>
      </c>
      <c r="EA75" s="6"/>
      <c r="EB75" s="6"/>
      <c r="EC75" s="6" t="s">
        <v>203</v>
      </c>
      <c r="ED75" s="6" t="s">
        <v>203</v>
      </c>
      <c r="EE75" s="6" t="s">
        <v>202</v>
      </c>
      <c r="EF75" s="6" t="s">
        <v>205</v>
      </c>
      <c r="EG75" s="6" t="s">
        <v>205</v>
      </c>
      <c r="EH75" s="6" t="s">
        <v>202</v>
      </c>
      <c r="EI75" s="6" t="s">
        <v>201</v>
      </c>
      <c r="EJ75" s="6" t="s">
        <v>201</v>
      </c>
      <c r="EK75" s="6" t="s">
        <v>205</v>
      </c>
      <c r="EL75" s="6" t="s">
        <v>203</v>
      </c>
      <c r="EM75" s="6" t="s">
        <v>203</v>
      </c>
      <c r="EN75" s="6" t="s">
        <v>203</v>
      </c>
      <c r="EO75" s="6" t="s">
        <v>203</v>
      </c>
      <c r="EP75" s="6"/>
      <c r="EQ75" s="6" t="s">
        <v>202</v>
      </c>
      <c r="ER75" s="6" t="s">
        <v>203</v>
      </c>
      <c r="ES75" s="6"/>
      <c r="ET75" s="6" t="s">
        <v>203</v>
      </c>
      <c r="EU75" s="6" t="s">
        <v>203</v>
      </c>
      <c r="EV75" s="6" t="s">
        <v>203</v>
      </c>
      <c r="EW75" s="6" t="s">
        <v>204</v>
      </c>
      <c r="EX75" s="6"/>
      <c r="EY75" s="6" t="s">
        <v>203</v>
      </c>
      <c r="EZ75" s="6" t="s">
        <v>203</v>
      </c>
      <c r="FA75" s="6" t="s">
        <v>204</v>
      </c>
      <c r="FB75" s="6" t="s">
        <v>203</v>
      </c>
      <c r="FC75" s="6" t="s">
        <v>202</v>
      </c>
      <c r="FD75" s="6" t="s">
        <v>202</v>
      </c>
      <c r="FE75" s="6" t="s">
        <v>204</v>
      </c>
      <c r="FF75" s="6" t="s">
        <v>204</v>
      </c>
      <c r="FG75" s="6" t="s">
        <v>204</v>
      </c>
      <c r="FH75" s="6" t="s">
        <v>203</v>
      </c>
      <c r="FI75" s="6" t="s">
        <v>202</v>
      </c>
      <c r="FJ75" s="6" t="s">
        <v>203</v>
      </c>
      <c r="FK75" s="6" t="s">
        <v>204</v>
      </c>
      <c r="FL75" s="6" t="s">
        <v>204</v>
      </c>
      <c r="FM75" s="6" t="s">
        <v>202</v>
      </c>
      <c r="FN75" s="6" t="s">
        <v>202</v>
      </c>
      <c r="FO75" s="6" t="s">
        <v>204</v>
      </c>
      <c r="FP75" s="6" t="s">
        <v>204</v>
      </c>
      <c r="FQ75" s="6" t="s">
        <v>204</v>
      </c>
      <c r="FR75" s="6" t="s">
        <v>204</v>
      </c>
      <c r="FS75" s="6" t="s">
        <v>204</v>
      </c>
      <c r="FT75" s="6" t="s">
        <v>204</v>
      </c>
      <c r="FU75" s="6" t="s">
        <v>204</v>
      </c>
      <c r="FV75" s="6"/>
      <c r="FW75" s="6" t="s">
        <v>210</v>
      </c>
      <c r="FX75" s="6"/>
      <c r="FY75" s="6" t="s">
        <v>201</v>
      </c>
      <c r="FZ75" s="6" t="s">
        <v>202</v>
      </c>
      <c r="GA75" s="6" t="s">
        <v>202</v>
      </c>
      <c r="GB75" s="6" t="s">
        <v>202</v>
      </c>
      <c r="GC75" s="6" t="s">
        <v>204</v>
      </c>
      <c r="GD75" s="6"/>
      <c r="GE75" s="6" t="s">
        <v>201</v>
      </c>
      <c r="GF75" s="6" t="s">
        <v>201</v>
      </c>
      <c r="GG75" s="6" t="s">
        <v>201</v>
      </c>
      <c r="GH75" s="6" t="s">
        <v>202</v>
      </c>
      <c r="GI75" s="6" t="s">
        <v>202</v>
      </c>
      <c r="GJ75" s="6" t="s">
        <v>202</v>
      </c>
      <c r="GK75" s="6"/>
      <c r="GL75" s="7">
        <f>DATE(2025,6,3)+TIME(10,37,2)</f>
        <v>45811.442384259259</v>
      </c>
    </row>
    <row r="76" spans="1:194" ht="47.25" x14ac:dyDescent="0.25">
      <c r="A76" s="3" t="s">
        <v>467</v>
      </c>
      <c r="B76" s="3" t="s">
        <v>468</v>
      </c>
      <c r="C76" s="3" t="s">
        <v>469</v>
      </c>
      <c r="D76" s="3" t="s">
        <v>587</v>
      </c>
      <c r="E76" s="3"/>
      <c r="F76" s="3" t="s">
        <v>423</v>
      </c>
      <c r="G76" s="3"/>
      <c r="H76" s="3"/>
      <c r="I76" s="3"/>
      <c r="J76" s="3"/>
      <c r="K76" s="3"/>
      <c r="L76" s="3"/>
      <c r="M76" s="3"/>
      <c r="N76" s="3"/>
      <c r="O76" s="3"/>
      <c r="P76" s="3"/>
      <c r="Q76" s="3"/>
      <c r="R76" s="3"/>
      <c r="S76" s="3"/>
      <c r="T76" s="3" t="s">
        <v>588</v>
      </c>
      <c r="U76" s="3"/>
      <c r="V76" s="3"/>
      <c r="W76" s="3"/>
      <c r="X76" s="3"/>
      <c r="Y76" s="3"/>
      <c r="Z76" s="3"/>
      <c r="AA76" s="3"/>
      <c r="AB76" s="3"/>
      <c r="AC76" s="3"/>
      <c r="AD76" s="3"/>
      <c r="AE76" s="3"/>
      <c r="AF76" s="4" t="s">
        <v>588</v>
      </c>
      <c r="AG76" s="3" t="s">
        <v>235</v>
      </c>
      <c r="AH76" s="3" t="s">
        <v>202</v>
      </c>
      <c r="AI76" s="3" t="s">
        <v>202</v>
      </c>
      <c r="AJ76" s="3" t="s">
        <v>204</v>
      </c>
      <c r="AK76" s="3" t="s">
        <v>201</v>
      </c>
      <c r="AL76" s="3" t="s">
        <v>201</v>
      </c>
      <c r="AM76" s="3" t="s">
        <v>204</v>
      </c>
      <c r="AN76" s="3" t="s">
        <v>204</v>
      </c>
      <c r="AO76" s="3" t="s">
        <v>204</v>
      </c>
      <c r="AP76" s="3" t="s">
        <v>204</v>
      </c>
      <c r="AQ76" s="3" t="s">
        <v>202</v>
      </c>
      <c r="AR76" s="3" t="s">
        <v>204</v>
      </c>
      <c r="AS76" s="3"/>
      <c r="AT76" s="3" t="s">
        <v>202</v>
      </c>
      <c r="AU76" s="3" t="s">
        <v>202</v>
      </c>
      <c r="AV76" s="3" t="s">
        <v>205</v>
      </c>
      <c r="AW76" s="3" t="s">
        <v>203</v>
      </c>
      <c r="AX76" s="3" t="s">
        <v>202</v>
      </c>
      <c r="AY76" s="3" t="s">
        <v>201</v>
      </c>
      <c r="AZ76" s="3" t="s">
        <v>201</v>
      </c>
      <c r="BA76" s="3" t="s">
        <v>205</v>
      </c>
      <c r="BB76" s="3" t="s">
        <v>203</v>
      </c>
      <c r="BC76" s="3" t="s">
        <v>202</v>
      </c>
      <c r="BD76" s="3" t="s">
        <v>201</v>
      </c>
      <c r="BE76" s="3" t="s">
        <v>204</v>
      </c>
      <c r="BF76" s="3" t="s">
        <v>204</v>
      </c>
      <c r="BG76" s="3" t="s">
        <v>204</v>
      </c>
      <c r="BH76" s="3" t="s">
        <v>204</v>
      </c>
      <c r="BI76" s="3" t="s">
        <v>204</v>
      </c>
      <c r="BJ76" s="3" t="s">
        <v>201</v>
      </c>
      <c r="BK76" s="3" t="s">
        <v>205</v>
      </c>
      <c r="BL76" s="3" t="s">
        <v>203</v>
      </c>
      <c r="BM76" s="3" t="s">
        <v>202</v>
      </c>
      <c r="BN76" s="3" t="s">
        <v>201</v>
      </c>
      <c r="BO76" s="3" t="s">
        <v>205</v>
      </c>
      <c r="BP76" s="3" t="s">
        <v>205</v>
      </c>
      <c r="BQ76" s="3" t="s">
        <v>205</v>
      </c>
      <c r="BR76" s="3" t="s">
        <v>205</v>
      </c>
      <c r="BS76" s="3"/>
      <c r="BT76" s="3" t="s">
        <v>206</v>
      </c>
      <c r="BU76" s="3" t="s">
        <v>201</v>
      </c>
      <c r="BV76" s="3" t="s">
        <v>201</v>
      </c>
      <c r="BW76" s="3" t="s">
        <v>201</v>
      </c>
      <c r="BX76" s="3" t="s">
        <v>201</v>
      </c>
      <c r="BY76" s="3" t="s">
        <v>201</v>
      </c>
      <c r="BZ76" s="3" t="s">
        <v>201</v>
      </c>
      <c r="CA76" s="3" t="s">
        <v>201</v>
      </c>
      <c r="CB76" s="3" t="s">
        <v>201</v>
      </c>
      <c r="CC76" s="3" t="s">
        <v>201</v>
      </c>
      <c r="CD76" s="3" t="s">
        <v>201</v>
      </c>
      <c r="CE76" s="3" t="s">
        <v>201</v>
      </c>
      <c r="CF76" s="3" t="s">
        <v>201</v>
      </c>
      <c r="CG76" s="3"/>
      <c r="CH76" s="3" t="s">
        <v>207</v>
      </c>
      <c r="CI76" s="3" t="s">
        <v>207</v>
      </c>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t="s">
        <v>236</v>
      </c>
      <c r="DQ76" s="3"/>
      <c r="DR76" s="3"/>
      <c r="DS76" s="3"/>
      <c r="DT76" s="3"/>
      <c r="DU76" s="3"/>
      <c r="DV76" s="3"/>
      <c r="DW76" s="3" t="s">
        <v>208</v>
      </c>
      <c r="DX76" s="3"/>
      <c r="DY76" s="3" t="s">
        <v>247</v>
      </c>
      <c r="DZ76" s="3"/>
      <c r="EA76" s="3"/>
      <c r="EB76" s="3" t="s">
        <v>589</v>
      </c>
      <c r="EC76" s="3" t="s">
        <v>204</v>
      </c>
      <c r="ED76" s="3" t="s">
        <v>204</v>
      </c>
      <c r="EE76" s="3" t="s">
        <v>204</v>
      </c>
      <c r="EF76" s="3" t="s">
        <v>201</v>
      </c>
      <c r="EG76" s="3" t="s">
        <v>203</v>
      </c>
      <c r="EH76" s="3" t="s">
        <v>205</v>
      </c>
      <c r="EI76" s="3" t="s">
        <v>201</v>
      </c>
      <c r="EJ76" s="3" t="s">
        <v>205</v>
      </c>
      <c r="EK76" s="3" t="s">
        <v>205</v>
      </c>
      <c r="EL76" s="3" t="s">
        <v>202</v>
      </c>
      <c r="EM76" s="3"/>
      <c r="EN76" s="3"/>
      <c r="EO76" s="3"/>
      <c r="EP76" s="3"/>
      <c r="EQ76" s="3" t="s">
        <v>205</v>
      </c>
      <c r="ER76" s="3" t="s">
        <v>205</v>
      </c>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t="s">
        <v>203</v>
      </c>
      <c r="FZ76" s="3" t="s">
        <v>201</v>
      </c>
      <c r="GA76" s="3" t="s">
        <v>201</v>
      </c>
      <c r="GB76" s="3" t="s">
        <v>201</v>
      </c>
      <c r="GC76" s="3"/>
      <c r="GD76" s="3"/>
      <c r="GE76" s="3" t="s">
        <v>201</v>
      </c>
      <c r="GF76" s="3" t="s">
        <v>202</v>
      </c>
      <c r="GG76" s="3" t="s">
        <v>201</v>
      </c>
      <c r="GH76" s="3" t="s">
        <v>202</v>
      </c>
      <c r="GI76" s="3" t="s">
        <v>202</v>
      </c>
      <c r="GJ76" s="3" t="s">
        <v>201</v>
      </c>
      <c r="GK76" s="3"/>
      <c r="GL76" s="5">
        <f>DATE(2025,7,11)+TIME(18,10,11)</f>
        <v>45849.757071759261</v>
      </c>
    </row>
    <row r="77" spans="1:194" ht="409.5" x14ac:dyDescent="0.25">
      <c r="A77" s="6" t="s">
        <v>590</v>
      </c>
      <c r="B77" s="6" t="s">
        <v>591</v>
      </c>
      <c r="C77" s="6" t="s">
        <v>592</v>
      </c>
      <c r="D77" s="6" t="s">
        <v>593</v>
      </c>
      <c r="E77" s="6"/>
      <c r="F77" s="6" t="s">
        <v>233</v>
      </c>
      <c r="G77" s="6"/>
      <c r="H77" s="6"/>
      <c r="I77" s="6"/>
      <c r="J77" s="6"/>
      <c r="K77" s="6"/>
      <c r="L77" s="6"/>
      <c r="M77" s="6"/>
      <c r="N77" s="6"/>
      <c r="O77" s="6"/>
      <c r="P77" s="6"/>
      <c r="Q77" s="6"/>
      <c r="R77" s="6"/>
      <c r="S77" s="6"/>
      <c r="T77" s="6"/>
      <c r="U77" s="6"/>
      <c r="V77" s="6"/>
      <c r="W77" s="6"/>
      <c r="X77" s="6"/>
      <c r="Y77" s="6"/>
      <c r="Z77" s="6"/>
      <c r="AA77" s="6"/>
      <c r="AB77" s="6" t="s">
        <v>594</v>
      </c>
      <c r="AC77" s="6"/>
      <c r="AD77" s="6"/>
      <c r="AE77" s="6"/>
      <c r="AF77" s="4" t="s">
        <v>594</v>
      </c>
      <c r="AG77" s="6" t="s">
        <v>213</v>
      </c>
      <c r="AH77" s="6" t="s">
        <v>203</v>
      </c>
      <c r="AI77" s="6" t="s">
        <v>203</v>
      </c>
      <c r="AJ77" s="6" t="s">
        <v>204</v>
      </c>
      <c r="AK77" s="6" t="s">
        <v>202</v>
      </c>
      <c r="AL77" s="6" t="s">
        <v>203</v>
      </c>
      <c r="AM77" s="6" t="s">
        <v>204</v>
      </c>
      <c r="AN77" s="6" t="s">
        <v>203</v>
      </c>
      <c r="AO77" s="6" t="s">
        <v>204</v>
      </c>
      <c r="AP77" s="6" t="s">
        <v>203</v>
      </c>
      <c r="AQ77" s="6" t="s">
        <v>202</v>
      </c>
      <c r="AR77" s="6" t="s">
        <v>204</v>
      </c>
      <c r="AS77" s="6"/>
      <c r="AT77" s="6" t="s">
        <v>202</v>
      </c>
      <c r="AU77" s="6" t="s">
        <v>203</v>
      </c>
      <c r="AV77" s="6" t="s">
        <v>205</v>
      </c>
      <c r="AW77" s="6" t="s">
        <v>203</v>
      </c>
      <c r="AX77" s="6" t="s">
        <v>205</v>
      </c>
      <c r="AY77" s="6" t="s">
        <v>204</v>
      </c>
      <c r="AZ77" s="6" t="s">
        <v>203</v>
      </c>
      <c r="BA77" s="6" t="s">
        <v>205</v>
      </c>
      <c r="BB77" s="6" t="s">
        <v>203</v>
      </c>
      <c r="BC77" s="6" t="s">
        <v>205</v>
      </c>
      <c r="BD77" s="6" t="s">
        <v>204</v>
      </c>
      <c r="BE77" s="6" t="s">
        <v>204</v>
      </c>
      <c r="BF77" s="6" t="s">
        <v>204</v>
      </c>
      <c r="BG77" s="6" t="s">
        <v>204</v>
      </c>
      <c r="BH77" s="6" t="s">
        <v>204</v>
      </c>
      <c r="BI77" s="6" t="s">
        <v>204</v>
      </c>
      <c r="BJ77" s="6" t="s">
        <v>203</v>
      </c>
      <c r="BK77" s="6" t="s">
        <v>205</v>
      </c>
      <c r="BL77" s="6" t="s">
        <v>203</v>
      </c>
      <c r="BM77" s="6" t="s">
        <v>205</v>
      </c>
      <c r="BN77" s="6" t="s">
        <v>204</v>
      </c>
      <c r="BO77" s="6" t="s">
        <v>203</v>
      </c>
      <c r="BP77" s="6" t="s">
        <v>204</v>
      </c>
      <c r="BQ77" s="6" t="s">
        <v>204</v>
      </c>
      <c r="BR77" s="6" t="s">
        <v>202</v>
      </c>
      <c r="BS77" s="6" t="s">
        <v>595</v>
      </c>
      <c r="BT77" s="6" t="s">
        <v>206</v>
      </c>
      <c r="BU77" s="6" t="s">
        <v>201</v>
      </c>
      <c r="BV77" s="6" t="s">
        <v>201</v>
      </c>
      <c r="BW77" s="6" t="s">
        <v>201</v>
      </c>
      <c r="BX77" s="6" t="s">
        <v>201</v>
      </c>
      <c r="BY77" s="6" t="s">
        <v>201</v>
      </c>
      <c r="BZ77" s="6" t="s">
        <v>201</v>
      </c>
      <c r="CA77" s="6" t="s">
        <v>202</v>
      </c>
      <c r="CB77" s="6" t="s">
        <v>202</v>
      </c>
      <c r="CC77" s="6" t="s">
        <v>202</v>
      </c>
      <c r="CD77" s="6" t="s">
        <v>201</v>
      </c>
      <c r="CE77" s="6" t="s">
        <v>201</v>
      </c>
      <c r="CF77" s="6" t="s">
        <v>201</v>
      </c>
      <c r="CG77" s="6"/>
      <c r="CH77" s="6" t="s">
        <v>207</v>
      </c>
      <c r="CI77" s="6" t="s">
        <v>207</v>
      </c>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t="s">
        <v>596</v>
      </c>
      <c r="DW77" s="6" t="s">
        <v>208</v>
      </c>
      <c r="DX77" s="6"/>
      <c r="DY77" s="6"/>
      <c r="DZ77" s="6"/>
      <c r="EA77" s="6"/>
      <c r="EB77" s="6" t="s">
        <v>597</v>
      </c>
      <c r="EC77" s="6" t="s">
        <v>204</v>
      </c>
      <c r="ED77" s="6" t="s">
        <v>204</v>
      </c>
      <c r="EE77" s="6" t="s">
        <v>204</v>
      </c>
      <c r="EF77" s="6" t="s">
        <v>204</v>
      </c>
      <c r="EG77" s="6" t="s">
        <v>204</v>
      </c>
      <c r="EH77" s="6" t="s">
        <v>204</v>
      </c>
      <c r="EI77" s="6" t="s">
        <v>204</v>
      </c>
      <c r="EJ77" s="6" t="s">
        <v>204</v>
      </c>
      <c r="EK77" s="6" t="s">
        <v>204</v>
      </c>
      <c r="EL77" s="6" t="s">
        <v>204</v>
      </c>
      <c r="EM77" s="6"/>
      <c r="EN77" s="6"/>
      <c r="EO77" s="6"/>
      <c r="EP77" s="6"/>
      <c r="EQ77" s="6" t="s">
        <v>205</v>
      </c>
      <c r="ER77" s="6" t="s">
        <v>203</v>
      </c>
      <c r="ES77" s="6"/>
      <c r="ET77" s="6"/>
      <c r="EU77" s="6"/>
      <c r="EV77" s="6"/>
      <c r="EW77" s="6"/>
      <c r="EX77" s="6"/>
      <c r="EY77" s="6"/>
      <c r="EZ77" s="6"/>
      <c r="FA77" s="6"/>
      <c r="FB77" s="6"/>
      <c r="FC77" s="6"/>
      <c r="FD77" s="6"/>
      <c r="FE77" s="6"/>
      <c r="FF77" s="6"/>
      <c r="FG77" s="6"/>
      <c r="FH77" s="6" t="s">
        <v>204</v>
      </c>
      <c r="FI77" s="6" t="s">
        <v>204</v>
      </c>
      <c r="FJ77" s="6" t="s">
        <v>204</v>
      </c>
      <c r="FK77" s="6" t="s">
        <v>204</v>
      </c>
      <c r="FL77" s="6" t="s">
        <v>204</v>
      </c>
      <c r="FM77" s="6" t="s">
        <v>204</v>
      </c>
      <c r="FN77" s="6" t="s">
        <v>204</v>
      </c>
      <c r="FO77" s="6" t="s">
        <v>204</v>
      </c>
      <c r="FP77" s="6" t="s">
        <v>204</v>
      </c>
      <c r="FQ77" s="6" t="s">
        <v>204</v>
      </c>
      <c r="FR77" s="6" t="s">
        <v>204</v>
      </c>
      <c r="FS77" s="6" t="s">
        <v>204</v>
      </c>
      <c r="FT77" s="6" t="s">
        <v>204</v>
      </c>
      <c r="FU77" s="6" t="s">
        <v>204</v>
      </c>
      <c r="FV77" s="6"/>
      <c r="FW77" s="6" t="s">
        <v>210</v>
      </c>
      <c r="FX77" s="6"/>
      <c r="FY77" s="6" t="s">
        <v>201</v>
      </c>
      <c r="FZ77" s="6" t="s">
        <v>201</v>
      </c>
      <c r="GA77" s="6" t="s">
        <v>201</v>
      </c>
      <c r="GB77" s="6" t="s">
        <v>202</v>
      </c>
      <c r="GC77" s="6"/>
      <c r="GD77" s="6"/>
      <c r="GE77" s="6" t="s">
        <v>203</v>
      </c>
      <c r="GF77" s="6" t="s">
        <v>201</v>
      </c>
      <c r="GG77" s="6" t="s">
        <v>203</v>
      </c>
      <c r="GH77" s="6" t="s">
        <v>203</v>
      </c>
      <c r="GI77" s="6" t="s">
        <v>203</v>
      </c>
      <c r="GJ77" s="6" t="s">
        <v>203</v>
      </c>
      <c r="GK77" s="6" t="s">
        <v>598</v>
      </c>
      <c r="GL77" s="7">
        <f>DATE(2025,6,13)+TIME(12,19,58)</f>
        <v>45821.513865740744</v>
      </c>
    </row>
    <row r="78" spans="1:194" ht="47.25" x14ac:dyDescent="0.25">
      <c r="A78" s="3"/>
      <c r="B78" s="3"/>
      <c r="C78" s="3" t="s">
        <v>248</v>
      </c>
      <c r="D78" s="3" t="s">
        <v>599</v>
      </c>
      <c r="E78" s="3"/>
      <c r="F78" s="3" t="s">
        <v>250</v>
      </c>
      <c r="G78" s="3"/>
      <c r="H78" s="3"/>
      <c r="I78" s="3"/>
      <c r="J78" s="3"/>
      <c r="K78" s="3"/>
      <c r="L78" s="3"/>
      <c r="M78" s="3"/>
      <c r="N78" s="3"/>
      <c r="O78" s="3"/>
      <c r="P78" s="3"/>
      <c r="Q78" s="3"/>
      <c r="R78" s="3"/>
      <c r="S78" s="3"/>
      <c r="T78" s="3"/>
      <c r="U78" s="3"/>
      <c r="V78" s="3"/>
      <c r="W78" s="3"/>
      <c r="X78" s="3" t="s">
        <v>600</v>
      </c>
      <c r="Y78" s="3"/>
      <c r="Z78" s="3"/>
      <c r="AA78" s="3"/>
      <c r="AB78" s="3"/>
      <c r="AC78" s="3"/>
      <c r="AD78" s="3"/>
      <c r="AE78" s="3"/>
      <c r="AF78" s="4" t="s">
        <v>600</v>
      </c>
      <c r="AG78" s="3" t="s">
        <v>200</v>
      </c>
      <c r="AH78" s="3" t="s">
        <v>204</v>
      </c>
      <c r="AI78" s="3" t="s">
        <v>201</v>
      </c>
      <c r="AJ78" s="3" t="s">
        <v>204</v>
      </c>
      <c r="AK78" s="3" t="s">
        <v>201</v>
      </c>
      <c r="AL78" s="3" t="s">
        <v>204</v>
      </c>
      <c r="AM78" s="3" t="s">
        <v>204</v>
      </c>
      <c r="AN78" s="3" t="s">
        <v>204</v>
      </c>
      <c r="AO78" s="3" t="s">
        <v>204</v>
      </c>
      <c r="AP78" s="3" t="s">
        <v>204</v>
      </c>
      <c r="AQ78" s="3" t="s">
        <v>204</v>
      </c>
      <c r="AR78" s="3" t="s">
        <v>201</v>
      </c>
      <c r="AS78" s="3"/>
      <c r="AT78" s="3" t="s">
        <v>205</v>
      </c>
      <c r="AU78" s="3" t="s">
        <v>205</v>
      </c>
      <c r="AV78" s="3" t="s">
        <v>205</v>
      </c>
      <c r="AW78" s="3" t="s">
        <v>204</v>
      </c>
      <c r="AX78" s="3" t="s">
        <v>204</v>
      </c>
      <c r="AY78" s="3" t="s">
        <v>204</v>
      </c>
      <c r="AZ78" s="3" t="s">
        <v>202</v>
      </c>
      <c r="BA78" s="3" t="s">
        <v>203</v>
      </c>
      <c r="BB78" s="3" t="s">
        <v>203</v>
      </c>
      <c r="BC78" s="3" t="s">
        <v>205</v>
      </c>
      <c r="BD78" s="3" t="s">
        <v>201</v>
      </c>
      <c r="BE78" s="3" t="s">
        <v>205</v>
      </c>
      <c r="BF78" s="3" t="s">
        <v>205</v>
      </c>
      <c r="BG78" s="3" t="s">
        <v>204</v>
      </c>
      <c r="BH78" s="3" t="s">
        <v>204</v>
      </c>
      <c r="BI78" s="3" t="s">
        <v>204</v>
      </c>
      <c r="BJ78" s="3" t="s">
        <v>202</v>
      </c>
      <c r="BK78" s="3" t="s">
        <v>203</v>
      </c>
      <c r="BL78" s="3" t="s">
        <v>202</v>
      </c>
      <c r="BM78" s="3" t="s">
        <v>204</v>
      </c>
      <c r="BN78" s="3" t="s">
        <v>201</v>
      </c>
      <c r="BO78" s="3" t="s">
        <v>204</v>
      </c>
      <c r="BP78" s="3" t="s">
        <v>204</v>
      </c>
      <c r="BQ78" s="3" t="s">
        <v>204</v>
      </c>
      <c r="BR78" s="3" t="s">
        <v>204</v>
      </c>
      <c r="BS78" s="3"/>
      <c r="BT78" s="3" t="s">
        <v>206</v>
      </c>
      <c r="BU78" s="3" t="s">
        <v>203</v>
      </c>
      <c r="BV78" s="3" t="s">
        <v>203</v>
      </c>
      <c r="BW78" s="3" t="s">
        <v>203</v>
      </c>
      <c r="BX78" s="3" t="s">
        <v>203</v>
      </c>
      <c r="BY78" s="3" t="s">
        <v>203</v>
      </c>
      <c r="BZ78" s="3" t="s">
        <v>203</v>
      </c>
      <c r="CA78" s="3" t="s">
        <v>203</v>
      </c>
      <c r="CB78" s="3" t="s">
        <v>203</v>
      </c>
      <c r="CC78" s="3" t="s">
        <v>203</v>
      </c>
      <c r="CD78" s="3" t="s">
        <v>203</v>
      </c>
      <c r="CE78" s="3" t="s">
        <v>203</v>
      </c>
      <c r="CF78" s="3" t="s">
        <v>203</v>
      </c>
      <c r="CG78" s="3"/>
      <c r="CH78" s="3" t="s">
        <v>207</v>
      </c>
      <c r="CI78" s="3" t="s">
        <v>207</v>
      </c>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t="s">
        <v>237</v>
      </c>
      <c r="DR78" s="3"/>
      <c r="DS78" s="3"/>
      <c r="DT78" s="3"/>
      <c r="DU78" s="3"/>
      <c r="DV78" s="3"/>
      <c r="DW78" s="3" t="s">
        <v>228</v>
      </c>
      <c r="DX78" s="3"/>
      <c r="DY78" s="3"/>
      <c r="DZ78" s="3"/>
      <c r="EA78" s="3"/>
      <c r="EB78" s="3"/>
      <c r="EC78" s="3"/>
      <c r="ED78" s="3"/>
      <c r="EE78" s="3"/>
      <c r="EF78" s="3" t="s">
        <v>201</v>
      </c>
      <c r="EG78" s="3" t="s">
        <v>204</v>
      </c>
      <c r="EH78" s="3" t="s">
        <v>202</v>
      </c>
      <c r="EI78" s="3" t="s">
        <v>201</v>
      </c>
      <c r="EJ78" s="3" t="s">
        <v>205</v>
      </c>
      <c r="EK78" s="3" t="s">
        <v>205</v>
      </c>
      <c r="EL78" s="3" t="s">
        <v>205</v>
      </c>
      <c r="EM78" s="3"/>
      <c r="EN78" s="3"/>
      <c r="EO78" s="3"/>
      <c r="EP78" s="3"/>
      <c r="EQ78" s="3" t="s">
        <v>205</v>
      </c>
      <c r="ER78" s="3" t="s">
        <v>205</v>
      </c>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t="s">
        <v>201</v>
      </c>
      <c r="FZ78" s="3" t="s">
        <v>202</v>
      </c>
      <c r="GA78" s="3" t="s">
        <v>201</v>
      </c>
      <c r="GB78" s="3" t="s">
        <v>202</v>
      </c>
      <c r="GC78" s="3" t="s">
        <v>204</v>
      </c>
      <c r="GD78" s="3"/>
      <c r="GE78" s="3" t="s">
        <v>203</v>
      </c>
      <c r="GF78" s="3" t="s">
        <v>203</v>
      </c>
      <c r="GG78" s="3" t="s">
        <v>202</v>
      </c>
      <c r="GH78" s="3" t="s">
        <v>203</v>
      </c>
      <c r="GI78" s="3" t="s">
        <v>202</v>
      </c>
      <c r="GJ78" s="3" t="s">
        <v>202</v>
      </c>
      <c r="GK78" s="3"/>
      <c r="GL78" s="5">
        <f>DATE(2025,6,4)+TIME(12,8,50)</f>
        <v>45812.50613425926</v>
      </c>
    </row>
    <row r="79" spans="1:194" ht="409.5" x14ac:dyDescent="0.25">
      <c r="A79" s="6" t="s">
        <v>601</v>
      </c>
      <c r="B79" s="6" t="s">
        <v>602</v>
      </c>
      <c r="C79" s="6" t="s">
        <v>603</v>
      </c>
      <c r="D79" s="6" t="s">
        <v>604</v>
      </c>
      <c r="E79" s="6"/>
      <c r="F79" s="6" t="s">
        <v>233</v>
      </c>
      <c r="G79" s="6"/>
      <c r="H79" s="6"/>
      <c r="I79" s="6"/>
      <c r="J79" s="6"/>
      <c r="K79" s="6"/>
      <c r="L79" s="6"/>
      <c r="M79" s="6"/>
      <c r="N79" s="6"/>
      <c r="O79" s="6"/>
      <c r="P79" s="6"/>
      <c r="Q79" s="6"/>
      <c r="R79" s="6"/>
      <c r="S79" s="6"/>
      <c r="T79" s="6"/>
      <c r="U79" s="6"/>
      <c r="V79" s="6"/>
      <c r="W79" s="6"/>
      <c r="X79" s="6"/>
      <c r="Y79" s="6"/>
      <c r="Z79" s="6"/>
      <c r="AA79" s="6"/>
      <c r="AB79" s="6" t="s">
        <v>605</v>
      </c>
      <c r="AC79" s="6"/>
      <c r="AD79" s="6"/>
      <c r="AE79" s="6"/>
      <c r="AF79" s="4" t="s">
        <v>605</v>
      </c>
      <c r="AG79" s="6" t="s">
        <v>213</v>
      </c>
      <c r="AH79" s="6" t="s">
        <v>201</v>
      </c>
      <c r="AI79" s="6" t="s">
        <v>201</v>
      </c>
      <c r="AJ79" s="6" t="s">
        <v>201</v>
      </c>
      <c r="AK79" s="6" t="s">
        <v>201</v>
      </c>
      <c r="AL79" s="6" t="s">
        <v>201</v>
      </c>
      <c r="AM79" s="6" t="s">
        <v>205</v>
      </c>
      <c r="AN79" s="6" t="s">
        <v>205</v>
      </c>
      <c r="AO79" s="6" t="s">
        <v>201</v>
      </c>
      <c r="AP79" s="6" t="s">
        <v>202</v>
      </c>
      <c r="AQ79" s="6" t="s">
        <v>201</v>
      </c>
      <c r="AR79" s="6" t="s">
        <v>201</v>
      </c>
      <c r="AS79" s="6"/>
      <c r="AT79" s="6" t="s">
        <v>202</v>
      </c>
      <c r="AU79" s="6" t="s">
        <v>202</v>
      </c>
      <c r="AV79" s="6" t="s">
        <v>205</v>
      </c>
      <c r="AW79" s="6" t="s">
        <v>201</v>
      </c>
      <c r="AX79" s="6" t="s">
        <v>203</v>
      </c>
      <c r="AY79" s="6" t="s">
        <v>204</v>
      </c>
      <c r="AZ79" s="6" t="s">
        <v>201</v>
      </c>
      <c r="BA79" s="6" t="s">
        <v>205</v>
      </c>
      <c r="BB79" s="6" t="s">
        <v>201</v>
      </c>
      <c r="BC79" s="6" t="s">
        <v>202</v>
      </c>
      <c r="BD79" s="6" t="s">
        <v>202</v>
      </c>
      <c r="BE79" s="6" t="s">
        <v>204</v>
      </c>
      <c r="BF79" s="6" t="s">
        <v>204</v>
      </c>
      <c r="BG79" s="6" t="s">
        <v>204</v>
      </c>
      <c r="BH79" s="6" t="s">
        <v>204</v>
      </c>
      <c r="BI79" s="6" t="s">
        <v>204</v>
      </c>
      <c r="BJ79" s="6" t="s">
        <v>201</v>
      </c>
      <c r="BK79" s="6" t="s">
        <v>205</v>
      </c>
      <c r="BL79" s="6" t="s">
        <v>201</v>
      </c>
      <c r="BM79" s="6" t="s">
        <v>202</v>
      </c>
      <c r="BN79" s="6" t="s">
        <v>202</v>
      </c>
      <c r="BO79" s="6" t="s">
        <v>202</v>
      </c>
      <c r="BP79" s="6" t="s">
        <v>203</v>
      </c>
      <c r="BQ79" s="6" t="s">
        <v>203</v>
      </c>
      <c r="BR79" s="6" t="s">
        <v>204</v>
      </c>
      <c r="BS79" s="6"/>
      <c r="BT79" s="6" t="s">
        <v>206</v>
      </c>
      <c r="BU79" s="6" t="s">
        <v>201</v>
      </c>
      <c r="BV79" s="6" t="s">
        <v>202</v>
      </c>
      <c r="BW79" s="6" t="s">
        <v>201</v>
      </c>
      <c r="BX79" s="6" t="s">
        <v>201</v>
      </c>
      <c r="BY79" s="6" t="s">
        <v>201</v>
      </c>
      <c r="BZ79" s="6" t="s">
        <v>201</v>
      </c>
      <c r="CA79" s="6" t="s">
        <v>201</v>
      </c>
      <c r="CB79" s="6" t="s">
        <v>201</v>
      </c>
      <c r="CC79" s="6" t="s">
        <v>201</v>
      </c>
      <c r="CD79" s="6" t="s">
        <v>201</v>
      </c>
      <c r="CE79" s="6" t="s">
        <v>201</v>
      </c>
      <c r="CF79" s="6" t="s">
        <v>201</v>
      </c>
      <c r="CG79" s="6"/>
      <c r="CH79" s="6" t="s">
        <v>207</v>
      </c>
      <c r="CI79" s="6" t="s">
        <v>207</v>
      </c>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t="s">
        <v>209</v>
      </c>
      <c r="DS79" s="6" t="s">
        <v>288</v>
      </c>
      <c r="DT79" s="6"/>
      <c r="DU79" s="6" t="s">
        <v>294</v>
      </c>
      <c r="DV79" s="6"/>
      <c r="DW79" s="6" t="s">
        <v>208</v>
      </c>
      <c r="DX79" s="6" t="s">
        <v>246</v>
      </c>
      <c r="DY79" s="6" t="s">
        <v>247</v>
      </c>
      <c r="DZ79" s="6"/>
      <c r="EA79" s="6"/>
      <c r="EB79" s="6"/>
      <c r="EC79" s="6" t="s">
        <v>205</v>
      </c>
      <c r="ED79" s="6" t="s">
        <v>205</v>
      </c>
      <c r="EE79" s="6" t="s">
        <v>201</v>
      </c>
      <c r="EF79" s="6" t="s">
        <v>205</v>
      </c>
      <c r="EG79" s="6" t="s">
        <v>205</v>
      </c>
      <c r="EH79" s="6" t="s">
        <v>202</v>
      </c>
      <c r="EI79" s="6" t="s">
        <v>205</v>
      </c>
      <c r="EJ79" s="6" t="s">
        <v>201</v>
      </c>
      <c r="EK79" s="6" t="s">
        <v>203</v>
      </c>
      <c r="EL79" s="6" t="s">
        <v>203</v>
      </c>
      <c r="EM79" s="6"/>
      <c r="EN79" s="6"/>
      <c r="EO79" s="6"/>
      <c r="EP79" s="6"/>
      <c r="EQ79" s="6" t="s">
        <v>202</v>
      </c>
      <c r="ER79" s="6" t="s">
        <v>202</v>
      </c>
      <c r="ES79" s="6"/>
      <c r="ET79" s="6" t="s">
        <v>202</v>
      </c>
      <c r="EU79" s="6" t="s">
        <v>201</v>
      </c>
      <c r="EV79" s="6" t="s">
        <v>202</v>
      </c>
      <c r="EW79" s="6" t="s">
        <v>204</v>
      </c>
      <c r="EX79" s="6"/>
      <c r="EY79" s="6" t="s">
        <v>202</v>
      </c>
      <c r="EZ79" s="6" t="s">
        <v>203</v>
      </c>
      <c r="FA79" s="6" t="s">
        <v>202</v>
      </c>
      <c r="FB79" s="6" t="s">
        <v>201</v>
      </c>
      <c r="FC79" s="6" t="s">
        <v>201</v>
      </c>
      <c r="FD79" s="6" t="s">
        <v>205</v>
      </c>
      <c r="FE79" s="6" t="s">
        <v>204</v>
      </c>
      <c r="FF79" s="6" t="s">
        <v>204</v>
      </c>
      <c r="FG79" s="6" t="s">
        <v>204</v>
      </c>
      <c r="FH79" s="6" t="s">
        <v>203</v>
      </c>
      <c r="FI79" s="6" t="s">
        <v>203</v>
      </c>
      <c r="FJ79" s="6" t="s">
        <v>204</v>
      </c>
      <c r="FK79" s="6" t="s">
        <v>203</v>
      </c>
      <c r="FL79" s="6" t="s">
        <v>203</v>
      </c>
      <c r="FM79" s="6" t="s">
        <v>203</v>
      </c>
      <c r="FN79" s="6" t="s">
        <v>205</v>
      </c>
      <c r="FO79" s="6" t="s">
        <v>204</v>
      </c>
      <c r="FP79" s="6" t="s">
        <v>204</v>
      </c>
      <c r="FQ79" s="6" t="s">
        <v>204</v>
      </c>
      <c r="FR79" s="6" t="s">
        <v>202</v>
      </c>
      <c r="FS79" s="6" t="s">
        <v>202</v>
      </c>
      <c r="FT79" s="6" t="s">
        <v>204</v>
      </c>
      <c r="FU79" s="6" t="s">
        <v>204</v>
      </c>
      <c r="FV79" s="6"/>
      <c r="FW79" s="6" t="s">
        <v>210</v>
      </c>
      <c r="FX79" s="6"/>
      <c r="FY79" s="6" t="s">
        <v>201</v>
      </c>
      <c r="FZ79" s="6" t="s">
        <v>201</v>
      </c>
      <c r="GA79" s="6" t="s">
        <v>201</v>
      </c>
      <c r="GB79" s="6" t="s">
        <v>201</v>
      </c>
      <c r="GC79" s="6"/>
      <c r="GD79" s="6"/>
      <c r="GE79" s="6" t="s">
        <v>202</v>
      </c>
      <c r="GF79" s="6" t="s">
        <v>201</v>
      </c>
      <c r="GG79" s="6" t="s">
        <v>203</v>
      </c>
      <c r="GH79" s="6" t="s">
        <v>201</v>
      </c>
      <c r="GI79" s="6" t="s">
        <v>201</v>
      </c>
      <c r="GJ79" s="6" t="s">
        <v>202</v>
      </c>
      <c r="GK79" s="6" t="s">
        <v>606</v>
      </c>
      <c r="GL79" s="7">
        <f>DATE(2025,5,29)+TIME(11,9,31)</f>
        <v>45806.464942129627</v>
      </c>
    </row>
    <row r="80" spans="1:194" ht="409.5" x14ac:dyDescent="0.25">
      <c r="A80" s="3" t="s">
        <v>607</v>
      </c>
      <c r="B80" s="3" t="s">
        <v>608</v>
      </c>
      <c r="C80" s="3" t="s">
        <v>609</v>
      </c>
      <c r="D80" s="3" t="s">
        <v>610</v>
      </c>
      <c r="E80" s="3"/>
      <c r="F80" s="3" t="s">
        <v>269</v>
      </c>
      <c r="G80" s="3"/>
      <c r="H80" s="3"/>
      <c r="I80" s="3"/>
      <c r="J80" s="3"/>
      <c r="K80" s="3"/>
      <c r="L80" s="3"/>
      <c r="M80" s="3"/>
      <c r="N80" s="3"/>
      <c r="O80" s="3"/>
      <c r="P80" s="3"/>
      <c r="Q80" s="3"/>
      <c r="R80" s="3"/>
      <c r="S80" s="3"/>
      <c r="T80" s="3"/>
      <c r="U80" s="3"/>
      <c r="V80" s="3"/>
      <c r="W80" s="3" t="s">
        <v>611</v>
      </c>
      <c r="X80" s="3"/>
      <c r="Y80" s="3"/>
      <c r="Z80" s="3"/>
      <c r="AA80" s="3"/>
      <c r="AB80" s="3"/>
      <c r="AC80" s="3"/>
      <c r="AD80" s="3"/>
      <c r="AE80" s="3"/>
      <c r="AF80" s="4" t="s">
        <v>611</v>
      </c>
      <c r="AG80" s="3" t="s">
        <v>200</v>
      </c>
      <c r="AH80" s="3" t="s">
        <v>203</v>
      </c>
      <c r="AI80" s="3" t="s">
        <v>203</v>
      </c>
      <c r="AJ80" s="3" t="s">
        <v>203</v>
      </c>
      <c r="AK80" s="3" t="s">
        <v>203</v>
      </c>
      <c r="AL80" s="3" t="s">
        <v>202</v>
      </c>
      <c r="AM80" s="3" t="s">
        <v>202</v>
      </c>
      <c r="AN80" s="3" t="s">
        <v>203</v>
      </c>
      <c r="AO80" s="3" t="s">
        <v>202</v>
      </c>
      <c r="AP80" s="3" t="s">
        <v>202</v>
      </c>
      <c r="AQ80" s="3" t="s">
        <v>202</v>
      </c>
      <c r="AR80" s="3" t="s">
        <v>203</v>
      </c>
      <c r="AS80" s="3"/>
      <c r="AT80" s="3" t="s">
        <v>205</v>
      </c>
      <c r="AU80" s="3" t="s">
        <v>203</v>
      </c>
      <c r="AV80" s="3" t="s">
        <v>203</v>
      </c>
      <c r="AW80" s="3" t="s">
        <v>205</v>
      </c>
      <c r="AX80" s="3" t="s">
        <v>203</v>
      </c>
      <c r="AY80" s="3" t="s">
        <v>203</v>
      </c>
      <c r="AZ80" s="3" t="s">
        <v>202</v>
      </c>
      <c r="BA80" s="3" t="s">
        <v>202</v>
      </c>
      <c r="BB80" s="3" t="s">
        <v>205</v>
      </c>
      <c r="BC80" s="3" t="s">
        <v>205</v>
      </c>
      <c r="BD80" s="3" t="s">
        <v>203</v>
      </c>
      <c r="BE80" s="3" t="s">
        <v>203</v>
      </c>
      <c r="BF80" s="3" t="s">
        <v>203</v>
      </c>
      <c r="BG80" s="3" t="s">
        <v>203</v>
      </c>
      <c r="BH80" s="3" t="s">
        <v>205</v>
      </c>
      <c r="BI80" s="3" t="s">
        <v>203</v>
      </c>
      <c r="BJ80" s="3" t="s">
        <v>203</v>
      </c>
      <c r="BK80" s="3" t="s">
        <v>203</v>
      </c>
      <c r="BL80" s="3" t="s">
        <v>203</v>
      </c>
      <c r="BM80" s="3" t="s">
        <v>205</v>
      </c>
      <c r="BN80" s="3" t="s">
        <v>203</v>
      </c>
      <c r="BO80" s="3" t="s">
        <v>205</v>
      </c>
      <c r="BP80" s="3" t="s">
        <v>205</v>
      </c>
      <c r="BQ80" s="3" t="s">
        <v>205</v>
      </c>
      <c r="BR80" s="3" t="s">
        <v>205</v>
      </c>
      <c r="BS80" s="3"/>
      <c r="BT80" s="3" t="s">
        <v>271</v>
      </c>
      <c r="BU80" s="3" t="s">
        <v>203</v>
      </c>
      <c r="BV80" s="3" t="s">
        <v>203</v>
      </c>
      <c r="BW80" s="3" t="s">
        <v>203</v>
      </c>
      <c r="BX80" s="3" t="s">
        <v>203</v>
      </c>
      <c r="BY80" s="3" t="s">
        <v>203</v>
      </c>
      <c r="BZ80" s="3" t="s">
        <v>203</v>
      </c>
      <c r="CA80" s="3" t="s">
        <v>203</v>
      </c>
      <c r="CB80" s="3" t="s">
        <v>203</v>
      </c>
      <c r="CC80" s="3" t="s">
        <v>203</v>
      </c>
      <c r="CD80" s="3" t="s">
        <v>203</v>
      </c>
      <c r="CE80" s="3" t="s">
        <v>203</v>
      </c>
      <c r="CF80" s="3" t="s">
        <v>203</v>
      </c>
      <c r="CG80" s="3"/>
      <c r="CH80" s="3" t="s">
        <v>207</v>
      </c>
      <c r="CI80" s="3" t="s">
        <v>207</v>
      </c>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t="s">
        <v>612</v>
      </c>
      <c r="DW80" s="3" t="s">
        <v>207</v>
      </c>
      <c r="DX80" s="3"/>
      <c r="DY80" s="3"/>
      <c r="DZ80" s="3"/>
      <c r="EA80" s="3"/>
      <c r="EB80" s="3"/>
      <c r="EC80" s="3"/>
      <c r="ED80" s="3"/>
      <c r="EE80" s="3"/>
      <c r="EF80" s="3" t="s">
        <v>203</v>
      </c>
      <c r="EG80" s="3" t="s">
        <v>205</v>
      </c>
      <c r="EH80" s="3" t="s">
        <v>203</v>
      </c>
      <c r="EI80" s="3" t="s">
        <v>202</v>
      </c>
      <c r="EJ80" s="3" t="s">
        <v>203</v>
      </c>
      <c r="EK80" s="3" t="s">
        <v>203</v>
      </c>
      <c r="EL80" s="3" t="s">
        <v>203</v>
      </c>
      <c r="EM80" s="3"/>
      <c r="EN80" s="3"/>
      <c r="EO80" s="3"/>
      <c r="EP80" s="3"/>
      <c r="EQ80" s="3" t="s">
        <v>203</v>
      </c>
      <c r="ER80" s="3" t="s">
        <v>205</v>
      </c>
      <c r="ES80" s="3"/>
      <c r="ET80" s="3" t="s">
        <v>205</v>
      </c>
      <c r="EU80" s="3" t="s">
        <v>204</v>
      </c>
      <c r="EV80" s="3" t="s">
        <v>204</v>
      </c>
      <c r="EW80" s="3" t="s">
        <v>204</v>
      </c>
      <c r="EX80" s="3"/>
      <c r="EY80" s="3" t="s">
        <v>203</v>
      </c>
      <c r="EZ80" s="3" t="s">
        <v>203</v>
      </c>
      <c r="FA80" s="3" t="s">
        <v>203</v>
      </c>
      <c r="FB80" s="3" t="s">
        <v>205</v>
      </c>
      <c r="FC80" s="3" t="s">
        <v>205</v>
      </c>
      <c r="FD80" s="3" t="s">
        <v>205</v>
      </c>
      <c r="FE80" s="3" t="s">
        <v>203</v>
      </c>
      <c r="FF80" s="3" t="s">
        <v>204</v>
      </c>
      <c r="FG80" s="3" t="s">
        <v>203</v>
      </c>
      <c r="FH80" s="3"/>
      <c r="FI80" s="3"/>
      <c r="FJ80" s="3"/>
      <c r="FK80" s="3"/>
      <c r="FL80" s="3"/>
      <c r="FM80" s="3"/>
      <c r="FN80" s="3"/>
      <c r="FO80" s="3"/>
      <c r="FP80" s="3"/>
      <c r="FQ80" s="3"/>
      <c r="FR80" s="3" t="s">
        <v>204</v>
      </c>
      <c r="FS80" s="3" t="s">
        <v>204</v>
      </c>
      <c r="FT80" s="3" t="s">
        <v>204</v>
      </c>
      <c r="FU80" s="3" t="s">
        <v>204</v>
      </c>
      <c r="FV80" s="3"/>
      <c r="FW80" s="3" t="s">
        <v>271</v>
      </c>
      <c r="FX80" s="3"/>
      <c r="FY80" s="3" t="s">
        <v>203</v>
      </c>
      <c r="FZ80" s="3" t="s">
        <v>203</v>
      </c>
      <c r="GA80" s="3" t="s">
        <v>203</v>
      </c>
      <c r="GB80" s="3" t="s">
        <v>203</v>
      </c>
      <c r="GC80" s="3" t="s">
        <v>205</v>
      </c>
      <c r="GD80" s="3"/>
      <c r="GE80" s="3" t="s">
        <v>202</v>
      </c>
      <c r="GF80" s="3" t="s">
        <v>203</v>
      </c>
      <c r="GG80" s="3" t="s">
        <v>201</v>
      </c>
      <c r="GH80" s="3" t="s">
        <v>205</v>
      </c>
      <c r="GI80" s="3" t="s">
        <v>203</v>
      </c>
      <c r="GJ80" s="3" t="s">
        <v>203</v>
      </c>
      <c r="GK80" s="3" t="s">
        <v>613</v>
      </c>
      <c r="GL80" s="5">
        <f>DATE(2025,6,10)+TIME(15,7,39)</f>
        <v>45818.630312499998</v>
      </c>
    </row>
    <row r="81" spans="1:194" ht="173.25" x14ac:dyDescent="0.25">
      <c r="A81" s="6" t="s">
        <v>614</v>
      </c>
      <c r="B81" s="6" t="s">
        <v>615</v>
      </c>
      <c r="C81" s="6" t="s">
        <v>616</v>
      </c>
      <c r="D81" s="6" t="s">
        <v>617</v>
      </c>
      <c r="E81" s="6"/>
      <c r="F81" s="6" t="s">
        <v>225</v>
      </c>
      <c r="G81" s="6"/>
      <c r="H81" s="6"/>
      <c r="I81" s="6"/>
      <c r="J81" s="6"/>
      <c r="K81" s="6"/>
      <c r="L81" s="6"/>
      <c r="M81" s="6"/>
      <c r="N81" s="6"/>
      <c r="O81" s="6"/>
      <c r="P81" s="6"/>
      <c r="Q81" s="6"/>
      <c r="R81" s="6"/>
      <c r="S81" s="6"/>
      <c r="T81" s="6"/>
      <c r="U81" s="6"/>
      <c r="V81" s="6"/>
      <c r="W81" s="6"/>
      <c r="X81" s="6"/>
      <c r="Y81" s="6"/>
      <c r="Z81" s="6"/>
      <c r="AA81" s="6"/>
      <c r="AB81" s="6"/>
      <c r="AC81" s="6" t="s">
        <v>618</v>
      </c>
      <c r="AD81" s="6"/>
      <c r="AE81" s="6"/>
      <c r="AF81" s="4" t="s">
        <v>618</v>
      </c>
      <c r="AG81" s="6" t="s">
        <v>200</v>
      </c>
      <c r="AH81" s="6" t="s">
        <v>203</v>
      </c>
      <c r="AI81" s="6" t="s">
        <v>203</v>
      </c>
      <c r="AJ81" s="6" t="s">
        <v>204</v>
      </c>
      <c r="AK81" s="6" t="s">
        <v>205</v>
      </c>
      <c r="AL81" s="6" t="s">
        <v>205</v>
      </c>
      <c r="AM81" s="6" t="s">
        <v>205</v>
      </c>
      <c r="AN81" s="6" t="s">
        <v>205</v>
      </c>
      <c r="AO81" s="6" t="s">
        <v>204</v>
      </c>
      <c r="AP81" s="6" t="s">
        <v>204</v>
      </c>
      <c r="AQ81" s="6" t="s">
        <v>205</v>
      </c>
      <c r="AR81" s="6" t="s">
        <v>203</v>
      </c>
      <c r="AS81" s="6"/>
      <c r="AT81" s="6" t="s">
        <v>205</v>
      </c>
      <c r="AU81" s="6" t="s">
        <v>202</v>
      </c>
      <c r="AV81" s="6" t="s">
        <v>205</v>
      </c>
      <c r="AW81" s="6" t="s">
        <v>203</v>
      </c>
      <c r="AX81" s="6" t="s">
        <v>203</v>
      </c>
      <c r="AY81" s="6" t="s">
        <v>201</v>
      </c>
      <c r="AZ81" s="6" t="s">
        <v>204</v>
      </c>
      <c r="BA81" s="6" t="s">
        <v>205</v>
      </c>
      <c r="BB81" s="6" t="s">
        <v>204</v>
      </c>
      <c r="BC81" s="6" t="s">
        <v>203</v>
      </c>
      <c r="BD81" s="6" t="s">
        <v>201</v>
      </c>
      <c r="BE81" s="6" t="s">
        <v>204</v>
      </c>
      <c r="BF81" s="6" t="s">
        <v>204</v>
      </c>
      <c r="BG81" s="6" t="s">
        <v>204</v>
      </c>
      <c r="BH81" s="6" t="s">
        <v>204</v>
      </c>
      <c r="BI81" s="6" t="s">
        <v>204</v>
      </c>
      <c r="BJ81" s="6" t="s">
        <v>204</v>
      </c>
      <c r="BK81" s="6" t="s">
        <v>205</v>
      </c>
      <c r="BL81" s="6" t="s">
        <v>204</v>
      </c>
      <c r="BM81" s="6" t="s">
        <v>205</v>
      </c>
      <c r="BN81" s="6" t="s">
        <v>201</v>
      </c>
      <c r="BO81" s="6" t="s">
        <v>204</v>
      </c>
      <c r="BP81" s="6" t="s">
        <v>204</v>
      </c>
      <c r="BQ81" s="6" t="s">
        <v>204</v>
      </c>
      <c r="BR81" s="6" t="s">
        <v>203</v>
      </c>
      <c r="BS81" s="6" t="s">
        <v>619</v>
      </c>
      <c r="BT81" s="6" t="s">
        <v>206</v>
      </c>
      <c r="BU81" s="6" t="s">
        <v>203</v>
      </c>
      <c r="BV81" s="6" t="s">
        <v>203</v>
      </c>
      <c r="BW81" s="6" t="s">
        <v>203</v>
      </c>
      <c r="BX81" s="6" t="s">
        <v>202</v>
      </c>
      <c r="BY81" s="6" t="s">
        <v>202</v>
      </c>
      <c r="BZ81" s="6" t="s">
        <v>202</v>
      </c>
      <c r="CA81" s="6" t="s">
        <v>204</v>
      </c>
      <c r="CB81" s="6" t="s">
        <v>204</v>
      </c>
      <c r="CC81" s="6" t="s">
        <v>204</v>
      </c>
      <c r="CD81" s="6" t="s">
        <v>202</v>
      </c>
      <c r="CE81" s="6" t="s">
        <v>203</v>
      </c>
      <c r="CF81" s="6" t="s">
        <v>202</v>
      </c>
      <c r="CG81" s="6"/>
      <c r="CH81" s="6" t="s">
        <v>207</v>
      </c>
      <c r="CI81" s="6" t="s">
        <v>208</v>
      </c>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t="s">
        <v>237</v>
      </c>
      <c r="DR81" s="6"/>
      <c r="DS81" s="6"/>
      <c r="DT81" s="6"/>
      <c r="DU81" s="6"/>
      <c r="DV81" s="6" t="s">
        <v>620</v>
      </c>
      <c r="DW81" s="6" t="s">
        <v>228</v>
      </c>
      <c r="DX81" s="6"/>
      <c r="DY81" s="6"/>
      <c r="DZ81" s="6"/>
      <c r="EA81" s="6"/>
      <c r="EB81" s="6"/>
      <c r="EC81" s="6"/>
      <c r="ED81" s="6"/>
      <c r="EE81" s="6"/>
      <c r="EF81" s="6" t="s">
        <v>201</v>
      </c>
      <c r="EG81" s="6" t="s">
        <v>203</v>
      </c>
      <c r="EH81" s="6" t="s">
        <v>204</v>
      </c>
      <c r="EI81" s="6" t="s">
        <v>201</v>
      </c>
      <c r="EJ81" s="6" t="s">
        <v>205</v>
      </c>
      <c r="EK81" s="6" t="s">
        <v>201</v>
      </c>
      <c r="EL81" s="6" t="s">
        <v>205</v>
      </c>
      <c r="EM81" s="6" t="s">
        <v>205</v>
      </c>
      <c r="EN81" s="6" t="s">
        <v>205</v>
      </c>
      <c r="EO81" s="6" t="s">
        <v>205</v>
      </c>
      <c r="EP81" s="6"/>
      <c r="EQ81" s="6" t="s">
        <v>203</v>
      </c>
      <c r="ER81" s="6" t="s">
        <v>205</v>
      </c>
      <c r="ES81" s="6"/>
      <c r="ET81" s="6" t="s">
        <v>203</v>
      </c>
      <c r="EU81" s="6" t="s">
        <v>203</v>
      </c>
      <c r="EV81" s="6" t="s">
        <v>204</v>
      </c>
      <c r="EW81" s="6" t="s">
        <v>203</v>
      </c>
      <c r="EX81" s="6" t="s">
        <v>619</v>
      </c>
      <c r="EY81" s="6" t="s">
        <v>202</v>
      </c>
      <c r="EZ81" s="6" t="s">
        <v>205</v>
      </c>
      <c r="FA81" s="6" t="s">
        <v>203</v>
      </c>
      <c r="FB81" s="6" t="s">
        <v>203</v>
      </c>
      <c r="FC81" s="6" t="s">
        <v>205</v>
      </c>
      <c r="FD81" s="6" t="s">
        <v>205</v>
      </c>
      <c r="FE81" s="6" t="s">
        <v>204</v>
      </c>
      <c r="FF81" s="6" t="s">
        <v>204</v>
      </c>
      <c r="FG81" s="6" t="s">
        <v>204</v>
      </c>
      <c r="FH81" s="6"/>
      <c r="FI81" s="6"/>
      <c r="FJ81" s="6"/>
      <c r="FK81" s="6"/>
      <c r="FL81" s="6"/>
      <c r="FM81" s="6"/>
      <c r="FN81" s="6"/>
      <c r="FO81" s="6"/>
      <c r="FP81" s="6"/>
      <c r="FQ81" s="6"/>
      <c r="FR81" s="6" t="s">
        <v>204</v>
      </c>
      <c r="FS81" s="6" t="s">
        <v>204</v>
      </c>
      <c r="FT81" s="6" t="s">
        <v>204</v>
      </c>
      <c r="FU81" s="6" t="s">
        <v>204</v>
      </c>
      <c r="FV81" s="6"/>
      <c r="FW81" s="6" t="s">
        <v>238</v>
      </c>
      <c r="FX81" s="6"/>
      <c r="FY81" s="6" t="s">
        <v>203</v>
      </c>
      <c r="FZ81" s="6" t="s">
        <v>202</v>
      </c>
      <c r="GA81" s="6" t="s">
        <v>202</v>
      </c>
      <c r="GB81" s="6" t="s">
        <v>204</v>
      </c>
      <c r="GC81" s="6" t="s">
        <v>204</v>
      </c>
      <c r="GD81" s="6"/>
      <c r="GE81" s="6" t="s">
        <v>202</v>
      </c>
      <c r="GF81" s="6" t="s">
        <v>203</v>
      </c>
      <c r="GG81" s="6" t="s">
        <v>201</v>
      </c>
      <c r="GH81" s="6" t="s">
        <v>205</v>
      </c>
      <c r="GI81" s="6" t="s">
        <v>201</v>
      </c>
      <c r="GJ81" s="6" t="s">
        <v>202</v>
      </c>
      <c r="GK81" s="6" t="s">
        <v>621</v>
      </c>
      <c r="GL81" s="7">
        <f>DATE(2025,6,13)+TIME(10,41,28)</f>
        <v>45821.445462962962</v>
      </c>
    </row>
    <row r="82" spans="1:194" ht="47.25" x14ac:dyDescent="0.25">
      <c r="A82" s="3" t="s">
        <v>622</v>
      </c>
      <c r="B82" s="3" t="s">
        <v>623</v>
      </c>
      <c r="C82" s="3" t="s">
        <v>624</v>
      </c>
      <c r="D82" s="3" t="s">
        <v>625</v>
      </c>
      <c r="E82" s="3"/>
      <c r="F82" s="3" t="s">
        <v>250</v>
      </c>
      <c r="G82" s="3"/>
      <c r="H82" s="3"/>
      <c r="I82" s="3"/>
      <c r="J82" s="3"/>
      <c r="K82" s="3"/>
      <c r="L82" s="3"/>
      <c r="M82" s="3"/>
      <c r="N82" s="3"/>
      <c r="O82" s="3"/>
      <c r="P82" s="3"/>
      <c r="Q82" s="3"/>
      <c r="R82" s="3"/>
      <c r="S82" s="3"/>
      <c r="T82" s="3"/>
      <c r="U82" s="3"/>
      <c r="V82" s="3"/>
      <c r="W82" s="3"/>
      <c r="X82" s="3" t="s">
        <v>626</v>
      </c>
      <c r="Y82" s="3"/>
      <c r="Z82" s="3"/>
      <c r="AA82" s="3"/>
      <c r="AB82" s="3"/>
      <c r="AC82" s="3"/>
      <c r="AD82" s="3"/>
      <c r="AE82" s="3"/>
      <c r="AF82" s="4" t="s">
        <v>626</v>
      </c>
      <c r="AG82" s="3" t="s">
        <v>235</v>
      </c>
      <c r="AH82" s="3" t="s">
        <v>203</v>
      </c>
      <c r="AI82" s="3" t="s">
        <v>201</v>
      </c>
      <c r="AJ82" s="3" t="s">
        <v>204</v>
      </c>
      <c r="AK82" s="3" t="s">
        <v>201</v>
      </c>
      <c r="AL82" s="3" t="s">
        <v>204</v>
      </c>
      <c r="AM82" s="3" t="s">
        <v>204</v>
      </c>
      <c r="AN82" s="3" t="s">
        <v>204</v>
      </c>
      <c r="AO82" s="3" t="s">
        <v>201</v>
      </c>
      <c r="AP82" s="3" t="s">
        <v>201</v>
      </c>
      <c r="AQ82" s="3" t="s">
        <v>201</v>
      </c>
      <c r="AR82" s="3" t="s">
        <v>201</v>
      </c>
      <c r="AS82" s="3"/>
      <c r="AT82" s="3" t="s">
        <v>202</v>
      </c>
      <c r="AU82" s="3" t="s">
        <v>202</v>
      </c>
      <c r="AV82" s="3" t="s">
        <v>205</v>
      </c>
      <c r="AW82" s="3" t="s">
        <v>201</v>
      </c>
      <c r="AX82" s="3" t="s">
        <v>203</v>
      </c>
      <c r="AY82" s="3" t="s">
        <v>204</v>
      </c>
      <c r="AZ82" s="3" t="s">
        <v>202</v>
      </c>
      <c r="BA82" s="3" t="s">
        <v>203</v>
      </c>
      <c r="BB82" s="3" t="s">
        <v>201</v>
      </c>
      <c r="BC82" s="3" t="s">
        <v>203</v>
      </c>
      <c r="BD82" s="3" t="s">
        <v>202</v>
      </c>
      <c r="BE82" s="3" t="s">
        <v>204</v>
      </c>
      <c r="BF82" s="3" t="s">
        <v>204</v>
      </c>
      <c r="BG82" s="3" t="s">
        <v>204</v>
      </c>
      <c r="BH82" s="3" t="s">
        <v>204</v>
      </c>
      <c r="BI82" s="3" t="s">
        <v>204</v>
      </c>
      <c r="BJ82" s="3" t="s">
        <v>201</v>
      </c>
      <c r="BK82" s="3" t="s">
        <v>205</v>
      </c>
      <c r="BL82" s="3" t="s">
        <v>201</v>
      </c>
      <c r="BM82" s="3" t="s">
        <v>203</v>
      </c>
      <c r="BN82" s="3" t="s">
        <v>201</v>
      </c>
      <c r="BO82" s="3" t="s">
        <v>202</v>
      </c>
      <c r="BP82" s="3" t="s">
        <v>204</v>
      </c>
      <c r="BQ82" s="3" t="s">
        <v>204</v>
      </c>
      <c r="BR82" s="3" t="s">
        <v>204</v>
      </c>
      <c r="BS82" s="3"/>
      <c r="BT82" s="3" t="s">
        <v>206</v>
      </c>
      <c r="BU82" s="3" t="s">
        <v>202</v>
      </c>
      <c r="BV82" s="3" t="s">
        <v>202</v>
      </c>
      <c r="BW82" s="3" t="s">
        <v>202</v>
      </c>
      <c r="BX82" s="3" t="s">
        <v>202</v>
      </c>
      <c r="BY82" s="3" t="s">
        <v>202</v>
      </c>
      <c r="BZ82" s="3" t="s">
        <v>202</v>
      </c>
      <c r="CA82" s="3" t="s">
        <v>202</v>
      </c>
      <c r="CB82" s="3" t="s">
        <v>202</v>
      </c>
      <c r="CC82" s="3" t="s">
        <v>202</v>
      </c>
      <c r="CD82" s="3" t="s">
        <v>202</v>
      </c>
      <c r="CE82" s="3" t="s">
        <v>202</v>
      </c>
      <c r="CF82" s="3" t="s">
        <v>202</v>
      </c>
      <c r="CG82" s="3"/>
      <c r="CH82" s="3" t="s">
        <v>207</v>
      </c>
      <c r="CI82" s="3" t="s">
        <v>207</v>
      </c>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t="s">
        <v>236</v>
      </c>
      <c r="DQ82" s="3"/>
      <c r="DR82" s="3"/>
      <c r="DS82" s="3"/>
      <c r="DT82" s="3"/>
      <c r="DU82" s="3"/>
      <c r="DV82" s="3"/>
      <c r="DW82" s="3" t="s">
        <v>207</v>
      </c>
      <c r="DX82" s="3"/>
      <c r="DY82" s="3"/>
      <c r="DZ82" s="3"/>
      <c r="EA82" s="3"/>
      <c r="EB82" s="3"/>
      <c r="EC82" s="3"/>
      <c r="ED82" s="3"/>
      <c r="EE82" s="3"/>
      <c r="EF82" s="3" t="s">
        <v>204</v>
      </c>
      <c r="EG82" s="3" t="s">
        <v>204</v>
      </c>
      <c r="EH82" s="3" t="s">
        <v>204</v>
      </c>
      <c r="EI82" s="3" t="s">
        <v>204</v>
      </c>
      <c r="EJ82" s="3" t="s">
        <v>204</v>
      </c>
      <c r="EK82" s="3" t="s">
        <v>204</v>
      </c>
      <c r="EL82" s="3" t="s">
        <v>204</v>
      </c>
      <c r="EM82" s="3"/>
      <c r="EN82" s="3"/>
      <c r="EO82" s="3"/>
      <c r="EP82" s="3"/>
      <c r="EQ82" s="3" t="s">
        <v>201</v>
      </c>
      <c r="ER82" s="3" t="s">
        <v>202</v>
      </c>
      <c r="ES82" s="3"/>
      <c r="ET82" s="3" t="s">
        <v>201</v>
      </c>
      <c r="EU82" s="3" t="s">
        <v>201</v>
      </c>
      <c r="EV82" s="3" t="s">
        <v>204</v>
      </c>
      <c r="EW82" s="3" t="s">
        <v>204</v>
      </c>
      <c r="EX82" s="3"/>
      <c r="EY82" s="3" t="s">
        <v>202</v>
      </c>
      <c r="EZ82" s="3" t="s">
        <v>203</v>
      </c>
      <c r="FA82" s="3" t="s">
        <v>201</v>
      </c>
      <c r="FB82" s="3" t="s">
        <v>201</v>
      </c>
      <c r="FC82" s="3" t="s">
        <v>201</v>
      </c>
      <c r="FD82" s="3" t="s">
        <v>204</v>
      </c>
      <c r="FE82" s="3" t="s">
        <v>204</v>
      </c>
      <c r="FF82" s="3" t="s">
        <v>204</v>
      </c>
      <c r="FG82" s="3" t="s">
        <v>204</v>
      </c>
      <c r="FH82" s="3" t="s">
        <v>202</v>
      </c>
      <c r="FI82" s="3" t="s">
        <v>202</v>
      </c>
      <c r="FJ82" s="3" t="s">
        <v>205</v>
      </c>
      <c r="FK82" s="3" t="s">
        <v>205</v>
      </c>
      <c r="FL82" s="3" t="s">
        <v>201</v>
      </c>
      <c r="FM82" s="3" t="s">
        <v>204</v>
      </c>
      <c r="FN82" s="3" t="s">
        <v>204</v>
      </c>
      <c r="FO82" s="3" t="s">
        <v>204</v>
      </c>
      <c r="FP82" s="3" t="s">
        <v>204</v>
      </c>
      <c r="FQ82" s="3" t="s">
        <v>203</v>
      </c>
      <c r="FR82" s="3" t="s">
        <v>202</v>
      </c>
      <c r="FS82" s="3" t="s">
        <v>204</v>
      </c>
      <c r="FT82" s="3" t="s">
        <v>204</v>
      </c>
      <c r="FU82" s="3" t="s">
        <v>204</v>
      </c>
      <c r="FV82" s="3"/>
      <c r="FW82" s="3" t="s">
        <v>238</v>
      </c>
      <c r="FX82" s="3"/>
      <c r="FY82" s="3" t="s">
        <v>201</v>
      </c>
      <c r="FZ82" s="3" t="s">
        <v>201</v>
      </c>
      <c r="GA82" s="3" t="s">
        <v>201</v>
      </c>
      <c r="GB82" s="3" t="s">
        <v>202</v>
      </c>
      <c r="GC82" s="3" t="s">
        <v>204</v>
      </c>
      <c r="GD82" s="3"/>
      <c r="GE82" s="3" t="s">
        <v>201</v>
      </c>
      <c r="GF82" s="3" t="s">
        <v>202</v>
      </c>
      <c r="GG82" s="3" t="s">
        <v>201</v>
      </c>
      <c r="GH82" s="3" t="s">
        <v>202</v>
      </c>
      <c r="GI82" s="3" t="s">
        <v>201</v>
      </c>
      <c r="GJ82" s="3" t="s">
        <v>201</v>
      </c>
      <c r="GK82" s="3"/>
      <c r="GL82" s="5">
        <f>DATE(2025,6,6)+TIME(11,51,52)</f>
        <v>45814.494351851848</v>
      </c>
    </row>
    <row r="83" spans="1:194" ht="409.5" x14ac:dyDescent="0.25">
      <c r="A83" s="6" t="s">
        <v>627</v>
      </c>
      <c r="B83" s="6" t="s">
        <v>628</v>
      </c>
      <c r="C83" s="6" t="s">
        <v>629</v>
      </c>
      <c r="D83" s="6" t="s">
        <v>630</v>
      </c>
      <c r="E83" s="6"/>
      <c r="F83" s="6" t="s">
        <v>269</v>
      </c>
      <c r="G83" s="6"/>
      <c r="H83" s="6"/>
      <c r="I83" s="6"/>
      <c r="J83" s="6"/>
      <c r="K83" s="6"/>
      <c r="L83" s="6"/>
      <c r="M83" s="6"/>
      <c r="N83" s="6"/>
      <c r="O83" s="6"/>
      <c r="P83" s="6"/>
      <c r="Q83" s="6"/>
      <c r="R83" s="6"/>
      <c r="S83" s="6"/>
      <c r="T83" s="6"/>
      <c r="U83" s="6"/>
      <c r="V83" s="6"/>
      <c r="W83" s="6" t="s">
        <v>631</v>
      </c>
      <c r="X83" s="6"/>
      <c r="Y83" s="6"/>
      <c r="Z83" s="6"/>
      <c r="AA83" s="6"/>
      <c r="AB83" s="6"/>
      <c r="AC83" s="6"/>
      <c r="AD83" s="6"/>
      <c r="AE83" s="6"/>
      <c r="AF83" s="4" t="s">
        <v>631</v>
      </c>
      <c r="AG83" s="6" t="s">
        <v>200</v>
      </c>
      <c r="AH83" s="6" t="s">
        <v>202</v>
      </c>
      <c r="AI83" s="6" t="s">
        <v>204</v>
      </c>
      <c r="AJ83" s="6" t="s">
        <v>204</v>
      </c>
      <c r="AK83" s="6" t="s">
        <v>204</v>
      </c>
      <c r="AL83" s="6" t="s">
        <v>204</v>
      </c>
      <c r="AM83" s="6" t="s">
        <v>204</v>
      </c>
      <c r="AN83" s="6" t="s">
        <v>202</v>
      </c>
      <c r="AO83" s="6" t="s">
        <v>202</v>
      </c>
      <c r="AP83" s="6" t="s">
        <v>204</v>
      </c>
      <c r="AQ83" s="6" t="s">
        <v>204</v>
      </c>
      <c r="AR83" s="6" t="s">
        <v>204</v>
      </c>
      <c r="AS83" s="6"/>
      <c r="AT83" s="6" t="s">
        <v>204</v>
      </c>
      <c r="AU83" s="6" t="s">
        <v>203</v>
      </c>
      <c r="AV83" s="6" t="s">
        <v>205</v>
      </c>
      <c r="AW83" s="6" t="s">
        <v>202</v>
      </c>
      <c r="AX83" s="6" t="s">
        <v>205</v>
      </c>
      <c r="AY83" s="6" t="s">
        <v>204</v>
      </c>
      <c r="AZ83" s="6" t="s">
        <v>202</v>
      </c>
      <c r="BA83" s="6" t="s">
        <v>202</v>
      </c>
      <c r="BB83" s="6" t="s">
        <v>202</v>
      </c>
      <c r="BC83" s="6" t="s">
        <v>204</v>
      </c>
      <c r="BD83" s="6" t="s">
        <v>204</v>
      </c>
      <c r="BE83" s="6" t="s">
        <v>205</v>
      </c>
      <c r="BF83" s="6" t="s">
        <v>205</v>
      </c>
      <c r="BG83" s="6" t="s">
        <v>205</v>
      </c>
      <c r="BH83" s="6" t="s">
        <v>205</v>
      </c>
      <c r="BI83" s="6" t="s">
        <v>204</v>
      </c>
      <c r="BJ83" s="6" t="s">
        <v>203</v>
      </c>
      <c r="BK83" s="6" t="s">
        <v>203</v>
      </c>
      <c r="BL83" s="6" t="s">
        <v>204</v>
      </c>
      <c r="BM83" s="6" t="s">
        <v>205</v>
      </c>
      <c r="BN83" s="6" t="s">
        <v>204</v>
      </c>
      <c r="BO83" s="6" t="s">
        <v>202</v>
      </c>
      <c r="BP83" s="6" t="s">
        <v>202</v>
      </c>
      <c r="BQ83" s="6" t="s">
        <v>204</v>
      </c>
      <c r="BR83" s="6"/>
      <c r="BS83" s="6"/>
      <c r="BT83" s="6" t="s">
        <v>271</v>
      </c>
      <c r="BU83" s="6" t="s">
        <v>201</v>
      </c>
      <c r="BV83" s="6" t="s">
        <v>202</v>
      </c>
      <c r="BW83" s="6" t="s">
        <v>201</v>
      </c>
      <c r="BX83" s="6" t="s">
        <v>202</v>
      </c>
      <c r="BY83" s="6" t="s">
        <v>202</v>
      </c>
      <c r="BZ83" s="6" t="s">
        <v>201</v>
      </c>
      <c r="CA83" s="6" t="s">
        <v>201</v>
      </c>
      <c r="CB83" s="6" t="s">
        <v>202</v>
      </c>
      <c r="CC83" s="6" t="s">
        <v>202</v>
      </c>
      <c r="CD83" s="6" t="s">
        <v>201</v>
      </c>
      <c r="CE83" s="6" t="s">
        <v>202</v>
      </c>
      <c r="CF83" s="6" t="s">
        <v>201</v>
      </c>
      <c r="CG83" s="6"/>
      <c r="CH83" s="6" t="s">
        <v>207</v>
      </c>
      <c r="CI83" s="6" t="s">
        <v>208</v>
      </c>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t="s">
        <v>209</v>
      </c>
      <c r="DS83" s="6" t="s">
        <v>288</v>
      </c>
      <c r="DT83" s="6"/>
      <c r="DU83" s="6"/>
      <c r="DV83" s="6"/>
      <c r="DW83" s="6" t="s">
        <v>208</v>
      </c>
      <c r="DX83" s="6" t="s">
        <v>246</v>
      </c>
      <c r="DY83" s="6"/>
      <c r="DZ83" s="6" t="s">
        <v>219</v>
      </c>
      <c r="EA83" s="6"/>
      <c r="EB83" s="6"/>
      <c r="EC83" s="6" t="s">
        <v>205</v>
      </c>
      <c r="ED83" s="6" t="s">
        <v>205</v>
      </c>
      <c r="EE83" s="6" t="s">
        <v>204</v>
      </c>
      <c r="EF83" s="6" t="s">
        <v>204</v>
      </c>
      <c r="EG83" s="6" t="s">
        <v>203</v>
      </c>
      <c r="EH83" s="6" t="s">
        <v>204</v>
      </c>
      <c r="EI83" s="6" t="s">
        <v>203</v>
      </c>
      <c r="EJ83" s="6" t="s">
        <v>202</v>
      </c>
      <c r="EK83" s="6" t="s">
        <v>201</v>
      </c>
      <c r="EL83" s="6" t="s">
        <v>203</v>
      </c>
      <c r="EM83" s="6" t="s">
        <v>205</v>
      </c>
      <c r="EN83" s="6" t="s">
        <v>205</v>
      </c>
      <c r="EO83" s="6" t="s">
        <v>203</v>
      </c>
      <c r="EP83" s="6"/>
      <c r="EQ83" s="6" t="s">
        <v>203</v>
      </c>
      <c r="ER83" s="6" t="s">
        <v>203</v>
      </c>
      <c r="ES83" s="6"/>
      <c r="ET83" s="6" t="s">
        <v>203</v>
      </c>
      <c r="EU83" s="6" t="s">
        <v>203</v>
      </c>
      <c r="EV83" s="6" t="s">
        <v>205</v>
      </c>
      <c r="EW83" s="6"/>
      <c r="EX83" s="6"/>
      <c r="EY83" s="6" t="s">
        <v>204</v>
      </c>
      <c r="EZ83" s="6" t="s">
        <v>203</v>
      </c>
      <c r="FA83" s="6" t="s">
        <v>203</v>
      </c>
      <c r="FB83" s="6" t="s">
        <v>203</v>
      </c>
      <c r="FC83" s="6" t="s">
        <v>204</v>
      </c>
      <c r="FD83" s="6" t="s">
        <v>204</v>
      </c>
      <c r="FE83" s="6" t="s">
        <v>204</v>
      </c>
      <c r="FF83" s="6" t="s">
        <v>204</v>
      </c>
      <c r="FG83" s="6" t="s">
        <v>204</v>
      </c>
      <c r="FH83" s="6" t="s">
        <v>203</v>
      </c>
      <c r="FI83" s="6" t="s">
        <v>204</v>
      </c>
      <c r="FJ83" s="6" t="s">
        <v>204</v>
      </c>
      <c r="FK83" s="6" t="s">
        <v>203</v>
      </c>
      <c r="FL83" s="6" t="s">
        <v>203</v>
      </c>
      <c r="FM83" s="6" t="s">
        <v>204</v>
      </c>
      <c r="FN83" s="6" t="s">
        <v>204</v>
      </c>
      <c r="FO83" s="6" t="s">
        <v>204</v>
      </c>
      <c r="FP83" s="6" t="s">
        <v>204</v>
      </c>
      <c r="FQ83" s="6" t="s">
        <v>204</v>
      </c>
      <c r="FR83" s="6" t="s">
        <v>202</v>
      </c>
      <c r="FS83" s="6" t="s">
        <v>205</v>
      </c>
      <c r="FT83" s="6" t="s">
        <v>204</v>
      </c>
      <c r="FU83" s="6"/>
      <c r="FV83" s="6"/>
      <c r="FW83" s="6" t="s">
        <v>271</v>
      </c>
      <c r="FX83" s="6"/>
      <c r="FY83" s="6" t="s">
        <v>202</v>
      </c>
      <c r="FZ83" s="6" t="s">
        <v>202</v>
      </c>
      <c r="GA83" s="6" t="s">
        <v>201</v>
      </c>
      <c r="GB83" s="6" t="s">
        <v>203</v>
      </c>
      <c r="GC83" s="6"/>
      <c r="GD83" s="6"/>
      <c r="GE83" s="6" t="s">
        <v>201</v>
      </c>
      <c r="GF83" s="6" t="s">
        <v>203</v>
      </c>
      <c r="GG83" s="6" t="s">
        <v>201</v>
      </c>
      <c r="GH83" s="6" t="s">
        <v>203</v>
      </c>
      <c r="GI83" s="6" t="s">
        <v>201</v>
      </c>
      <c r="GJ83" s="6" t="s">
        <v>201</v>
      </c>
      <c r="GK83" s="6" t="s">
        <v>632</v>
      </c>
      <c r="GL83" s="7">
        <f>DATE(2025,6,6)+TIME(16,42,21)</f>
        <v>45814.696076388886</v>
      </c>
    </row>
    <row r="84" spans="1:194" ht="78.75" x14ac:dyDescent="0.25">
      <c r="A84" s="3" t="s">
        <v>633</v>
      </c>
      <c r="B84" s="3" t="s">
        <v>634</v>
      </c>
      <c r="C84" s="3" t="s">
        <v>635</v>
      </c>
      <c r="D84" s="3" t="s">
        <v>636</v>
      </c>
      <c r="E84" s="3"/>
      <c r="F84" s="3" t="s">
        <v>198</v>
      </c>
      <c r="G84" s="3"/>
      <c r="H84" s="3"/>
      <c r="I84" s="3"/>
      <c r="J84" s="3"/>
      <c r="K84" s="3" t="s">
        <v>637</v>
      </c>
      <c r="L84" s="3"/>
      <c r="M84" s="3"/>
      <c r="N84" s="3"/>
      <c r="O84" s="3"/>
      <c r="P84" s="3"/>
      <c r="Q84" s="3"/>
      <c r="R84" s="3"/>
      <c r="S84" s="3"/>
      <c r="T84" s="3"/>
      <c r="U84" s="3"/>
      <c r="V84" s="3"/>
      <c r="W84" s="3"/>
      <c r="X84" s="3"/>
      <c r="Y84" s="3"/>
      <c r="Z84" s="3"/>
      <c r="AA84" s="3"/>
      <c r="AB84" s="3"/>
      <c r="AC84" s="3"/>
      <c r="AD84" s="3"/>
      <c r="AE84" s="3"/>
      <c r="AF84" s="4" t="s">
        <v>637</v>
      </c>
      <c r="AG84" s="3" t="s">
        <v>235</v>
      </c>
      <c r="AH84" s="3" t="s">
        <v>201</v>
      </c>
      <c r="AI84" s="3" t="s">
        <v>201</v>
      </c>
      <c r="AJ84" s="3" t="s">
        <v>201</v>
      </c>
      <c r="AK84" s="3" t="s">
        <v>201</v>
      </c>
      <c r="AL84" s="3" t="s">
        <v>201</v>
      </c>
      <c r="AM84" s="3" t="s">
        <v>201</v>
      </c>
      <c r="AN84" s="3" t="s">
        <v>201</v>
      </c>
      <c r="AO84" s="3" t="s">
        <v>201</v>
      </c>
      <c r="AP84" s="3" t="s">
        <v>201</v>
      </c>
      <c r="AQ84" s="3" t="s">
        <v>201</v>
      </c>
      <c r="AR84" s="3" t="s">
        <v>201</v>
      </c>
      <c r="AS84" s="3"/>
      <c r="AT84" s="3" t="s">
        <v>201</v>
      </c>
      <c r="AU84" s="3" t="s">
        <v>201</v>
      </c>
      <c r="AV84" s="3" t="s">
        <v>205</v>
      </c>
      <c r="AW84" s="3" t="s">
        <v>201</v>
      </c>
      <c r="AX84" s="3" t="s">
        <v>201</v>
      </c>
      <c r="AY84" s="3" t="s">
        <v>201</v>
      </c>
      <c r="AZ84" s="3" t="s">
        <v>201</v>
      </c>
      <c r="BA84" s="3" t="s">
        <v>205</v>
      </c>
      <c r="BB84" s="3" t="s">
        <v>201</v>
      </c>
      <c r="BC84" s="3" t="s">
        <v>201</v>
      </c>
      <c r="BD84" s="3" t="s">
        <v>201</v>
      </c>
      <c r="BE84" s="3" t="s">
        <v>201</v>
      </c>
      <c r="BF84" s="3" t="s">
        <v>205</v>
      </c>
      <c r="BG84" s="3" t="s">
        <v>201</v>
      </c>
      <c r="BH84" s="3" t="s">
        <v>201</v>
      </c>
      <c r="BI84" s="3" t="s">
        <v>201</v>
      </c>
      <c r="BJ84" s="3" t="s">
        <v>201</v>
      </c>
      <c r="BK84" s="3" t="s">
        <v>205</v>
      </c>
      <c r="BL84" s="3" t="s">
        <v>201</v>
      </c>
      <c r="BM84" s="3" t="s">
        <v>201</v>
      </c>
      <c r="BN84" s="3" t="s">
        <v>201</v>
      </c>
      <c r="BO84" s="3" t="s">
        <v>201</v>
      </c>
      <c r="BP84" s="3" t="s">
        <v>201</v>
      </c>
      <c r="BQ84" s="3" t="s">
        <v>201</v>
      </c>
      <c r="BR84" s="3" t="s">
        <v>204</v>
      </c>
      <c r="BS84" s="3"/>
      <c r="BT84" s="3" t="s">
        <v>206</v>
      </c>
      <c r="BU84" s="3" t="s">
        <v>201</v>
      </c>
      <c r="BV84" s="3" t="s">
        <v>201</v>
      </c>
      <c r="BW84" s="3" t="s">
        <v>201</v>
      </c>
      <c r="BX84" s="3" t="s">
        <v>201</v>
      </c>
      <c r="BY84" s="3" t="s">
        <v>201</v>
      </c>
      <c r="BZ84" s="3" t="s">
        <v>201</v>
      </c>
      <c r="CA84" s="3" t="s">
        <v>201</v>
      </c>
      <c r="CB84" s="3" t="s">
        <v>201</v>
      </c>
      <c r="CC84" s="3" t="s">
        <v>201</v>
      </c>
      <c r="CD84" s="3" t="s">
        <v>201</v>
      </c>
      <c r="CE84" s="3" t="s">
        <v>201</v>
      </c>
      <c r="CF84" s="3" t="s">
        <v>201</v>
      </c>
      <c r="CG84" s="3"/>
      <c r="CH84" s="3" t="s">
        <v>207</v>
      </c>
      <c r="CI84" s="3" t="s">
        <v>208</v>
      </c>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t="s">
        <v>214</v>
      </c>
      <c r="DU84" s="3"/>
      <c r="DV84" s="3"/>
      <c r="DW84" s="3" t="s">
        <v>207</v>
      </c>
      <c r="DX84" s="3"/>
      <c r="DY84" s="3"/>
      <c r="DZ84" s="3"/>
      <c r="EA84" s="3"/>
      <c r="EB84" s="3"/>
      <c r="EC84" s="3"/>
      <c r="ED84" s="3"/>
      <c r="EE84" s="3"/>
      <c r="EF84" s="3" t="s">
        <v>201</v>
      </c>
      <c r="EG84" s="3" t="s">
        <v>202</v>
      </c>
      <c r="EH84" s="3" t="s">
        <v>202</v>
      </c>
      <c r="EI84" s="3" t="s">
        <v>201</v>
      </c>
      <c r="EJ84" s="3" t="s">
        <v>201</v>
      </c>
      <c r="EK84" s="3" t="s">
        <v>202</v>
      </c>
      <c r="EL84" s="3" t="s">
        <v>201</v>
      </c>
      <c r="EM84" s="3" t="s">
        <v>201</v>
      </c>
      <c r="EN84" s="3" t="s">
        <v>205</v>
      </c>
      <c r="EO84" s="3" t="s">
        <v>205</v>
      </c>
      <c r="EP84" s="3"/>
      <c r="EQ84" s="3" t="s">
        <v>201</v>
      </c>
      <c r="ER84" s="3" t="s">
        <v>201</v>
      </c>
      <c r="ES84" s="3"/>
      <c r="ET84" s="3" t="s">
        <v>201</v>
      </c>
      <c r="EU84" s="3" t="s">
        <v>201</v>
      </c>
      <c r="EV84" s="3" t="s">
        <v>201</v>
      </c>
      <c r="EW84" s="3" t="s">
        <v>204</v>
      </c>
      <c r="EX84" s="3"/>
      <c r="EY84" s="3" t="s">
        <v>201</v>
      </c>
      <c r="EZ84" s="3" t="s">
        <v>205</v>
      </c>
      <c r="FA84" s="3" t="s">
        <v>201</v>
      </c>
      <c r="FB84" s="3" t="s">
        <v>201</v>
      </c>
      <c r="FC84" s="3" t="s">
        <v>201</v>
      </c>
      <c r="FD84" s="3" t="s">
        <v>201</v>
      </c>
      <c r="FE84" s="3" t="s">
        <v>201</v>
      </c>
      <c r="FF84" s="3" t="s">
        <v>201</v>
      </c>
      <c r="FG84" s="3" t="s">
        <v>201</v>
      </c>
      <c r="FH84" s="3" t="s">
        <v>201</v>
      </c>
      <c r="FI84" s="3" t="s">
        <v>201</v>
      </c>
      <c r="FJ84" s="3" t="s">
        <v>205</v>
      </c>
      <c r="FK84" s="3" t="s">
        <v>201</v>
      </c>
      <c r="FL84" s="3" t="s">
        <v>201</v>
      </c>
      <c r="FM84" s="3" t="s">
        <v>201</v>
      </c>
      <c r="FN84" s="3" t="s">
        <v>201</v>
      </c>
      <c r="FO84" s="3" t="s">
        <v>201</v>
      </c>
      <c r="FP84" s="3" t="s">
        <v>201</v>
      </c>
      <c r="FQ84" s="3" t="s">
        <v>201</v>
      </c>
      <c r="FR84" s="3" t="s">
        <v>201</v>
      </c>
      <c r="FS84" s="3" t="s">
        <v>204</v>
      </c>
      <c r="FT84" s="3" t="s">
        <v>201</v>
      </c>
      <c r="FU84" s="3" t="s">
        <v>204</v>
      </c>
      <c r="FV84" s="3"/>
      <c r="FW84" s="3" t="s">
        <v>238</v>
      </c>
      <c r="FX84" s="3"/>
      <c r="FY84" s="3" t="s">
        <v>201</v>
      </c>
      <c r="FZ84" s="3" t="s">
        <v>201</v>
      </c>
      <c r="GA84" s="3" t="s">
        <v>201</v>
      </c>
      <c r="GB84" s="3" t="s">
        <v>201</v>
      </c>
      <c r="GC84" s="3" t="s">
        <v>204</v>
      </c>
      <c r="GD84" s="3"/>
      <c r="GE84" s="3" t="s">
        <v>202</v>
      </c>
      <c r="GF84" s="3" t="s">
        <v>201</v>
      </c>
      <c r="GG84" s="3" t="s">
        <v>202</v>
      </c>
      <c r="GH84" s="3" t="s">
        <v>201</v>
      </c>
      <c r="GI84" s="3" t="s">
        <v>201</v>
      </c>
      <c r="GJ84" s="3" t="s">
        <v>201</v>
      </c>
      <c r="GK84" s="3"/>
      <c r="GL84" s="5">
        <f>DATE(2025,6,4)+TIME(9,36,40)</f>
        <v>45812.400462962964</v>
      </c>
    </row>
    <row r="85" spans="1:194" ht="204.75" x14ac:dyDescent="0.25">
      <c r="A85" s="6" t="s">
        <v>289</v>
      </c>
      <c r="B85" s="6" t="s">
        <v>290</v>
      </c>
      <c r="C85" s="6" t="s">
        <v>291</v>
      </c>
      <c r="D85" s="6" t="s">
        <v>638</v>
      </c>
      <c r="E85" s="6"/>
      <c r="F85" s="6" t="s">
        <v>233</v>
      </c>
      <c r="G85" s="6"/>
      <c r="H85" s="6"/>
      <c r="I85" s="6"/>
      <c r="J85" s="6"/>
      <c r="K85" s="6"/>
      <c r="L85" s="6"/>
      <c r="M85" s="6"/>
      <c r="N85" s="6"/>
      <c r="O85" s="6"/>
      <c r="P85" s="6"/>
      <c r="Q85" s="6"/>
      <c r="R85" s="6"/>
      <c r="S85" s="6"/>
      <c r="T85" s="6"/>
      <c r="U85" s="6"/>
      <c r="V85" s="6"/>
      <c r="W85" s="6"/>
      <c r="X85" s="6"/>
      <c r="Y85" s="6"/>
      <c r="Z85" s="6"/>
      <c r="AA85" s="6"/>
      <c r="AB85" s="6" t="s">
        <v>639</v>
      </c>
      <c r="AC85" s="6"/>
      <c r="AD85" s="6"/>
      <c r="AE85" s="6"/>
      <c r="AF85" s="4" t="s">
        <v>639</v>
      </c>
      <c r="AG85" s="6" t="s">
        <v>213</v>
      </c>
      <c r="AH85" s="6" t="s">
        <v>201</v>
      </c>
      <c r="AI85" s="6" t="s">
        <v>202</v>
      </c>
      <c r="AJ85" s="6" t="s">
        <v>202</v>
      </c>
      <c r="AK85" s="6" t="s">
        <v>202</v>
      </c>
      <c r="AL85" s="6" t="s">
        <v>202</v>
      </c>
      <c r="AM85" s="6" t="s">
        <v>202</v>
      </c>
      <c r="AN85" s="6" t="s">
        <v>202</v>
      </c>
      <c r="AO85" s="6" t="s">
        <v>202</v>
      </c>
      <c r="AP85" s="6" t="s">
        <v>202</v>
      </c>
      <c r="AQ85" s="6" t="s">
        <v>201</v>
      </c>
      <c r="AR85" s="6" t="s">
        <v>201</v>
      </c>
      <c r="AS85" s="6"/>
      <c r="AT85" s="6" t="s">
        <v>204</v>
      </c>
      <c r="AU85" s="6" t="s">
        <v>204</v>
      </c>
      <c r="AV85" s="6" t="s">
        <v>204</v>
      </c>
      <c r="AW85" s="6" t="s">
        <v>201</v>
      </c>
      <c r="AX85" s="6" t="s">
        <v>201</v>
      </c>
      <c r="AY85" s="6" t="s">
        <v>202</v>
      </c>
      <c r="AZ85" s="6" t="s">
        <v>202</v>
      </c>
      <c r="BA85" s="6" t="s">
        <v>204</v>
      </c>
      <c r="BB85" s="6" t="s">
        <v>202</v>
      </c>
      <c r="BC85" s="6" t="s">
        <v>202</v>
      </c>
      <c r="BD85" s="6" t="s">
        <v>202</v>
      </c>
      <c r="BE85" s="6" t="s">
        <v>205</v>
      </c>
      <c r="BF85" s="6" t="s">
        <v>204</v>
      </c>
      <c r="BG85" s="6" t="s">
        <v>205</v>
      </c>
      <c r="BH85" s="6" t="s">
        <v>205</v>
      </c>
      <c r="BI85" s="6" t="s">
        <v>204</v>
      </c>
      <c r="BJ85" s="6" t="s">
        <v>202</v>
      </c>
      <c r="BK85" s="6" t="s">
        <v>204</v>
      </c>
      <c r="BL85" s="6" t="s">
        <v>202</v>
      </c>
      <c r="BM85" s="6" t="s">
        <v>202</v>
      </c>
      <c r="BN85" s="6" t="s">
        <v>204</v>
      </c>
      <c r="BO85" s="6" t="s">
        <v>204</v>
      </c>
      <c r="BP85" s="6" t="s">
        <v>204</v>
      </c>
      <c r="BQ85" s="6" t="s">
        <v>204</v>
      </c>
      <c r="BR85" s="6" t="s">
        <v>204</v>
      </c>
      <c r="BS85" s="6"/>
      <c r="BT85" s="6" t="s">
        <v>206</v>
      </c>
      <c r="BU85" s="6" t="s">
        <v>201</v>
      </c>
      <c r="BV85" s="6" t="s">
        <v>202</v>
      </c>
      <c r="BW85" s="6" t="s">
        <v>202</v>
      </c>
      <c r="BX85" s="6" t="s">
        <v>202</v>
      </c>
      <c r="BY85" s="6" t="s">
        <v>202</v>
      </c>
      <c r="BZ85" s="6" t="s">
        <v>202</v>
      </c>
      <c r="CA85" s="6" t="s">
        <v>202</v>
      </c>
      <c r="CB85" s="6" t="s">
        <v>202</v>
      </c>
      <c r="CC85" s="6" t="s">
        <v>202</v>
      </c>
      <c r="CD85" s="6" t="s">
        <v>202</v>
      </c>
      <c r="CE85" s="6" t="s">
        <v>202</v>
      </c>
      <c r="CF85" s="6" t="s">
        <v>202</v>
      </c>
      <c r="CG85" s="6"/>
      <c r="CH85" s="6" t="s">
        <v>207</v>
      </c>
      <c r="CI85" s="6" t="s">
        <v>208</v>
      </c>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t="s">
        <v>294</v>
      </c>
      <c r="DV85" s="6"/>
      <c r="DW85" s="6" t="s">
        <v>228</v>
      </c>
      <c r="DX85" s="6"/>
      <c r="DY85" s="6"/>
      <c r="DZ85" s="6"/>
      <c r="EA85" s="6"/>
      <c r="EB85" s="6"/>
      <c r="EC85" s="6"/>
      <c r="ED85" s="6"/>
      <c r="EE85" s="6"/>
      <c r="EF85" s="6" t="s">
        <v>204</v>
      </c>
      <c r="EG85" s="6" t="s">
        <v>204</v>
      </c>
      <c r="EH85" s="6" t="s">
        <v>204</v>
      </c>
      <c r="EI85" s="6" t="s">
        <v>204</v>
      </c>
      <c r="EJ85" s="6" t="s">
        <v>203</v>
      </c>
      <c r="EK85" s="6" t="s">
        <v>202</v>
      </c>
      <c r="EL85" s="6" t="s">
        <v>202</v>
      </c>
      <c r="EM85" s="6" t="s">
        <v>203</v>
      </c>
      <c r="EN85" s="6" t="s">
        <v>205</v>
      </c>
      <c r="EO85" s="6" t="s">
        <v>203</v>
      </c>
      <c r="EP85" s="6"/>
      <c r="EQ85" s="6" t="s">
        <v>201</v>
      </c>
      <c r="ER85" s="6" t="s">
        <v>201</v>
      </c>
      <c r="ES85" s="6"/>
      <c r="ET85" s="6" t="s">
        <v>202</v>
      </c>
      <c r="EU85" s="6" t="s">
        <v>202</v>
      </c>
      <c r="EV85" s="6" t="s">
        <v>202</v>
      </c>
      <c r="EW85" s="6" t="s">
        <v>202</v>
      </c>
      <c r="EX85" s="6" t="s">
        <v>640</v>
      </c>
      <c r="EY85" s="6" t="s">
        <v>202</v>
      </c>
      <c r="EZ85" s="6" t="s">
        <v>205</v>
      </c>
      <c r="FA85" s="6" t="s">
        <v>202</v>
      </c>
      <c r="FB85" s="6" t="s">
        <v>202</v>
      </c>
      <c r="FC85" s="6" t="s">
        <v>202</v>
      </c>
      <c r="FD85" s="6" t="s">
        <v>202</v>
      </c>
      <c r="FE85" s="6" t="s">
        <v>202</v>
      </c>
      <c r="FF85" s="6" t="s">
        <v>202</v>
      </c>
      <c r="FG85" s="6" t="s">
        <v>202</v>
      </c>
      <c r="FH85" s="6" t="s">
        <v>202</v>
      </c>
      <c r="FI85" s="6" t="s">
        <v>202</v>
      </c>
      <c r="FJ85" s="6" t="s">
        <v>205</v>
      </c>
      <c r="FK85" s="6" t="s">
        <v>202</v>
      </c>
      <c r="FL85" s="6" t="s">
        <v>202</v>
      </c>
      <c r="FM85" s="6" t="s">
        <v>202</v>
      </c>
      <c r="FN85" s="6" t="s">
        <v>202</v>
      </c>
      <c r="FO85" s="6" t="s">
        <v>202</v>
      </c>
      <c r="FP85" s="6" t="s">
        <v>202</v>
      </c>
      <c r="FQ85" s="6" t="s">
        <v>202</v>
      </c>
      <c r="FR85" s="6" t="s">
        <v>202</v>
      </c>
      <c r="FS85" s="6" t="s">
        <v>202</v>
      </c>
      <c r="FT85" s="6" t="s">
        <v>202</v>
      </c>
      <c r="FU85" s="6"/>
      <c r="FV85" s="6"/>
      <c r="FW85" s="6" t="s">
        <v>238</v>
      </c>
      <c r="FX85" s="6"/>
      <c r="FY85" s="6" t="s">
        <v>201</v>
      </c>
      <c r="FZ85" s="6" t="s">
        <v>201</v>
      </c>
      <c r="GA85" s="6" t="s">
        <v>201</v>
      </c>
      <c r="GB85" s="6" t="s">
        <v>201</v>
      </c>
      <c r="GC85" s="6" t="s">
        <v>204</v>
      </c>
      <c r="GD85" s="6"/>
      <c r="GE85" s="6" t="s">
        <v>203</v>
      </c>
      <c r="GF85" s="6" t="s">
        <v>201</v>
      </c>
      <c r="GG85" s="6" t="s">
        <v>201</v>
      </c>
      <c r="GH85" s="6" t="s">
        <v>203</v>
      </c>
      <c r="GI85" s="6" t="s">
        <v>201</v>
      </c>
      <c r="GJ85" s="6" t="s">
        <v>201</v>
      </c>
      <c r="GK85" s="6" t="s">
        <v>641</v>
      </c>
      <c r="GL85" s="7">
        <f>DATE(2025,5,29)+TIME(14,36,20)</f>
        <v>45806.608564814815</v>
      </c>
    </row>
    <row r="86" spans="1:194" ht="47.25" x14ac:dyDescent="0.25">
      <c r="A86" s="3"/>
      <c r="B86" s="3"/>
      <c r="C86" s="3" t="s">
        <v>642</v>
      </c>
      <c r="D86" s="3" t="s">
        <v>643</v>
      </c>
      <c r="E86" s="3"/>
      <c r="F86" s="3" t="s">
        <v>250</v>
      </c>
      <c r="G86" s="3"/>
      <c r="H86" s="3"/>
      <c r="I86" s="3"/>
      <c r="J86" s="3"/>
      <c r="K86" s="3"/>
      <c r="L86" s="3"/>
      <c r="M86" s="3"/>
      <c r="N86" s="3"/>
      <c r="O86" s="3"/>
      <c r="P86" s="3"/>
      <c r="Q86" s="3"/>
      <c r="R86" s="3"/>
      <c r="S86" s="3"/>
      <c r="T86" s="3"/>
      <c r="U86" s="3"/>
      <c r="V86" s="3"/>
      <c r="W86" s="3"/>
      <c r="X86" s="3" t="s">
        <v>644</v>
      </c>
      <c r="Y86" s="3"/>
      <c r="Z86" s="3"/>
      <c r="AA86" s="3"/>
      <c r="AB86" s="3"/>
      <c r="AC86" s="3"/>
      <c r="AD86" s="3"/>
      <c r="AE86" s="3"/>
      <c r="AF86" s="4" t="s">
        <v>644</v>
      </c>
      <c r="AG86" s="3" t="s">
        <v>235</v>
      </c>
      <c r="AH86" s="3" t="s">
        <v>201</v>
      </c>
      <c r="AI86" s="3" t="s">
        <v>201</v>
      </c>
      <c r="AJ86" s="3" t="s">
        <v>201</v>
      </c>
      <c r="AK86" s="3" t="s">
        <v>201</v>
      </c>
      <c r="AL86" s="3" t="s">
        <v>203</v>
      </c>
      <c r="AM86" s="3" t="s">
        <v>204</v>
      </c>
      <c r="AN86" s="3" t="s">
        <v>202</v>
      </c>
      <c r="AO86" s="3" t="s">
        <v>203</v>
      </c>
      <c r="AP86" s="3" t="s">
        <v>203</v>
      </c>
      <c r="AQ86" s="3" t="s">
        <v>202</v>
      </c>
      <c r="AR86" s="3" t="s">
        <v>201</v>
      </c>
      <c r="AS86" s="3"/>
      <c r="AT86" s="3" t="s">
        <v>205</v>
      </c>
      <c r="AU86" s="3" t="s">
        <v>202</v>
      </c>
      <c r="AV86" s="3" t="s">
        <v>203</v>
      </c>
      <c r="AW86" s="3" t="s">
        <v>202</v>
      </c>
      <c r="AX86" s="3" t="s">
        <v>203</v>
      </c>
      <c r="AY86" s="3" t="s">
        <v>201</v>
      </c>
      <c r="AZ86" s="3" t="s">
        <v>202</v>
      </c>
      <c r="BA86" s="3" t="s">
        <v>203</v>
      </c>
      <c r="BB86" s="3" t="s">
        <v>202</v>
      </c>
      <c r="BC86" s="3" t="s">
        <v>203</v>
      </c>
      <c r="BD86" s="3" t="s">
        <v>201</v>
      </c>
      <c r="BE86" s="3" t="s">
        <v>202</v>
      </c>
      <c r="BF86" s="3" t="s">
        <v>203</v>
      </c>
      <c r="BG86" s="3" t="s">
        <v>202</v>
      </c>
      <c r="BH86" s="3" t="s">
        <v>203</v>
      </c>
      <c r="BI86" s="3" t="s">
        <v>201</v>
      </c>
      <c r="BJ86" s="3" t="s">
        <v>202</v>
      </c>
      <c r="BK86" s="3" t="s">
        <v>203</v>
      </c>
      <c r="BL86" s="3" t="s">
        <v>202</v>
      </c>
      <c r="BM86" s="3" t="s">
        <v>203</v>
      </c>
      <c r="BN86" s="3" t="s">
        <v>201</v>
      </c>
      <c r="BO86" s="3" t="s">
        <v>204</v>
      </c>
      <c r="BP86" s="3" t="s">
        <v>204</v>
      </c>
      <c r="BQ86" s="3" t="s">
        <v>204</v>
      </c>
      <c r="BR86" s="3" t="s">
        <v>204</v>
      </c>
      <c r="BS86" s="3"/>
      <c r="BT86" s="3" t="s">
        <v>206</v>
      </c>
      <c r="BU86" s="3" t="s">
        <v>201</v>
      </c>
      <c r="BV86" s="3" t="s">
        <v>202</v>
      </c>
      <c r="BW86" s="3" t="s">
        <v>202</v>
      </c>
      <c r="BX86" s="3" t="s">
        <v>202</v>
      </c>
      <c r="BY86" s="3" t="s">
        <v>202</v>
      </c>
      <c r="BZ86" s="3" t="s">
        <v>202</v>
      </c>
      <c r="CA86" s="3" t="s">
        <v>201</v>
      </c>
      <c r="CB86" s="3" t="s">
        <v>202</v>
      </c>
      <c r="CC86" s="3" t="s">
        <v>202</v>
      </c>
      <c r="CD86" s="3" t="s">
        <v>202</v>
      </c>
      <c r="CE86" s="3" t="s">
        <v>202</v>
      </c>
      <c r="CF86" s="3" t="s">
        <v>202</v>
      </c>
      <c r="CG86" s="3"/>
      <c r="CH86" s="3" t="s">
        <v>207</v>
      </c>
      <c r="CI86" s="3" t="s">
        <v>207</v>
      </c>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t="s">
        <v>645</v>
      </c>
      <c r="DW86" s="3" t="s">
        <v>207</v>
      </c>
      <c r="DX86" s="3"/>
      <c r="DY86" s="3"/>
      <c r="DZ86" s="3"/>
      <c r="EA86" s="3"/>
      <c r="EB86" s="3"/>
      <c r="EC86" s="3"/>
      <c r="ED86" s="3"/>
      <c r="EE86" s="3"/>
      <c r="EF86" s="3" t="s">
        <v>204</v>
      </c>
      <c r="EG86" s="3" t="s">
        <v>204</v>
      </c>
      <c r="EH86" s="3" t="s">
        <v>204</v>
      </c>
      <c r="EI86" s="3" t="s">
        <v>204</v>
      </c>
      <c r="EJ86" s="3" t="s">
        <v>204</v>
      </c>
      <c r="EK86" s="3" t="s">
        <v>204</v>
      </c>
      <c r="EL86" s="3" t="s">
        <v>204</v>
      </c>
      <c r="EM86" s="3"/>
      <c r="EN86" s="3"/>
      <c r="EO86" s="3"/>
      <c r="EP86" s="3"/>
      <c r="EQ86" s="3" t="s">
        <v>205</v>
      </c>
      <c r="ER86" s="3" t="s">
        <v>203</v>
      </c>
      <c r="ES86" s="3"/>
      <c r="ET86" s="3"/>
      <c r="EU86" s="3"/>
      <c r="EV86" s="3"/>
      <c r="EW86" s="3"/>
      <c r="EX86" s="3"/>
      <c r="EY86" s="3"/>
      <c r="EZ86" s="3"/>
      <c r="FA86" s="3"/>
      <c r="FB86" s="3"/>
      <c r="FC86" s="3"/>
      <c r="FD86" s="3"/>
      <c r="FE86" s="3"/>
      <c r="FF86" s="3"/>
      <c r="FG86" s="3"/>
      <c r="FH86" s="3" t="s">
        <v>205</v>
      </c>
      <c r="FI86" s="3" t="s">
        <v>204</v>
      </c>
      <c r="FJ86" s="3" t="s">
        <v>204</v>
      </c>
      <c r="FK86" s="3" t="s">
        <v>204</v>
      </c>
      <c r="FL86" s="3" t="s">
        <v>204</v>
      </c>
      <c r="FM86" s="3" t="s">
        <v>204</v>
      </c>
      <c r="FN86" s="3" t="s">
        <v>204</v>
      </c>
      <c r="FO86" s="3" t="s">
        <v>204</v>
      </c>
      <c r="FP86" s="3" t="s">
        <v>204</v>
      </c>
      <c r="FQ86" s="3" t="s">
        <v>204</v>
      </c>
      <c r="FR86" s="3" t="s">
        <v>204</v>
      </c>
      <c r="FS86" s="3" t="s">
        <v>204</v>
      </c>
      <c r="FT86" s="3" t="s">
        <v>204</v>
      </c>
      <c r="FU86" s="3" t="s">
        <v>204</v>
      </c>
      <c r="FV86" s="3"/>
      <c r="FW86" s="3" t="s">
        <v>238</v>
      </c>
      <c r="FX86" s="3"/>
      <c r="FY86" s="3" t="s">
        <v>202</v>
      </c>
      <c r="FZ86" s="3" t="s">
        <v>202</v>
      </c>
      <c r="GA86" s="3" t="s">
        <v>201</v>
      </c>
      <c r="GB86" s="3" t="s">
        <v>202</v>
      </c>
      <c r="GC86" s="3" t="s">
        <v>205</v>
      </c>
      <c r="GD86" s="3"/>
      <c r="GE86" s="3" t="s">
        <v>201</v>
      </c>
      <c r="GF86" s="3" t="s">
        <v>202</v>
      </c>
      <c r="GG86" s="3" t="s">
        <v>201</v>
      </c>
      <c r="GH86" s="3" t="s">
        <v>205</v>
      </c>
      <c r="GI86" s="3" t="s">
        <v>202</v>
      </c>
      <c r="GJ86" s="3" t="s">
        <v>203</v>
      </c>
      <c r="GK86" s="3"/>
      <c r="GL86" s="5">
        <f>DATE(2025,6,2)+TIME(13,42,5)</f>
        <v>45810.570891203701</v>
      </c>
    </row>
    <row r="87" spans="1:194" ht="126" x14ac:dyDescent="0.25">
      <c r="A87" s="6" t="s">
        <v>646</v>
      </c>
      <c r="B87" s="6" t="s">
        <v>647</v>
      </c>
      <c r="C87" s="6" t="s">
        <v>648</v>
      </c>
      <c r="D87" s="6" t="s">
        <v>649</v>
      </c>
      <c r="E87" s="6"/>
      <c r="F87" s="6" t="s">
        <v>416</v>
      </c>
      <c r="G87" s="6"/>
      <c r="H87" s="6"/>
      <c r="I87" s="6"/>
      <c r="J87" s="6"/>
      <c r="K87" s="6"/>
      <c r="L87" s="6"/>
      <c r="M87" s="6"/>
      <c r="N87" s="6"/>
      <c r="O87" s="6"/>
      <c r="P87" s="6" t="s">
        <v>650</v>
      </c>
      <c r="Q87" s="6"/>
      <c r="R87" s="6"/>
      <c r="S87" s="6"/>
      <c r="T87" s="6"/>
      <c r="U87" s="6"/>
      <c r="V87" s="6"/>
      <c r="W87" s="6"/>
      <c r="X87" s="6"/>
      <c r="Y87" s="6"/>
      <c r="Z87" s="6"/>
      <c r="AA87" s="6"/>
      <c r="AB87" s="6"/>
      <c r="AC87" s="6"/>
      <c r="AD87" s="6"/>
      <c r="AE87" s="6"/>
      <c r="AF87" s="4" t="s">
        <v>650</v>
      </c>
      <c r="AG87" s="6" t="s">
        <v>200</v>
      </c>
      <c r="AH87" s="6" t="s">
        <v>203</v>
      </c>
      <c r="AI87" s="6" t="s">
        <v>203</v>
      </c>
      <c r="AJ87" s="6" t="s">
        <v>203</v>
      </c>
      <c r="AK87" s="6" t="s">
        <v>202</v>
      </c>
      <c r="AL87" s="6" t="s">
        <v>202</v>
      </c>
      <c r="AM87" s="6" t="s">
        <v>205</v>
      </c>
      <c r="AN87" s="6" t="s">
        <v>205</v>
      </c>
      <c r="AO87" s="6" t="s">
        <v>203</v>
      </c>
      <c r="AP87" s="6" t="s">
        <v>202</v>
      </c>
      <c r="AQ87" s="6" t="s">
        <v>203</v>
      </c>
      <c r="AR87" s="6" t="s">
        <v>203</v>
      </c>
      <c r="AS87" s="6"/>
      <c r="AT87" s="6" t="s">
        <v>205</v>
      </c>
      <c r="AU87" s="6" t="s">
        <v>203</v>
      </c>
      <c r="AV87" s="6" t="s">
        <v>204</v>
      </c>
      <c r="AW87" s="6" t="s">
        <v>205</v>
      </c>
      <c r="AX87" s="6" t="s">
        <v>205</v>
      </c>
      <c r="AY87" s="6" t="s">
        <v>203</v>
      </c>
      <c r="AZ87" s="6" t="s">
        <v>205</v>
      </c>
      <c r="BA87" s="6" t="s">
        <v>202</v>
      </c>
      <c r="BB87" s="6" t="s">
        <v>203</v>
      </c>
      <c r="BC87" s="6" t="s">
        <v>205</v>
      </c>
      <c r="BD87" s="6" t="s">
        <v>204</v>
      </c>
      <c r="BE87" s="6" t="s">
        <v>204</v>
      </c>
      <c r="BF87" s="6" t="s">
        <v>204</v>
      </c>
      <c r="BG87" s="6" t="s">
        <v>204</v>
      </c>
      <c r="BH87" s="6" t="s">
        <v>204</v>
      </c>
      <c r="BI87" s="6" t="s">
        <v>204</v>
      </c>
      <c r="BJ87" s="6" t="s">
        <v>203</v>
      </c>
      <c r="BK87" s="6" t="s">
        <v>202</v>
      </c>
      <c r="BL87" s="6" t="s">
        <v>205</v>
      </c>
      <c r="BM87" s="6" t="s">
        <v>205</v>
      </c>
      <c r="BN87" s="6" t="s">
        <v>205</v>
      </c>
      <c r="BO87" s="6" t="s">
        <v>203</v>
      </c>
      <c r="BP87" s="6" t="s">
        <v>204</v>
      </c>
      <c r="BQ87" s="6" t="s">
        <v>204</v>
      </c>
      <c r="BR87" s="6" t="s">
        <v>204</v>
      </c>
      <c r="BS87" s="6"/>
      <c r="BT87" s="6" t="s">
        <v>271</v>
      </c>
      <c r="BU87" s="6" t="s">
        <v>203</v>
      </c>
      <c r="BV87" s="6" t="s">
        <v>203</v>
      </c>
      <c r="BW87" s="6" t="s">
        <v>203</v>
      </c>
      <c r="BX87" s="6" t="s">
        <v>203</v>
      </c>
      <c r="BY87" s="6" t="s">
        <v>203</v>
      </c>
      <c r="BZ87" s="6" t="s">
        <v>203</v>
      </c>
      <c r="CA87" s="6" t="s">
        <v>203</v>
      </c>
      <c r="CB87" s="6" t="s">
        <v>203</v>
      </c>
      <c r="CC87" s="6" t="s">
        <v>203</v>
      </c>
      <c r="CD87" s="6" t="s">
        <v>203</v>
      </c>
      <c r="CE87" s="6" t="s">
        <v>203</v>
      </c>
      <c r="CF87" s="6" t="s">
        <v>203</v>
      </c>
      <c r="CG87" s="6"/>
      <c r="CH87" s="6" t="s">
        <v>207</v>
      </c>
      <c r="CI87" s="6" t="s">
        <v>207</v>
      </c>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t="s">
        <v>236</v>
      </c>
      <c r="DQ87" s="6"/>
      <c r="DR87" s="6"/>
      <c r="DS87" s="6"/>
      <c r="DT87" s="6"/>
      <c r="DU87" s="6"/>
      <c r="DV87" s="6"/>
      <c r="DW87" s="6" t="s">
        <v>208</v>
      </c>
      <c r="DX87" s="6"/>
      <c r="DY87" s="6"/>
      <c r="DZ87" s="6"/>
      <c r="EA87" s="6"/>
      <c r="EB87" s="6" t="s">
        <v>651</v>
      </c>
      <c r="EC87" s="6" t="s">
        <v>205</v>
      </c>
      <c r="ED87" s="6" t="s">
        <v>205</v>
      </c>
      <c r="EE87" s="6" t="s">
        <v>205</v>
      </c>
      <c r="EF87" s="6" t="s">
        <v>201</v>
      </c>
      <c r="EG87" s="6" t="s">
        <v>205</v>
      </c>
      <c r="EH87" s="6" t="s">
        <v>205</v>
      </c>
      <c r="EI87" s="6" t="s">
        <v>204</v>
      </c>
      <c r="EJ87" s="6" t="s">
        <v>205</v>
      </c>
      <c r="EK87" s="6" t="s">
        <v>205</v>
      </c>
      <c r="EL87" s="6" t="s">
        <v>205</v>
      </c>
      <c r="EM87" s="6"/>
      <c r="EN87" s="6"/>
      <c r="EO87" s="6"/>
      <c r="EP87" s="6"/>
      <c r="EQ87" s="6" t="s">
        <v>205</v>
      </c>
      <c r="ER87" s="6" t="s">
        <v>205</v>
      </c>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t="s">
        <v>205</v>
      </c>
      <c r="FZ87" s="6" t="s">
        <v>205</v>
      </c>
      <c r="GA87" s="6" t="s">
        <v>203</v>
      </c>
      <c r="GB87" s="6" t="s">
        <v>203</v>
      </c>
      <c r="GC87" s="6" t="s">
        <v>205</v>
      </c>
      <c r="GD87" s="6"/>
      <c r="GE87" s="6" t="s">
        <v>203</v>
      </c>
      <c r="GF87" s="6" t="s">
        <v>203</v>
      </c>
      <c r="GG87" s="6" t="s">
        <v>203</v>
      </c>
      <c r="GH87" s="6" t="s">
        <v>203</v>
      </c>
      <c r="GI87" s="6" t="s">
        <v>203</v>
      </c>
      <c r="GJ87" s="6" t="s">
        <v>203</v>
      </c>
      <c r="GK87" s="6" t="s">
        <v>652</v>
      </c>
      <c r="GL87" s="7">
        <f>DATE(2025,6,9)+TIME(10,38,14)</f>
        <v>45817.44321759259</v>
      </c>
    </row>
    <row r="88" spans="1:194" ht="173.25" x14ac:dyDescent="0.25">
      <c r="A88" s="3" t="s">
        <v>653</v>
      </c>
      <c r="B88" s="3" t="s">
        <v>654</v>
      </c>
      <c r="C88" s="3" t="s">
        <v>655</v>
      </c>
      <c r="D88" s="3" t="s">
        <v>656</v>
      </c>
      <c r="E88" s="3"/>
      <c r="F88" s="3" t="s">
        <v>250</v>
      </c>
      <c r="G88" s="3"/>
      <c r="H88" s="3"/>
      <c r="I88" s="3"/>
      <c r="J88" s="3"/>
      <c r="K88" s="3"/>
      <c r="L88" s="3"/>
      <c r="M88" s="3"/>
      <c r="N88" s="3"/>
      <c r="O88" s="3"/>
      <c r="P88" s="3"/>
      <c r="Q88" s="3"/>
      <c r="R88" s="3"/>
      <c r="S88" s="3"/>
      <c r="T88" s="3"/>
      <c r="U88" s="3"/>
      <c r="V88" s="3"/>
      <c r="W88" s="3"/>
      <c r="X88" s="3" t="s">
        <v>657</v>
      </c>
      <c r="Y88" s="3"/>
      <c r="Z88" s="3"/>
      <c r="AA88" s="3"/>
      <c r="AB88" s="3"/>
      <c r="AC88" s="3"/>
      <c r="AD88" s="3"/>
      <c r="AE88" s="3"/>
      <c r="AF88" s="4" t="s">
        <v>657</v>
      </c>
      <c r="AG88" s="3" t="s">
        <v>235</v>
      </c>
      <c r="AH88" s="3" t="s">
        <v>202</v>
      </c>
      <c r="AI88" s="3" t="s">
        <v>201</v>
      </c>
      <c r="AJ88" s="3" t="s">
        <v>203</v>
      </c>
      <c r="AK88" s="3" t="s">
        <v>201</v>
      </c>
      <c r="AL88" s="3" t="s">
        <v>204</v>
      </c>
      <c r="AM88" s="3" t="s">
        <v>204</v>
      </c>
      <c r="AN88" s="3" t="s">
        <v>204</v>
      </c>
      <c r="AO88" s="3" t="s">
        <v>204</v>
      </c>
      <c r="AP88" s="3" t="s">
        <v>204</v>
      </c>
      <c r="AQ88" s="3" t="s">
        <v>204</v>
      </c>
      <c r="AR88" s="3" t="s">
        <v>202</v>
      </c>
      <c r="AS88" s="3"/>
      <c r="AT88" s="3" t="s">
        <v>203</v>
      </c>
      <c r="AU88" s="3" t="s">
        <v>203</v>
      </c>
      <c r="AV88" s="3" t="s">
        <v>205</v>
      </c>
      <c r="AW88" s="3" t="s">
        <v>203</v>
      </c>
      <c r="AX88" s="3" t="s">
        <v>203</v>
      </c>
      <c r="AY88" s="3" t="s">
        <v>201</v>
      </c>
      <c r="AZ88" s="3" t="s">
        <v>202</v>
      </c>
      <c r="BA88" s="3" t="s">
        <v>203</v>
      </c>
      <c r="BB88" s="3" t="s">
        <v>202</v>
      </c>
      <c r="BC88" s="3" t="s">
        <v>203</v>
      </c>
      <c r="BD88" s="3" t="s">
        <v>201</v>
      </c>
      <c r="BE88" s="3" t="s">
        <v>205</v>
      </c>
      <c r="BF88" s="3" t="s">
        <v>205</v>
      </c>
      <c r="BG88" s="3" t="s">
        <v>203</v>
      </c>
      <c r="BH88" s="3" t="s">
        <v>203</v>
      </c>
      <c r="BI88" s="3" t="s">
        <v>201</v>
      </c>
      <c r="BJ88" s="3" t="s">
        <v>202</v>
      </c>
      <c r="BK88" s="3" t="s">
        <v>203</v>
      </c>
      <c r="BL88" s="3" t="s">
        <v>202</v>
      </c>
      <c r="BM88" s="3" t="s">
        <v>203</v>
      </c>
      <c r="BN88" s="3" t="s">
        <v>201</v>
      </c>
      <c r="BO88" s="3" t="s">
        <v>205</v>
      </c>
      <c r="BP88" s="3" t="s">
        <v>205</v>
      </c>
      <c r="BQ88" s="3" t="s">
        <v>205</v>
      </c>
      <c r="BR88" s="3" t="s">
        <v>205</v>
      </c>
      <c r="BS88" s="3"/>
      <c r="BT88" s="3" t="s">
        <v>206</v>
      </c>
      <c r="BU88" s="3" t="s">
        <v>203</v>
      </c>
      <c r="BV88" s="3" t="s">
        <v>203</v>
      </c>
      <c r="BW88" s="3" t="s">
        <v>203</v>
      </c>
      <c r="BX88" s="3" t="s">
        <v>202</v>
      </c>
      <c r="BY88" s="3" t="s">
        <v>202</v>
      </c>
      <c r="BZ88" s="3" t="s">
        <v>202</v>
      </c>
      <c r="CA88" s="3" t="s">
        <v>203</v>
      </c>
      <c r="CB88" s="3" t="s">
        <v>203</v>
      </c>
      <c r="CC88" s="3" t="s">
        <v>203</v>
      </c>
      <c r="CD88" s="3" t="s">
        <v>202</v>
      </c>
      <c r="CE88" s="3" t="s">
        <v>202</v>
      </c>
      <c r="CF88" s="3" t="s">
        <v>202</v>
      </c>
      <c r="CG88" s="3"/>
      <c r="CH88" s="3" t="s">
        <v>207</v>
      </c>
      <c r="CI88" s="3" t="s">
        <v>207</v>
      </c>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t="s">
        <v>236</v>
      </c>
      <c r="DQ88" s="3" t="s">
        <v>237</v>
      </c>
      <c r="DR88" s="3"/>
      <c r="DS88" s="3"/>
      <c r="DT88" s="3"/>
      <c r="DU88" s="3"/>
      <c r="DV88" s="3"/>
      <c r="DW88" s="3" t="s">
        <v>208</v>
      </c>
      <c r="DX88" s="3"/>
      <c r="DY88" s="3"/>
      <c r="DZ88" s="3"/>
      <c r="EA88" s="3"/>
      <c r="EB88" s="3" t="s">
        <v>437</v>
      </c>
      <c r="EC88" s="3" t="s">
        <v>204</v>
      </c>
      <c r="ED88" s="3" t="s">
        <v>204</v>
      </c>
      <c r="EE88" s="3" t="s">
        <v>204</v>
      </c>
      <c r="EF88" s="3" t="s">
        <v>201</v>
      </c>
      <c r="EG88" s="3" t="s">
        <v>202</v>
      </c>
      <c r="EH88" s="3" t="s">
        <v>202</v>
      </c>
      <c r="EI88" s="3" t="s">
        <v>202</v>
      </c>
      <c r="EJ88" s="3" t="s">
        <v>203</v>
      </c>
      <c r="EK88" s="3" t="s">
        <v>205</v>
      </c>
      <c r="EL88" s="3" t="s">
        <v>203</v>
      </c>
      <c r="EM88" s="3"/>
      <c r="EN88" s="3"/>
      <c r="EO88" s="3"/>
      <c r="EP88" s="3"/>
      <c r="EQ88" s="3" t="s">
        <v>205</v>
      </c>
      <c r="ER88" s="3" t="s">
        <v>205</v>
      </c>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t="s">
        <v>201</v>
      </c>
      <c r="FZ88" s="3" t="s">
        <v>202</v>
      </c>
      <c r="GA88" s="3" t="s">
        <v>201</v>
      </c>
      <c r="GB88" s="3" t="s">
        <v>202</v>
      </c>
      <c r="GC88" s="3"/>
      <c r="GD88" s="3"/>
      <c r="GE88" s="3" t="s">
        <v>201</v>
      </c>
      <c r="GF88" s="3" t="s">
        <v>201</v>
      </c>
      <c r="GG88" s="3" t="s">
        <v>202</v>
      </c>
      <c r="GH88" s="3" t="s">
        <v>202</v>
      </c>
      <c r="GI88" s="3" t="s">
        <v>202</v>
      </c>
      <c r="GJ88" s="3" t="s">
        <v>202</v>
      </c>
      <c r="GK88" s="3" t="s">
        <v>658</v>
      </c>
      <c r="GL88" s="5">
        <f>DATE(2025,6,13)+TIME(17,48,45)</f>
        <v>45821.7421875</v>
      </c>
    </row>
    <row r="89" spans="1:194" ht="110.25" x14ac:dyDescent="0.25">
      <c r="A89" s="6" t="s">
        <v>281</v>
      </c>
      <c r="B89" s="6" t="s">
        <v>282</v>
      </c>
      <c r="C89" s="6" t="s">
        <v>283</v>
      </c>
      <c r="D89" s="6" t="s">
        <v>659</v>
      </c>
      <c r="E89" s="6"/>
      <c r="F89" s="6" t="s">
        <v>262</v>
      </c>
      <c r="G89" s="6"/>
      <c r="H89" s="6"/>
      <c r="I89" s="6"/>
      <c r="J89" s="6" t="s">
        <v>660</v>
      </c>
      <c r="K89" s="6"/>
      <c r="L89" s="6"/>
      <c r="M89" s="6"/>
      <c r="N89" s="6"/>
      <c r="O89" s="6"/>
      <c r="P89" s="6"/>
      <c r="Q89" s="6"/>
      <c r="R89" s="6"/>
      <c r="S89" s="6"/>
      <c r="T89" s="6"/>
      <c r="U89" s="6"/>
      <c r="V89" s="6"/>
      <c r="W89" s="6"/>
      <c r="X89" s="6"/>
      <c r="Y89" s="6"/>
      <c r="Z89" s="6"/>
      <c r="AA89" s="6"/>
      <c r="AB89" s="6"/>
      <c r="AC89" s="6"/>
      <c r="AD89" s="6"/>
      <c r="AE89" s="6"/>
      <c r="AF89" s="4" t="s">
        <v>660</v>
      </c>
      <c r="AG89" s="6" t="s">
        <v>213</v>
      </c>
      <c r="AH89" s="6" t="s">
        <v>202</v>
      </c>
      <c r="AI89" s="6" t="s">
        <v>202</v>
      </c>
      <c r="AJ89" s="6" t="s">
        <v>204</v>
      </c>
      <c r="AK89" s="6" t="s">
        <v>201</v>
      </c>
      <c r="AL89" s="6" t="s">
        <v>201</v>
      </c>
      <c r="AM89" s="6" t="s">
        <v>204</v>
      </c>
      <c r="AN89" s="6" t="s">
        <v>202</v>
      </c>
      <c r="AO89" s="6" t="s">
        <v>202</v>
      </c>
      <c r="AP89" s="6" t="s">
        <v>202</v>
      </c>
      <c r="AQ89" s="6" t="s">
        <v>201</v>
      </c>
      <c r="AR89" s="6" t="s">
        <v>202</v>
      </c>
      <c r="AS89" s="6"/>
      <c r="AT89" s="6" t="s">
        <v>202</v>
      </c>
      <c r="AU89" s="6" t="s">
        <v>202</v>
      </c>
      <c r="AV89" s="6" t="s">
        <v>205</v>
      </c>
      <c r="AW89" s="6" t="s">
        <v>202</v>
      </c>
      <c r="AX89" s="6" t="s">
        <v>202</v>
      </c>
      <c r="AY89" s="6" t="s">
        <v>202</v>
      </c>
      <c r="AZ89" s="6" t="s">
        <v>202</v>
      </c>
      <c r="BA89" s="6" t="s">
        <v>205</v>
      </c>
      <c r="BB89" s="6" t="s">
        <v>202</v>
      </c>
      <c r="BC89" s="6" t="s">
        <v>202</v>
      </c>
      <c r="BD89" s="6" t="s">
        <v>202</v>
      </c>
      <c r="BE89" s="6" t="s">
        <v>204</v>
      </c>
      <c r="BF89" s="6" t="s">
        <v>204</v>
      </c>
      <c r="BG89" s="6" t="s">
        <v>204</v>
      </c>
      <c r="BH89" s="6" t="s">
        <v>204</v>
      </c>
      <c r="BI89" s="6" t="s">
        <v>204</v>
      </c>
      <c r="BJ89" s="6" t="s">
        <v>202</v>
      </c>
      <c r="BK89" s="6" t="s">
        <v>205</v>
      </c>
      <c r="BL89" s="6" t="s">
        <v>202</v>
      </c>
      <c r="BM89" s="6" t="s">
        <v>202</v>
      </c>
      <c r="BN89" s="6" t="s">
        <v>202</v>
      </c>
      <c r="BO89" s="6" t="s">
        <v>202</v>
      </c>
      <c r="BP89" s="6" t="s">
        <v>203</v>
      </c>
      <c r="BQ89" s="6" t="s">
        <v>203</v>
      </c>
      <c r="BR89" s="6" t="s">
        <v>204</v>
      </c>
      <c r="BS89" s="6"/>
      <c r="BT89" s="6" t="s">
        <v>210</v>
      </c>
      <c r="BU89" s="6" t="s">
        <v>201</v>
      </c>
      <c r="BV89" s="6" t="s">
        <v>201</v>
      </c>
      <c r="BW89" s="6" t="s">
        <v>201</v>
      </c>
      <c r="BX89" s="6" t="s">
        <v>201</v>
      </c>
      <c r="BY89" s="6" t="s">
        <v>201</v>
      </c>
      <c r="BZ89" s="6" t="s">
        <v>201</v>
      </c>
      <c r="CA89" s="6" t="s">
        <v>201</v>
      </c>
      <c r="CB89" s="6" t="s">
        <v>201</v>
      </c>
      <c r="CC89" s="6" t="s">
        <v>201</v>
      </c>
      <c r="CD89" s="6" t="s">
        <v>201</v>
      </c>
      <c r="CE89" s="6" t="s">
        <v>201</v>
      </c>
      <c r="CF89" s="6" t="s">
        <v>201</v>
      </c>
      <c r="CG89" s="6"/>
      <c r="CH89" s="6" t="s">
        <v>207</v>
      </c>
      <c r="CI89" s="6" t="s">
        <v>207</v>
      </c>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t="s">
        <v>237</v>
      </c>
      <c r="DR89" s="6"/>
      <c r="DS89" s="6"/>
      <c r="DT89" s="6"/>
      <c r="DU89" s="6" t="s">
        <v>294</v>
      </c>
      <c r="DV89" s="6"/>
      <c r="DW89" s="6" t="s">
        <v>208</v>
      </c>
      <c r="DX89" s="6"/>
      <c r="DY89" s="6" t="s">
        <v>247</v>
      </c>
      <c r="DZ89" s="6" t="s">
        <v>219</v>
      </c>
      <c r="EA89" s="6"/>
      <c r="EB89" s="6"/>
      <c r="EC89" s="6" t="s">
        <v>204</v>
      </c>
      <c r="ED89" s="6" t="s">
        <v>204</v>
      </c>
      <c r="EE89" s="6" t="s">
        <v>204</v>
      </c>
      <c r="EF89" s="6" t="s">
        <v>202</v>
      </c>
      <c r="EG89" s="6" t="s">
        <v>202</v>
      </c>
      <c r="EH89" s="6" t="s">
        <v>202</v>
      </c>
      <c r="EI89" s="6" t="s">
        <v>203</v>
      </c>
      <c r="EJ89" s="6" t="s">
        <v>204</v>
      </c>
      <c r="EK89" s="6" t="s">
        <v>204</v>
      </c>
      <c r="EL89" s="6" t="s">
        <v>204</v>
      </c>
      <c r="EM89" s="6"/>
      <c r="EN89" s="6"/>
      <c r="EO89" s="6"/>
      <c r="EP89" s="6"/>
      <c r="EQ89" s="6" t="s">
        <v>205</v>
      </c>
      <c r="ER89" s="6" t="s">
        <v>202</v>
      </c>
      <c r="ES89" s="6"/>
      <c r="ET89" s="6"/>
      <c r="EU89" s="6"/>
      <c r="EV89" s="6"/>
      <c r="EW89" s="6"/>
      <c r="EX89" s="6"/>
      <c r="EY89" s="6"/>
      <c r="EZ89" s="6"/>
      <c r="FA89" s="6"/>
      <c r="FB89" s="6"/>
      <c r="FC89" s="6"/>
      <c r="FD89" s="6"/>
      <c r="FE89" s="6"/>
      <c r="FF89" s="6"/>
      <c r="FG89" s="6"/>
      <c r="FH89" s="6" t="s">
        <v>202</v>
      </c>
      <c r="FI89" s="6" t="s">
        <v>202</v>
      </c>
      <c r="FJ89" s="6" t="s">
        <v>205</v>
      </c>
      <c r="FK89" s="6" t="s">
        <v>202</v>
      </c>
      <c r="FL89" s="6" t="s">
        <v>202</v>
      </c>
      <c r="FM89" s="6" t="s">
        <v>202</v>
      </c>
      <c r="FN89" s="6" t="s">
        <v>202</v>
      </c>
      <c r="FO89" s="6" t="s">
        <v>202</v>
      </c>
      <c r="FP89" s="6" t="s">
        <v>204</v>
      </c>
      <c r="FQ89" s="6" t="s">
        <v>202</v>
      </c>
      <c r="FR89" s="6" t="s">
        <v>202</v>
      </c>
      <c r="FS89" s="6" t="s">
        <v>203</v>
      </c>
      <c r="FT89" s="6" t="s">
        <v>203</v>
      </c>
      <c r="FU89" s="6" t="s">
        <v>204</v>
      </c>
      <c r="FV89" s="6"/>
      <c r="FW89" s="6" t="s">
        <v>210</v>
      </c>
      <c r="FX89" s="6"/>
      <c r="FY89" s="6" t="s">
        <v>202</v>
      </c>
      <c r="FZ89" s="6" t="s">
        <v>202</v>
      </c>
      <c r="GA89" s="6" t="s">
        <v>201</v>
      </c>
      <c r="GB89" s="6" t="s">
        <v>202</v>
      </c>
      <c r="GC89" s="6" t="s">
        <v>204</v>
      </c>
      <c r="GD89" s="6"/>
      <c r="GE89" s="6" t="s">
        <v>201</v>
      </c>
      <c r="GF89" s="6" t="s">
        <v>201</v>
      </c>
      <c r="GG89" s="6" t="s">
        <v>201</v>
      </c>
      <c r="GH89" s="6" t="s">
        <v>202</v>
      </c>
      <c r="GI89" s="6" t="s">
        <v>202</v>
      </c>
      <c r="GJ89" s="6" t="s">
        <v>202</v>
      </c>
      <c r="GK89" s="6" t="s">
        <v>661</v>
      </c>
      <c r="GL89" s="7">
        <f>DATE(2025,6,11)+TIME(7,8,55)</f>
        <v>45819.297858796293</v>
      </c>
    </row>
    <row r="90" spans="1:194" ht="189" x14ac:dyDescent="0.25">
      <c r="A90" s="3"/>
      <c r="B90" s="3"/>
      <c r="C90" s="3" t="s">
        <v>662</v>
      </c>
      <c r="D90" s="3" t="s">
        <v>663</v>
      </c>
      <c r="E90" s="3"/>
      <c r="F90" s="3" t="s">
        <v>664</v>
      </c>
      <c r="G90" s="3"/>
      <c r="H90" s="3"/>
      <c r="I90" s="3"/>
      <c r="J90" s="3"/>
      <c r="K90" s="3"/>
      <c r="L90" s="3"/>
      <c r="M90" s="3"/>
      <c r="N90" s="3"/>
      <c r="O90" s="3"/>
      <c r="P90" s="3"/>
      <c r="Q90" s="3"/>
      <c r="R90" s="3"/>
      <c r="S90" s="3" t="s">
        <v>665</v>
      </c>
      <c r="T90" s="3"/>
      <c r="U90" s="3"/>
      <c r="V90" s="3"/>
      <c r="W90" s="3"/>
      <c r="X90" s="3"/>
      <c r="Y90" s="3"/>
      <c r="Z90" s="3"/>
      <c r="AA90" s="3"/>
      <c r="AB90" s="3"/>
      <c r="AC90" s="3"/>
      <c r="AD90" s="3"/>
      <c r="AE90" s="3"/>
      <c r="AF90" s="4" t="s">
        <v>665</v>
      </c>
      <c r="AG90" s="3" t="s">
        <v>213</v>
      </c>
      <c r="AH90" s="3" t="s">
        <v>202</v>
      </c>
      <c r="AI90" s="3" t="s">
        <v>202</v>
      </c>
      <c r="AJ90" s="3" t="s">
        <v>205</v>
      </c>
      <c r="AK90" s="3" t="s">
        <v>202</v>
      </c>
      <c r="AL90" s="3" t="s">
        <v>203</v>
      </c>
      <c r="AM90" s="3" t="s">
        <v>205</v>
      </c>
      <c r="AN90" s="3" t="s">
        <v>205</v>
      </c>
      <c r="AO90" s="3" t="s">
        <v>201</v>
      </c>
      <c r="AP90" s="3" t="s">
        <v>202</v>
      </c>
      <c r="AQ90" s="3" t="s">
        <v>203</v>
      </c>
      <c r="AR90" s="3" t="s">
        <v>203</v>
      </c>
      <c r="AS90" s="3"/>
      <c r="AT90" s="3" t="s">
        <v>203</v>
      </c>
      <c r="AU90" s="3" t="s">
        <v>202</v>
      </c>
      <c r="AV90" s="3" t="s">
        <v>205</v>
      </c>
      <c r="AW90" s="3" t="s">
        <v>202</v>
      </c>
      <c r="AX90" s="3" t="s">
        <v>202</v>
      </c>
      <c r="AY90" s="3" t="s">
        <v>205</v>
      </c>
      <c r="AZ90" s="3" t="s">
        <v>202</v>
      </c>
      <c r="BA90" s="3" t="s">
        <v>203</v>
      </c>
      <c r="BB90" s="3" t="s">
        <v>202</v>
      </c>
      <c r="BC90" s="3" t="s">
        <v>202</v>
      </c>
      <c r="BD90" s="3" t="s">
        <v>203</v>
      </c>
      <c r="BE90" s="3" t="s">
        <v>205</v>
      </c>
      <c r="BF90" s="3" t="s">
        <v>205</v>
      </c>
      <c r="BG90" s="3" t="s">
        <v>203</v>
      </c>
      <c r="BH90" s="3" t="s">
        <v>203</v>
      </c>
      <c r="BI90" s="3" t="s">
        <v>205</v>
      </c>
      <c r="BJ90" s="3" t="s">
        <v>203</v>
      </c>
      <c r="BK90" s="3" t="s">
        <v>205</v>
      </c>
      <c r="BL90" s="3" t="s">
        <v>203</v>
      </c>
      <c r="BM90" s="3" t="s">
        <v>203</v>
      </c>
      <c r="BN90" s="3" t="s">
        <v>205</v>
      </c>
      <c r="BO90" s="3" t="s">
        <v>202</v>
      </c>
      <c r="BP90" s="3" t="s">
        <v>203</v>
      </c>
      <c r="BQ90" s="3" t="s">
        <v>205</v>
      </c>
      <c r="BR90" s="3"/>
      <c r="BS90" s="3"/>
      <c r="BT90" s="3" t="s">
        <v>210</v>
      </c>
      <c r="BU90" s="3" t="s">
        <v>201</v>
      </c>
      <c r="BV90" s="3" t="s">
        <v>201</v>
      </c>
      <c r="BW90" s="3" t="s">
        <v>201</v>
      </c>
      <c r="BX90" s="3" t="s">
        <v>202</v>
      </c>
      <c r="BY90" s="3" t="s">
        <v>202</v>
      </c>
      <c r="BZ90" s="3" t="s">
        <v>202</v>
      </c>
      <c r="CA90" s="3" t="s">
        <v>202</v>
      </c>
      <c r="CB90" s="3" t="s">
        <v>202</v>
      </c>
      <c r="CC90" s="3" t="s">
        <v>202</v>
      </c>
      <c r="CD90" s="3" t="s">
        <v>201</v>
      </c>
      <c r="CE90" s="3" t="s">
        <v>201</v>
      </c>
      <c r="CF90" s="3" t="s">
        <v>201</v>
      </c>
      <c r="CG90" s="3"/>
      <c r="CH90" s="3" t="s">
        <v>207</v>
      </c>
      <c r="CI90" s="3" t="s">
        <v>208</v>
      </c>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t="s">
        <v>666</v>
      </c>
      <c r="DW90" s="3" t="s">
        <v>208</v>
      </c>
      <c r="DX90" s="3" t="s">
        <v>246</v>
      </c>
      <c r="DY90" s="3"/>
      <c r="DZ90" s="3"/>
      <c r="EA90" s="3"/>
      <c r="EB90" s="3"/>
      <c r="EC90" s="3" t="s">
        <v>202</v>
      </c>
      <c r="ED90" s="3" t="s">
        <v>205</v>
      </c>
      <c r="EE90" s="3" t="s">
        <v>202</v>
      </c>
      <c r="EF90" s="3" t="s">
        <v>205</v>
      </c>
      <c r="EG90" s="3" t="s">
        <v>205</v>
      </c>
      <c r="EH90" s="3" t="s">
        <v>202</v>
      </c>
      <c r="EI90" s="3" t="s">
        <v>201</v>
      </c>
      <c r="EJ90" s="3" t="s">
        <v>205</v>
      </c>
      <c r="EK90" s="3" t="s">
        <v>205</v>
      </c>
      <c r="EL90" s="3" t="s">
        <v>202</v>
      </c>
      <c r="EM90" s="3" t="s">
        <v>203</v>
      </c>
      <c r="EN90" s="3" t="s">
        <v>203</v>
      </c>
      <c r="EO90" s="3" t="s">
        <v>205</v>
      </c>
      <c r="EP90" s="3"/>
      <c r="EQ90" s="3" t="s">
        <v>205</v>
      </c>
      <c r="ER90" s="3" t="s">
        <v>205</v>
      </c>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t="s">
        <v>202</v>
      </c>
      <c r="FZ90" s="3" t="s">
        <v>202</v>
      </c>
      <c r="GA90" s="3" t="s">
        <v>201</v>
      </c>
      <c r="GB90" s="3" t="s">
        <v>201</v>
      </c>
      <c r="GC90" s="3"/>
      <c r="GD90" s="3"/>
      <c r="GE90" s="3" t="s">
        <v>201</v>
      </c>
      <c r="GF90" s="3" t="s">
        <v>201</v>
      </c>
      <c r="GG90" s="3" t="s">
        <v>201</v>
      </c>
      <c r="GH90" s="3" t="s">
        <v>205</v>
      </c>
      <c r="GI90" s="3" t="s">
        <v>201</v>
      </c>
      <c r="GJ90" s="3" t="s">
        <v>201</v>
      </c>
      <c r="GK90" s="3" t="s">
        <v>667</v>
      </c>
      <c r="GL90" s="5">
        <f>DATE(2025,6,11)+TIME(14,22,7)</f>
        <v>45819.598692129628</v>
      </c>
    </row>
    <row r="91" spans="1:194" ht="47.25" x14ac:dyDescent="0.25">
      <c r="A91" s="6" t="s">
        <v>453</v>
      </c>
      <c r="B91" s="6" t="s">
        <v>454</v>
      </c>
      <c r="C91" s="6" t="s">
        <v>455</v>
      </c>
      <c r="D91" s="6" t="s">
        <v>668</v>
      </c>
      <c r="E91" s="6"/>
      <c r="F91" s="6" t="s">
        <v>244</v>
      </c>
      <c r="G91" s="6"/>
      <c r="H91" s="6" t="s">
        <v>669</v>
      </c>
      <c r="I91" s="6"/>
      <c r="J91" s="6"/>
      <c r="K91" s="6"/>
      <c r="L91" s="6"/>
      <c r="M91" s="6"/>
      <c r="N91" s="6"/>
      <c r="O91" s="6"/>
      <c r="P91" s="6"/>
      <c r="Q91" s="6"/>
      <c r="R91" s="6"/>
      <c r="S91" s="6"/>
      <c r="T91" s="6"/>
      <c r="U91" s="6"/>
      <c r="V91" s="6"/>
      <c r="W91" s="6"/>
      <c r="X91" s="6"/>
      <c r="Y91" s="6"/>
      <c r="Z91" s="6"/>
      <c r="AA91" s="6"/>
      <c r="AB91" s="6"/>
      <c r="AC91" s="6"/>
      <c r="AD91" s="6"/>
      <c r="AE91" s="6"/>
      <c r="AF91" s="4" t="s">
        <v>669</v>
      </c>
      <c r="AG91" s="6" t="s">
        <v>213</v>
      </c>
      <c r="AH91" s="6" t="s">
        <v>202</v>
      </c>
      <c r="AI91" s="6" t="s">
        <v>204</v>
      </c>
      <c r="AJ91" s="6" t="s">
        <v>202</v>
      </c>
      <c r="AK91" s="6" t="s">
        <v>202</v>
      </c>
      <c r="AL91" s="6" t="s">
        <v>204</v>
      </c>
      <c r="AM91" s="6" t="s">
        <v>204</v>
      </c>
      <c r="AN91" s="6" t="s">
        <v>204</v>
      </c>
      <c r="AO91" s="6" t="s">
        <v>204</v>
      </c>
      <c r="AP91" s="6" t="s">
        <v>204</v>
      </c>
      <c r="AQ91" s="6" t="s">
        <v>204</v>
      </c>
      <c r="AR91" s="6" t="s">
        <v>204</v>
      </c>
      <c r="AS91" s="6"/>
      <c r="AT91" s="6" t="s">
        <v>204</v>
      </c>
      <c r="AU91" s="6" t="s">
        <v>202</v>
      </c>
      <c r="AV91" s="6" t="s">
        <v>203</v>
      </c>
      <c r="AW91" s="6" t="s">
        <v>201</v>
      </c>
      <c r="AX91" s="6" t="s">
        <v>201</v>
      </c>
      <c r="AY91" s="6" t="s">
        <v>204</v>
      </c>
      <c r="AZ91" s="6" t="s">
        <v>204</v>
      </c>
      <c r="BA91" s="6" t="s">
        <v>204</v>
      </c>
      <c r="BB91" s="6" t="s">
        <v>204</v>
      </c>
      <c r="BC91" s="6" t="s">
        <v>204</v>
      </c>
      <c r="BD91" s="6" t="s">
        <v>204</v>
      </c>
      <c r="BE91" s="6" t="s">
        <v>204</v>
      </c>
      <c r="BF91" s="6" t="s">
        <v>203</v>
      </c>
      <c r="BG91" s="6" t="s">
        <v>201</v>
      </c>
      <c r="BH91" s="6" t="s">
        <v>201</v>
      </c>
      <c r="BI91" s="6" t="s">
        <v>204</v>
      </c>
      <c r="BJ91" s="6" t="s">
        <v>202</v>
      </c>
      <c r="BK91" s="6" t="s">
        <v>203</v>
      </c>
      <c r="BL91" s="6" t="s">
        <v>202</v>
      </c>
      <c r="BM91" s="6" t="s">
        <v>202</v>
      </c>
      <c r="BN91" s="6" t="s">
        <v>204</v>
      </c>
      <c r="BO91" s="6" t="s">
        <v>201</v>
      </c>
      <c r="BP91" s="6" t="s">
        <v>204</v>
      </c>
      <c r="BQ91" s="6" t="s">
        <v>204</v>
      </c>
      <c r="BR91" s="6" t="s">
        <v>204</v>
      </c>
      <c r="BS91" s="6"/>
      <c r="BT91" s="6" t="s">
        <v>210</v>
      </c>
      <c r="BU91" s="6" t="s">
        <v>202</v>
      </c>
      <c r="BV91" s="6" t="s">
        <v>202</v>
      </c>
      <c r="BW91" s="6" t="s">
        <v>202</v>
      </c>
      <c r="BX91" s="6" t="s">
        <v>204</v>
      </c>
      <c r="BY91" s="6" t="s">
        <v>204</v>
      </c>
      <c r="BZ91" s="6" t="s">
        <v>204</v>
      </c>
      <c r="CA91" s="6" t="s">
        <v>202</v>
      </c>
      <c r="CB91" s="6" t="s">
        <v>202</v>
      </c>
      <c r="CC91" s="6" t="s">
        <v>202</v>
      </c>
      <c r="CD91" s="6" t="s">
        <v>202</v>
      </c>
      <c r="CE91" s="6" t="s">
        <v>202</v>
      </c>
      <c r="CF91" s="6" t="s">
        <v>202</v>
      </c>
      <c r="CG91" s="6"/>
      <c r="CH91" s="6" t="s">
        <v>207</v>
      </c>
      <c r="CI91" s="6" t="s">
        <v>207</v>
      </c>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t="s">
        <v>236</v>
      </c>
      <c r="DQ91" s="6"/>
      <c r="DR91" s="6"/>
      <c r="DS91" s="6"/>
      <c r="DT91" s="6"/>
      <c r="DU91" s="6"/>
      <c r="DV91" s="6"/>
      <c r="DW91" s="6" t="s">
        <v>208</v>
      </c>
      <c r="DX91" s="6" t="s">
        <v>246</v>
      </c>
      <c r="DY91" s="6" t="s">
        <v>247</v>
      </c>
      <c r="DZ91" s="6"/>
      <c r="EA91" s="6"/>
      <c r="EB91" s="6"/>
      <c r="EC91" s="6" t="s">
        <v>204</v>
      </c>
      <c r="ED91" s="6" t="s">
        <v>204</v>
      </c>
      <c r="EE91" s="6" t="s">
        <v>204</v>
      </c>
      <c r="EF91" s="6" t="s">
        <v>204</v>
      </c>
      <c r="EG91" s="6" t="s">
        <v>204</v>
      </c>
      <c r="EH91" s="6" t="s">
        <v>204</v>
      </c>
      <c r="EI91" s="6" t="s">
        <v>204</v>
      </c>
      <c r="EJ91" s="6" t="s">
        <v>204</v>
      </c>
      <c r="EK91" s="6" t="s">
        <v>204</v>
      </c>
      <c r="EL91" s="6" t="s">
        <v>204</v>
      </c>
      <c r="EM91" s="6"/>
      <c r="EN91" s="6"/>
      <c r="EO91" s="6"/>
      <c r="EP91" s="6"/>
      <c r="EQ91" s="6" t="s">
        <v>203</v>
      </c>
      <c r="ER91" s="6" t="s">
        <v>203</v>
      </c>
      <c r="ES91" s="6"/>
      <c r="ET91" s="6" t="s">
        <v>204</v>
      </c>
      <c r="EU91" s="6" t="s">
        <v>204</v>
      </c>
      <c r="EV91" s="6" t="s">
        <v>204</v>
      </c>
      <c r="EW91" s="6" t="s">
        <v>204</v>
      </c>
      <c r="EX91" s="6"/>
      <c r="EY91" s="6" t="s">
        <v>204</v>
      </c>
      <c r="EZ91" s="6" t="s">
        <v>204</v>
      </c>
      <c r="FA91" s="6" t="s">
        <v>204</v>
      </c>
      <c r="FB91" s="6" t="s">
        <v>204</v>
      </c>
      <c r="FC91" s="6" t="s">
        <v>204</v>
      </c>
      <c r="FD91" s="6" t="s">
        <v>204</v>
      </c>
      <c r="FE91" s="6" t="s">
        <v>204</v>
      </c>
      <c r="FF91" s="6" t="s">
        <v>204</v>
      </c>
      <c r="FG91" s="6" t="s">
        <v>204</v>
      </c>
      <c r="FH91" s="6" t="s">
        <v>204</v>
      </c>
      <c r="FI91" s="6" t="s">
        <v>204</v>
      </c>
      <c r="FJ91" s="6" t="s">
        <v>204</v>
      </c>
      <c r="FK91" s="6" t="s">
        <v>204</v>
      </c>
      <c r="FL91" s="6" t="s">
        <v>204</v>
      </c>
      <c r="FM91" s="6" t="s">
        <v>204</v>
      </c>
      <c r="FN91" s="6" t="s">
        <v>204</v>
      </c>
      <c r="FO91" s="6" t="s">
        <v>204</v>
      </c>
      <c r="FP91" s="6" t="s">
        <v>204</v>
      </c>
      <c r="FQ91" s="6" t="s">
        <v>204</v>
      </c>
      <c r="FR91" s="6" t="s">
        <v>204</v>
      </c>
      <c r="FS91" s="6" t="s">
        <v>204</v>
      </c>
      <c r="FT91" s="6" t="s">
        <v>204</v>
      </c>
      <c r="FU91" s="6" t="s">
        <v>204</v>
      </c>
      <c r="FV91" s="6"/>
      <c r="FW91" s="6" t="s">
        <v>210</v>
      </c>
      <c r="FX91" s="6"/>
      <c r="FY91" s="6" t="s">
        <v>201</v>
      </c>
      <c r="FZ91" s="6" t="s">
        <v>203</v>
      </c>
      <c r="GA91" s="6" t="s">
        <v>201</v>
      </c>
      <c r="GB91" s="6" t="s">
        <v>202</v>
      </c>
      <c r="GC91" s="6" t="s">
        <v>204</v>
      </c>
      <c r="GD91" s="6"/>
      <c r="GE91" s="6" t="s">
        <v>202</v>
      </c>
      <c r="GF91" s="6" t="s">
        <v>201</v>
      </c>
      <c r="GG91" s="6" t="s">
        <v>201</v>
      </c>
      <c r="GH91" s="6" t="s">
        <v>203</v>
      </c>
      <c r="GI91" s="6" t="s">
        <v>201</v>
      </c>
      <c r="GJ91" s="6" t="s">
        <v>203</v>
      </c>
      <c r="GK91" s="6"/>
      <c r="GL91" s="7">
        <f>DATE(2025,6,9)+TIME(15,45,4)</f>
        <v>45817.6562962963</v>
      </c>
    </row>
    <row r="92" spans="1:194" ht="47.25" x14ac:dyDescent="0.25">
      <c r="A92" s="3"/>
      <c r="B92" s="3"/>
      <c r="C92" s="3" t="s">
        <v>333</v>
      </c>
      <c r="D92" s="3" t="s">
        <v>670</v>
      </c>
      <c r="E92" s="3"/>
      <c r="F92" s="3" t="s">
        <v>335</v>
      </c>
      <c r="G92" s="3"/>
      <c r="H92" s="3"/>
      <c r="I92" s="3"/>
      <c r="J92" s="3"/>
      <c r="K92" s="3"/>
      <c r="L92" s="3"/>
      <c r="M92" s="3"/>
      <c r="N92" s="3"/>
      <c r="O92" s="3" t="s">
        <v>671</v>
      </c>
      <c r="P92" s="3"/>
      <c r="Q92" s="3"/>
      <c r="R92" s="3"/>
      <c r="S92" s="3"/>
      <c r="T92" s="3"/>
      <c r="U92" s="3"/>
      <c r="V92" s="3"/>
      <c r="W92" s="3"/>
      <c r="X92" s="3"/>
      <c r="Y92" s="3"/>
      <c r="Z92" s="3"/>
      <c r="AA92" s="3"/>
      <c r="AB92" s="3"/>
      <c r="AC92" s="3"/>
      <c r="AD92" s="3"/>
      <c r="AE92" s="3"/>
      <c r="AF92" s="4" t="s">
        <v>671</v>
      </c>
      <c r="AG92" s="3" t="s">
        <v>235</v>
      </c>
      <c r="AH92" s="3" t="s">
        <v>202</v>
      </c>
      <c r="AI92" s="3" t="s">
        <v>202</v>
      </c>
      <c r="AJ92" s="3" t="s">
        <v>204</v>
      </c>
      <c r="AK92" s="3" t="s">
        <v>203</v>
      </c>
      <c r="AL92" s="3" t="s">
        <v>202</v>
      </c>
      <c r="AM92" s="3" t="s">
        <v>201</v>
      </c>
      <c r="AN92" s="3" t="s">
        <v>201</v>
      </c>
      <c r="AO92" s="3" t="s">
        <v>201</v>
      </c>
      <c r="AP92" s="3" t="s">
        <v>204</v>
      </c>
      <c r="AQ92" s="3" t="s">
        <v>202</v>
      </c>
      <c r="AR92" s="3" t="s">
        <v>201</v>
      </c>
      <c r="AS92" s="3"/>
      <c r="AT92" s="3" t="s">
        <v>204</v>
      </c>
      <c r="AU92" s="3" t="s">
        <v>202</v>
      </c>
      <c r="AV92" s="3" t="s">
        <v>203</v>
      </c>
      <c r="AW92" s="3" t="s">
        <v>202</v>
      </c>
      <c r="AX92" s="3" t="s">
        <v>201</v>
      </c>
      <c r="AY92" s="3" t="s">
        <v>204</v>
      </c>
      <c r="AZ92" s="3" t="s">
        <v>203</v>
      </c>
      <c r="BA92" s="3" t="s">
        <v>203</v>
      </c>
      <c r="BB92" s="3" t="s">
        <v>202</v>
      </c>
      <c r="BC92" s="3" t="s">
        <v>203</v>
      </c>
      <c r="BD92" s="3" t="s">
        <v>204</v>
      </c>
      <c r="BE92" s="3" t="s">
        <v>204</v>
      </c>
      <c r="BF92" s="3" t="s">
        <v>204</v>
      </c>
      <c r="BG92" s="3" t="s">
        <v>204</v>
      </c>
      <c r="BH92" s="3" t="s">
        <v>204</v>
      </c>
      <c r="BI92" s="3" t="s">
        <v>204</v>
      </c>
      <c r="BJ92" s="3" t="s">
        <v>204</v>
      </c>
      <c r="BK92" s="3" t="s">
        <v>204</v>
      </c>
      <c r="BL92" s="3" t="s">
        <v>204</v>
      </c>
      <c r="BM92" s="3" t="s">
        <v>204</v>
      </c>
      <c r="BN92" s="3" t="s">
        <v>204</v>
      </c>
      <c r="BO92" s="3" t="s">
        <v>202</v>
      </c>
      <c r="BP92" s="3" t="s">
        <v>202</v>
      </c>
      <c r="BQ92" s="3" t="s">
        <v>203</v>
      </c>
      <c r="BR92" s="3" t="s">
        <v>204</v>
      </c>
      <c r="BS92" s="3"/>
      <c r="BT92" s="3" t="s">
        <v>206</v>
      </c>
      <c r="BU92" s="3" t="s">
        <v>202</v>
      </c>
      <c r="BV92" s="3" t="s">
        <v>203</v>
      </c>
      <c r="BW92" s="3" t="s">
        <v>202</v>
      </c>
      <c r="BX92" s="3" t="s">
        <v>203</v>
      </c>
      <c r="BY92" s="3" t="s">
        <v>203</v>
      </c>
      <c r="BZ92" s="3" t="s">
        <v>203</v>
      </c>
      <c r="CA92" s="3" t="s">
        <v>202</v>
      </c>
      <c r="CB92" s="3" t="s">
        <v>203</v>
      </c>
      <c r="CC92" s="3" t="s">
        <v>202</v>
      </c>
      <c r="CD92" s="3" t="s">
        <v>203</v>
      </c>
      <c r="CE92" s="3" t="s">
        <v>203</v>
      </c>
      <c r="CF92" s="3" t="s">
        <v>203</v>
      </c>
      <c r="CG92" s="3"/>
      <c r="CH92" s="3" t="s">
        <v>208</v>
      </c>
      <c r="CI92" s="3" t="s">
        <v>208</v>
      </c>
      <c r="CJ92" s="3" t="s">
        <v>202</v>
      </c>
      <c r="CK92" s="3" t="s">
        <v>201</v>
      </c>
      <c r="CL92" s="3" t="s">
        <v>201</v>
      </c>
      <c r="CM92" s="3" t="s">
        <v>203</v>
      </c>
      <c r="CN92" s="3" t="s">
        <v>201</v>
      </c>
      <c r="CO92" s="3" t="s">
        <v>202</v>
      </c>
      <c r="CP92" s="3" t="s">
        <v>201</v>
      </c>
      <c r="CQ92" s="3" t="s">
        <v>204</v>
      </c>
      <c r="CR92" s="3" t="s">
        <v>201</v>
      </c>
      <c r="CS92" s="3" t="s">
        <v>201</v>
      </c>
      <c r="CT92" s="3" t="s">
        <v>201</v>
      </c>
      <c r="CU92" s="3" t="s">
        <v>202</v>
      </c>
      <c r="CV92" s="3" t="s">
        <v>205</v>
      </c>
      <c r="CW92" s="3" t="s">
        <v>201</v>
      </c>
      <c r="CX92" s="3" t="s">
        <v>201</v>
      </c>
      <c r="CY92" s="3" t="s">
        <v>204</v>
      </c>
      <c r="CZ92" s="3" t="s">
        <v>202</v>
      </c>
      <c r="DA92" s="3" t="s">
        <v>201</v>
      </c>
      <c r="DB92" s="3"/>
      <c r="DC92" s="3" t="s">
        <v>258</v>
      </c>
      <c r="DD92" s="3" t="s">
        <v>259</v>
      </c>
      <c r="DE92" s="3" t="s">
        <v>355</v>
      </c>
      <c r="DF92" s="3" t="s">
        <v>217</v>
      </c>
      <c r="DG92" s="3"/>
      <c r="DH92" s="3" t="s">
        <v>202</v>
      </c>
      <c r="DI92" s="3" t="s">
        <v>202</v>
      </c>
      <c r="DJ92" s="3" t="s">
        <v>202</v>
      </c>
      <c r="DK92" s="3" t="s">
        <v>201</v>
      </c>
      <c r="DL92" s="3" t="s">
        <v>202</v>
      </c>
      <c r="DM92" s="3" t="s">
        <v>203</v>
      </c>
      <c r="DN92" s="3" t="s">
        <v>203</v>
      </c>
      <c r="DO92" s="3" t="s">
        <v>672</v>
      </c>
      <c r="DP92" s="3"/>
      <c r="DQ92" s="3"/>
      <c r="DR92" s="3"/>
      <c r="DS92" s="3"/>
      <c r="DT92" s="3"/>
      <c r="DU92" s="3"/>
      <c r="DV92" s="3"/>
      <c r="DW92" s="3" t="s">
        <v>208</v>
      </c>
      <c r="DX92" s="3" t="s">
        <v>246</v>
      </c>
      <c r="DY92" s="3"/>
      <c r="DZ92" s="3" t="s">
        <v>219</v>
      </c>
      <c r="EA92" s="3"/>
      <c r="EB92" s="3"/>
      <c r="EC92" s="3" t="s">
        <v>204</v>
      </c>
      <c r="ED92" s="3" t="s">
        <v>202</v>
      </c>
      <c r="EE92" s="3" t="s">
        <v>204</v>
      </c>
      <c r="EF92" s="3" t="s">
        <v>202</v>
      </c>
      <c r="EG92" s="3" t="s">
        <v>202</v>
      </c>
      <c r="EH92" s="3" t="s">
        <v>204</v>
      </c>
      <c r="EI92" s="3" t="s">
        <v>202</v>
      </c>
      <c r="EJ92" s="3" t="s">
        <v>201</v>
      </c>
      <c r="EK92" s="3" t="s">
        <v>203</v>
      </c>
      <c r="EL92" s="3" t="s">
        <v>204</v>
      </c>
      <c r="EM92" s="3" t="s">
        <v>202</v>
      </c>
      <c r="EN92" s="3" t="s">
        <v>204</v>
      </c>
      <c r="EO92" s="3" t="s">
        <v>203</v>
      </c>
      <c r="EP92" s="3"/>
      <c r="EQ92" s="3" t="s">
        <v>202</v>
      </c>
      <c r="ER92" s="3" t="s">
        <v>202</v>
      </c>
      <c r="ES92" s="3"/>
      <c r="ET92" s="3" t="s">
        <v>204</v>
      </c>
      <c r="EU92" s="3" t="s">
        <v>204</v>
      </c>
      <c r="EV92" s="3" t="s">
        <v>204</v>
      </c>
      <c r="EW92" s="3" t="s">
        <v>204</v>
      </c>
      <c r="EX92" s="3"/>
      <c r="EY92" s="3" t="s">
        <v>204</v>
      </c>
      <c r="EZ92" s="3" t="s">
        <v>204</v>
      </c>
      <c r="FA92" s="3" t="s">
        <v>204</v>
      </c>
      <c r="FB92" s="3" t="s">
        <v>204</v>
      </c>
      <c r="FC92" s="3" t="s">
        <v>204</v>
      </c>
      <c r="FD92" s="3" t="s">
        <v>204</v>
      </c>
      <c r="FE92" s="3" t="s">
        <v>204</v>
      </c>
      <c r="FF92" s="3" t="s">
        <v>204</v>
      </c>
      <c r="FG92" s="3" t="s">
        <v>204</v>
      </c>
      <c r="FH92" s="3" t="s">
        <v>204</v>
      </c>
      <c r="FI92" s="3" t="s">
        <v>204</v>
      </c>
      <c r="FJ92" s="3" t="s">
        <v>204</v>
      </c>
      <c r="FK92" s="3" t="s">
        <v>204</v>
      </c>
      <c r="FL92" s="3" t="s">
        <v>204</v>
      </c>
      <c r="FM92" s="3" t="s">
        <v>204</v>
      </c>
      <c r="FN92" s="3" t="s">
        <v>204</v>
      </c>
      <c r="FO92" s="3" t="s">
        <v>204</v>
      </c>
      <c r="FP92" s="3" t="s">
        <v>204</v>
      </c>
      <c r="FQ92" s="3" t="s">
        <v>204</v>
      </c>
      <c r="FR92" s="3" t="s">
        <v>204</v>
      </c>
      <c r="FS92" s="3" t="s">
        <v>204</v>
      </c>
      <c r="FT92" s="3" t="s">
        <v>204</v>
      </c>
      <c r="FU92" s="3" t="s">
        <v>204</v>
      </c>
      <c r="FV92" s="3"/>
      <c r="FW92" s="3" t="s">
        <v>238</v>
      </c>
      <c r="FX92" s="3"/>
      <c r="FY92" s="3" t="s">
        <v>201</v>
      </c>
      <c r="FZ92" s="3" t="s">
        <v>201</v>
      </c>
      <c r="GA92" s="3" t="s">
        <v>202</v>
      </c>
      <c r="GB92" s="3" t="s">
        <v>202</v>
      </c>
      <c r="GC92" s="3"/>
      <c r="GD92" s="3"/>
      <c r="GE92" s="3" t="s">
        <v>204</v>
      </c>
      <c r="GF92" s="3" t="s">
        <v>202</v>
      </c>
      <c r="GG92" s="3" t="s">
        <v>202</v>
      </c>
      <c r="GH92" s="3" t="s">
        <v>202</v>
      </c>
      <c r="GI92" s="3" t="s">
        <v>202</v>
      </c>
      <c r="GJ92" s="3" t="s">
        <v>201</v>
      </c>
      <c r="GK92" s="3"/>
      <c r="GL92" s="5">
        <f>DATE(2025,5,23)+TIME(12,17,17)</f>
        <v>45800.512002314812</v>
      </c>
    </row>
    <row r="93" spans="1:194" ht="47.25" x14ac:dyDescent="0.25">
      <c r="A93" s="6" t="s">
        <v>673</v>
      </c>
      <c r="B93" s="6" t="s">
        <v>674</v>
      </c>
      <c r="C93" s="6" t="s">
        <v>675</v>
      </c>
      <c r="D93" s="6" t="s">
        <v>676</v>
      </c>
      <c r="E93" s="6"/>
      <c r="F93" s="6" t="s">
        <v>582</v>
      </c>
      <c r="G93" s="6" t="s">
        <v>677</v>
      </c>
      <c r="H93" s="6"/>
      <c r="I93" s="6"/>
      <c r="J93" s="6"/>
      <c r="K93" s="6"/>
      <c r="L93" s="6"/>
      <c r="M93" s="6"/>
      <c r="N93" s="6"/>
      <c r="O93" s="6"/>
      <c r="P93" s="6"/>
      <c r="Q93" s="6"/>
      <c r="R93" s="6"/>
      <c r="S93" s="6"/>
      <c r="T93" s="6"/>
      <c r="U93" s="6"/>
      <c r="V93" s="6"/>
      <c r="W93" s="6"/>
      <c r="X93" s="6"/>
      <c r="Y93" s="6"/>
      <c r="Z93" s="6"/>
      <c r="AA93" s="6"/>
      <c r="AB93" s="6"/>
      <c r="AC93" s="6"/>
      <c r="AD93" s="6"/>
      <c r="AE93" s="6"/>
      <c r="AF93" s="4" t="s">
        <v>677</v>
      </c>
      <c r="AG93" s="6" t="s">
        <v>200</v>
      </c>
      <c r="AH93" s="6" t="s">
        <v>203</v>
      </c>
      <c r="AI93" s="6" t="s">
        <v>205</v>
      </c>
      <c r="AJ93" s="6" t="s">
        <v>203</v>
      </c>
      <c r="AK93" s="6" t="s">
        <v>203</v>
      </c>
      <c r="AL93" s="6" t="s">
        <v>202</v>
      </c>
      <c r="AM93" s="6" t="s">
        <v>202</v>
      </c>
      <c r="AN93" s="6" t="s">
        <v>202</v>
      </c>
      <c r="AO93" s="6" t="s">
        <v>202</v>
      </c>
      <c r="AP93" s="6" t="s">
        <v>201</v>
      </c>
      <c r="AQ93" s="6" t="s">
        <v>201</v>
      </c>
      <c r="AR93" s="6" t="s">
        <v>201</v>
      </c>
      <c r="AS93" s="6"/>
      <c r="AT93" s="6" t="s">
        <v>202</v>
      </c>
      <c r="AU93" s="6" t="s">
        <v>203</v>
      </c>
      <c r="AV93" s="6" t="s">
        <v>205</v>
      </c>
      <c r="AW93" s="6" t="s">
        <v>203</v>
      </c>
      <c r="AX93" s="6" t="s">
        <v>203</v>
      </c>
      <c r="AY93" s="6" t="s">
        <v>204</v>
      </c>
      <c r="AZ93" s="6" t="s">
        <v>203</v>
      </c>
      <c r="BA93" s="6" t="s">
        <v>205</v>
      </c>
      <c r="BB93" s="6" t="s">
        <v>203</v>
      </c>
      <c r="BC93" s="6" t="s">
        <v>203</v>
      </c>
      <c r="BD93" s="6" t="s">
        <v>204</v>
      </c>
      <c r="BE93" s="6" t="s">
        <v>203</v>
      </c>
      <c r="BF93" s="6" t="s">
        <v>204</v>
      </c>
      <c r="BG93" s="6" t="s">
        <v>203</v>
      </c>
      <c r="BH93" s="6" t="s">
        <v>203</v>
      </c>
      <c r="BI93" s="6" t="s">
        <v>204</v>
      </c>
      <c r="BJ93" s="6" t="s">
        <v>203</v>
      </c>
      <c r="BK93" s="6" t="s">
        <v>203</v>
      </c>
      <c r="BL93" s="6" t="s">
        <v>203</v>
      </c>
      <c r="BM93" s="6" t="s">
        <v>202</v>
      </c>
      <c r="BN93" s="6" t="s">
        <v>204</v>
      </c>
      <c r="BO93" s="6" t="s">
        <v>201</v>
      </c>
      <c r="BP93" s="6" t="s">
        <v>203</v>
      </c>
      <c r="BQ93" s="6" t="s">
        <v>203</v>
      </c>
      <c r="BR93" s="6" t="s">
        <v>204</v>
      </c>
      <c r="BS93" s="6"/>
      <c r="BT93" s="6" t="s">
        <v>210</v>
      </c>
      <c r="BU93" s="6" t="s">
        <v>202</v>
      </c>
      <c r="BV93" s="6" t="s">
        <v>202</v>
      </c>
      <c r="BW93" s="6" t="s">
        <v>202</v>
      </c>
      <c r="BX93" s="6" t="s">
        <v>203</v>
      </c>
      <c r="BY93" s="6" t="s">
        <v>203</v>
      </c>
      <c r="BZ93" s="6" t="s">
        <v>203</v>
      </c>
      <c r="CA93" s="6" t="s">
        <v>203</v>
      </c>
      <c r="CB93" s="6" t="s">
        <v>203</v>
      </c>
      <c r="CC93" s="6" t="s">
        <v>203</v>
      </c>
      <c r="CD93" s="6" t="s">
        <v>201</v>
      </c>
      <c r="CE93" s="6" t="s">
        <v>201</v>
      </c>
      <c r="CF93" s="6" t="s">
        <v>201</v>
      </c>
      <c r="CG93" s="6"/>
      <c r="CH93" s="6" t="s">
        <v>208</v>
      </c>
      <c r="CI93" s="6" t="s">
        <v>208</v>
      </c>
      <c r="CJ93" s="6" t="s">
        <v>203</v>
      </c>
      <c r="CK93" s="6" t="s">
        <v>202</v>
      </c>
      <c r="CL93" s="6" t="s">
        <v>203</v>
      </c>
      <c r="CM93" s="6" t="s">
        <v>203</v>
      </c>
      <c r="CN93" s="6" t="s">
        <v>202</v>
      </c>
      <c r="CO93" s="6" t="s">
        <v>202</v>
      </c>
      <c r="CP93" s="6" t="s">
        <v>201</v>
      </c>
      <c r="CQ93" s="6" t="s">
        <v>202</v>
      </c>
      <c r="CR93" s="6" t="s">
        <v>205</v>
      </c>
      <c r="CS93" s="6" t="s">
        <v>203</v>
      </c>
      <c r="CT93" s="6" t="s">
        <v>202</v>
      </c>
      <c r="CU93" s="6" t="s">
        <v>201</v>
      </c>
      <c r="CV93" s="6" t="s">
        <v>201</v>
      </c>
      <c r="CW93" s="6" t="s">
        <v>203</v>
      </c>
      <c r="CX93" s="6" t="s">
        <v>203</v>
      </c>
      <c r="CY93" s="6" t="s">
        <v>202</v>
      </c>
      <c r="CZ93" s="6" t="s">
        <v>202</v>
      </c>
      <c r="DA93" s="6" t="s">
        <v>201</v>
      </c>
      <c r="DB93" s="6" t="s">
        <v>264</v>
      </c>
      <c r="DC93" s="6"/>
      <c r="DD93" s="6"/>
      <c r="DE93" s="6" t="s">
        <v>355</v>
      </c>
      <c r="DF93" s="6" t="s">
        <v>217</v>
      </c>
      <c r="DG93" s="6"/>
      <c r="DH93" s="6" t="s">
        <v>205</v>
      </c>
      <c r="DI93" s="6" t="s">
        <v>205</v>
      </c>
      <c r="DJ93" s="6" t="s">
        <v>205</v>
      </c>
      <c r="DK93" s="6" t="s">
        <v>201</v>
      </c>
      <c r="DL93" s="6" t="s">
        <v>204</v>
      </c>
      <c r="DM93" s="6" t="s">
        <v>204</v>
      </c>
      <c r="DN93" s="6" t="s">
        <v>204</v>
      </c>
      <c r="DO93" s="6"/>
      <c r="DP93" s="6"/>
      <c r="DQ93" s="6"/>
      <c r="DR93" s="6"/>
      <c r="DS93" s="6"/>
      <c r="DT93" s="6"/>
      <c r="DU93" s="6"/>
      <c r="DV93" s="6"/>
      <c r="DW93" s="6" t="s">
        <v>208</v>
      </c>
      <c r="DX93" s="6" t="s">
        <v>246</v>
      </c>
      <c r="DY93" s="6" t="s">
        <v>247</v>
      </c>
      <c r="DZ93" s="6" t="s">
        <v>219</v>
      </c>
      <c r="EA93" s="6" t="s">
        <v>220</v>
      </c>
      <c r="EB93" s="6"/>
      <c r="EC93" s="6" t="s">
        <v>201</v>
      </c>
      <c r="ED93" s="6" t="s">
        <v>202</v>
      </c>
      <c r="EE93" s="6" t="s">
        <v>205</v>
      </c>
      <c r="EF93" s="6" t="s">
        <v>205</v>
      </c>
      <c r="EG93" s="6" t="s">
        <v>203</v>
      </c>
      <c r="EH93" s="6" t="s">
        <v>202</v>
      </c>
      <c r="EI93" s="6" t="s">
        <v>201</v>
      </c>
      <c r="EJ93" s="6" t="s">
        <v>201</v>
      </c>
      <c r="EK93" s="6" t="s">
        <v>201</v>
      </c>
      <c r="EL93" s="6" t="s">
        <v>201</v>
      </c>
      <c r="EM93" s="6" t="s">
        <v>203</v>
      </c>
      <c r="EN93" s="6" t="s">
        <v>203</v>
      </c>
      <c r="EO93" s="6" t="s">
        <v>201</v>
      </c>
      <c r="EP93" s="6"/>
      <c r="EQ93" s="6" t="s">
        <v>202</v>
      </c>
      <c r="ER93" s="6" t="s">
        <v>203</v>
      </c>
      <c r="ES93" s="6"/>
      <c r="ET93" s="6" t="s">
        <v>203</v>
      </c>
      <c r="EU93" s="6" t="s">
        <v>204</v>
      </c>
      <c r="EV93" s="6" t="s">
        <v>204</v>
      </c>
      <c r="EW93" s="6" t="s">
        <v>204</v>
      </c>
      <c r="EX93" s="6"/>
      <c r="EY93" s="6" t="s">
        <v>204</v>
      </c>
      <c r="EZ93" s="6" t="s">
        <v>203</v>
      </c>
      <c r="FA93" s="6" t="s">
        <v>203</v>
      </c>
      <c r="FB93" s="6" t="s">
        <v>203</v>
      </c>
      <c r="FC93" s="6" t="s">
        <v>204</v>
      </c>
      <c r="FD93" s="6" t="s">
        <v>205</v>
      </c>
      <c r="FE93" s="6" t="s">
        <v>204</v>
      </c>
      <c r="FF93" s="6" t="s">
        <v>204</v>
      </c>
      <c r="FG93" s="6" t="s">
        <v>204</v>
      </c>
      <c r="FH93" s="6" t="s">
        <v>203</v>
      </c>
      <c r="FI93" s="6" t="s">
        <v>203</v>
      </c>
      <c r="FJ93" s="6" t="s">
        <v>204</v>
      </c>
      <c r="FK93" s="6" t="s">
        <v>203</v>
      </c>
      <c r="FL93" s="6" t="s">
        <v>203</v>
      </c>
      <c r="FM93" s="6" t="s">
        <v>204</v>
      </c>
      <c r="FN93" s="6" t="s">
        <v>204</v>
      </c>
      <c r="FO93" s="6" t="s">
        <v>204</v>
      </c>
      <c r="FP93" s="6" t="s">
        <v>204</v>
      </c>
      <c r="FQ93" s="6" t="s">
        <v>204</v>
      </c>
      <c r="FR93" s="6" t="s">
        <v>201</v>
      </c>
      <c r="FS93" s="6" t="s">
        <v>204</v>
      </c>
      <c r="FT93" s="6" t="s">
        <v>202</v>
      </c>
      <c r="FU93" s="6" t="s">
        <v>204</v>
      </c>
      <c r="FV93" s="6"/>
      <c r="FW93" s="6" t="s">
        <v>210</v>
      </c>
      <c r="FX93" s="6"/>
      <c r="FY93" s="6" t="s">
        <v>203</v>
      </c>
      <c r="FZ93" s="6" t="s">
        <v>203</v>
      </c>
      <c r="GA93" s="6" t="s">
        <v>201</v>
      </c>
      <c r="GB93" s="6" t="s">
        <v>203</v>
      </c>
      <c r="GC93" s="6" t="s">
        <v>204</v>
      </c>
      <c r="GD93" s="6"/>
      <c r="GE93" s="6" t="s">
        <v>201</v>
      </c>
      <c r="GF93" s="6" t="s">
        <v>203</v>
      </c>
      <c r="GG93" s="6" t="s">
        <v>201</v>
      </c>
      <c r="GH93" s="6" t="s">
        <v>205</v>
      </c>
      <c r="GI93" s="6" t="s">
        <v>201</v>
      </c>
      <c r="GJ93" s="6" t="s">
        <v>201</v>
      </c>
      <c r="GK93" s="6"/>
      <c r="GL93" s="7">
        <f>DATE(2025,6,6)+TIME(9,46,7)</f>
        <v>45814.407025462962</v>
      </c>
    </row>
    <row r="94" spans="1:194" ht="315" x14ac:dyDescent="0.25">
      <c r="A94" s="3"/>
      <c r="B94" s="3"/>
      <c r="C94" s="3" t="s">
        <v>520</v>
      </c>
      <c r="D94" s="3" t="s">
        <v>678</v>
      </c>
      <c r="E94" s="3"/>
      <c r="F94" s="3" t="s">
        <v>233</v>
      </c>
      <c r="G94" s="3"/>
      <c r="H94" s="3"/>
      <c r="I94" s="3"/>
      <c r="J94" s="3"/>
      <c r="K94" s="3"/>
      <c r="L94" s="3"/>
      <c r="M94" s="3"/>
      <c r="N94" s="3"/>
      <c r="O94" s="3"/>
      <c r="P94" s="3"/>
      <c r="Q94" s="3"/>
      <c r="R94" s="3"/>
      <c r="S94" s="3"/>
      <c r="T94" s="3"/>
      <c r="U94" s="3"/>
      <c r="V94" s="3"/>
      <c r="W94" s="3"/>
      <c r="X94" s="3"/>
      <c r="Y94" s="3"/>
      <c r="Z94" s="3"/>
      <c r="AA94" s="3"/>
      <c r="AB94" s="3" t="s">
        <v>679</v>
      </c>
      <c r="AC94" s="3"/>
      <c r="AD94" s="3"/>
      <c r="AE94" s="3"/>
      <c r="AF94" s="4" t="s">
        <v>679</v>
      </c>
      <c r="AG94" s="3" t="s">
        <v>200</v>
      </c>
      <c r="AH94" s="3" t="s">
        <v>203</v>
      </c>
      <c r="AI94" s="3" t="s">
        <v>205</v>
      </c>
      <c r="AJ94" s="3" t="s">
        <v>205</v>
      </c>
      <c r="AK94" s="3" t="s">
        <v>203</v>
      </c>
      <c r="AL94" s="3" t="s">
        <v>204</v>
      </c>
      <c r="AM94" s="3" t="s">
        <v>204</v>
      </c>
      <c r="AN94" s="3" t="s">
        <v>203</v>
      </c>
      <c r="AO94" s="3" t="s">
        <v>203</v>
      </c>
      <c r="AP94" s="3" t="s">
        <v>204</v>
      </c>
      <c r="AQ94" s="3" t="s">
        <v>204</v>
      </c>
      <c r="AR94" s="3" t="s">
        <v>204</v>
      </c>
      <c r="AS94" s="3"/>
      <c r="AT94" s="3" t="s">
        <v>203</v>
      </c>
      <c r="AU94" s="3" t="s">
        <v>203</v>
      </c>
      <c r="AV94" s="3" t="s">
        <v>204</v>
      </c>
      <c r="AW94" s="3" t="s">
        <v>203</v>
      </c>
      <c r="AX94" s="3" t="s">
        <v>204</v>
      </c>
      <c r="AY94" s="3" t="s">
        <v>204</v>
      </c>
      <c r="AZ94" s="3" t="s">
        <v>205</v>
      </c>
      <c r="BA94" s="3" t="s">
        <v>205</v>
      </c>
      <c r="BB94" s="3" t="s">
        <v>205</v>
      </c>
      <c r="BC94" s="3" t="s">
        <v>205</v>
      </c>
      <c r="BD94" s="3" t="s">
        <v>205</v>
      </c>
      <c r="BE94" s="3" t="s">
        <v>204</v>
      </c>
      <c r="BF94" s="3" t="s">
        <v>204</v>
      </c>
      <c r="BG94" s="3" t="s">
        <v>204</v>
      </c>
      <c r="BH94" s="3" t="s">
        <v>204</v>
      </c>
      <c r="BI94" s="3" t="s">
        <v>204</v>
      </c>
      <c r="BJ94" s="3" t="s">
        <v>205</v>
      </c>
      <c r="BK94" s="3" t="s">
        <v>205</v>
      </c>
      <c r="BL94" s="3" t="s">
        <v>204</v>
      </c>
      <c r="BM94" s="3" t="s">
        <v>205</v>
      </c>
      <c r="BN94" s="3" t="s">
        <v>205</v>
      </c>
      <c r="BO94" s="3" t="s">
        <v>203</v>
      </c>
      <c r="BP94" s="3" t="s">
        <v>203</v>
      </c>
      <c r="BQ94" s="3" t="s">
        <v>201</v>
      </c>
      <c r="BR94" s="3" t="s">
        <v>204</v>
      </c>
      <c r="BS94" s="3"/>
      <c r="BT94" s="3" t="s">
        <v>206</v>
      </c>
      <c r="BU94" s="3" t="s">
        <v>202</v>
      </c>
      <c r="BV94" s="3" t="s">
        <v>203</v>
      </c>
      <c r="BW94" s="3" t="s">
        <v>202</v>
      </c>
      <c r="BX94" s="3" t="s">
        <v>202</v>
      </c>
      <c r="BY94" s="3" t="s">
        <v>203</v>
      </c>
      <c r="BZ94" s="3" t="s">
        <v>202</v>
      </c>
      <c r="CA94" s="3" t="s">
        <v>202</v>
      </c>
      <c r="CB94" s="3" t="s">
        <v>203</v>
      </c>
      <c r="CC94" s="3" t="s">
        <v>202</v>
      </c>
      <c r="CD94" s="3" t="s">
        <v>202</v>
      </c>
      <c r="CE94" s="3" t="s">
        <v>203</v>
      </c>
      <c r="CF94" s="3" t="s">
        <v>202</v>
      </c>
      <c r="CG94" s="3"/>
      <c r="CH94" s="3" t="s">
        <v>207</v>
      </c>
      <c r="CI94" s="3" t="s">
        <v>207</v>
      </c>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t="s">
        <v>236</v>
      </c>
      <c r="DQ94" s="3"/>
      <c r="DR94" s="3"/>
      <c r="DS94" s="3"/>
      <c r="DT94" s="3"/>
      <c r="DU94" s="3"/>
      <c r="DV94" s="3"/>
      <c r="DW94" s="3" t="s">
        <v>207</v>
      </c>
      <c r="DX94" s="3"/>
      <c r="DY94" s="3"/>
      <c r="DZ94" s="3"/>
      <c r="EA94" s="3"/>
      <c r="EB94" s="3"/>
      <c r="EC94" s="3"/>
      <c r="ED94" s="3"/>
      <c r="EE94" s="3"/>
      <c r="EF94" s="3" t="s">
        <v>204</v>
      </c>
      <c r="EG94" s="3" t="s">
        <v>204</v>
      </c>
      <c r="EH94" s="3" t="s">
        <v>204</v>
      </c>
      <c r="EI94" s="3" t="s">
        <v>204</v>
      </c>
      <c r="EJ94" s="3" t="s">
        <v>204</v>
      </c>
      <c r="EK94" s="3" t="s">
        <v>204</v>
      </c>
      <c r="EL94" s="3" t="s">
        <v>204</v>
      </c>
      <c r="EM94" s="3"/>
      <c r="EN94" s="3"/>
      <c r="EO94" s="3"/>
      <c r="EP94" s="3"/>
      <c r="EQ94" s="3" t="s">
        <v>203</v>
      </c>
      <c r="ER94" s="3" t="s">
        <v>203</v>
      </c>
      <c r="ES94" s="3"/>
      <c r="ET94" s="3" t="s">
        <v>201</v>
      </c>
      <c r="EU94" s="3" t="s">
        <v>204</v>
      </c>
      <c r="EV94" s="3" t="s">
        <v>204</v>
      </c>
      <c r="EW94" s="3" t="s">
        <v>201</v>
      </c>
      <c r="EX94" s="3" t="s">
        <v>680</v>
      </c>
      <c r="EY94" s="3" t="s">
        <v>204</v>
      </c>
      <c r="EZ94" s="3" t="s">
        <v>204</v>
      </c>
      <c r="FA94" s="3" t="s">
        <v>204</v>
      </c>
      <c r="FB94" s="3" t="s">
        <v>204</v>
      </c>
      <c r="FC94" s="3" t="s">
        <v>204</v>
      </c>
      <c r="FD94" s="3" t="s">
        <v>204</v>
      </c>
      <c r="FE94" s="3" t="s">
        <v>204</v>
      </c>
      <c r="FF94" s="3" t="s">
        <v>204</v>
      </c>
      <c r="FG94" s="3" t="s">
        <v>204</v>
      </c>
      <c r="FH94" s="3" t="s">
        <v>203</v>
      </c>
      <c r="FI94" s="3" t="s">
        <v>204</v>
      </c>
      <c r="FJ94" s="3" t="s">
        <v>204</v>
      </c>
      <c r="FK94" s="3" t="s">
        <v>204</v>
      </c>
      <c r="FL94" s="3" t="s">
        <v>204</v>
      </c>
      <c r="FM94" s="3" t="s">
        <v>204</v>
      </c>
      <c r="FN94" s="3" t="s">
        <v>204</v>
      </c>
      <c r="FO94" s="3" t="s">
        <v>204</v>
      </c>
      <c r="FP94" s="3" t="s">
        <v>204</v>
      </c>
      <c r="FQ94" s="3" t="s">
        <v>204</v>
      </c>
      <c r="FR94" s="3" t="s">
        <v>204</v>
      </c>
      <c r="FS94" s="3" t="s">
        <v>204</v>
      </c>
      <c r="FT94" s="3" t="s">
        <v>204</v>
      </c>
      <c r="FU94" s="3"/>
      <c r="FV94" s="3"/>
      <c r="FW94" s="3" t="s">
        <v>210</v>
      </c>
      <c r="FX94" s="3"/>
      <c r="FY94" s="3" t="s">
        <v>202</v>
      </c>
      <c r="FZ94" s="3" t="s">
        <v>202</v>
      </c>
      <c r="GA94" s="3" t="s">
        <v>202</v>
      </c>
      <c r="GB94" s="3" t="s">
        <v>202</v>
      </c>
      <c r="GC94" s="3"/>
      <c r="GD94" s="3"/>
      <c r="GE94" s="3" t="s">
        <v>204</v>
      </c>
      <c r="GF94" s="3" t="s">
        <v>203</v>
      </c>
      <c r="GG94" s="3" t="s">
        <v>204</v>
      </c>
      <c r="GH94" s="3" t="s">
        <v>204</v>
      </c>
      <c r="GI94" s="3" t="s">
        <v>204</v>
      </c>
      <c r="GJ94" s="3" t="s">
        <v>204</v>
      </c>
      <c r="GK94" s="3"/>
      <c r="GL94" s="5">
        <f>DATE(2025,6,10)+TIME(14,10,22)</f>
        <v>45818.590532407405</v>
      </c>
    </row>
    <row r="95" spans="1:194" ht="393.75" x14ac:dyDescent="0.25">
      <c r="A95" s="6" t="s">
        <v>318</v>
      </c>
      <c r="B95" s="6" t="s">
        <v>319</v>
      </c>
      <c r="C95" s="6" t="s">
        <v>320</v>
      </c>
      <c r="D95" s="6" t="s">
        <v>681</v>
      </c>
      <c r="E95" s="6"/>
      <c r="F95" s="6" t="s">
        <v>269</v>
      </c>
      <c r="G95" s="6"/>
      <c r="H95" s="6"/>
      <c r="I95" s="6"/>
      <c r="J95" s="6"/>
      <c r="K95" s="6"/>
      <c r="L95" s="6"/>
      <c r="M95" s="6"/>
      <c r="N95" s="6"/>
      <c r="O95" s="6"/>
      <c r="P95" s="6"/>
      <c r="Q95" s="6"/>
      <c r="R95" s="6"/>
      <c r="S95" s="6"/>
      <c r="T95" s="6"/>
      <c r="U95" s="6"/>
      <c r="V95" s="6"/>
      <c r="W95" s="6" t="s">
        <v>682</v>
      </c>
      <c r="X95" s="6"/>
      <c r="Y95" s="6"/>
      <c r="Z95" s="6"/>
      <c r="AA95" s="6"/>
      <c r="AB95" s="6"/>
      <c r="AC95" s="6"/>
      <c r="AD95" s="6"/>
      <c r="AE95" s="6"/>
      <c r="AF95" s="4" t="s">
        <v>682</v>
      </c>
      <c r="AG95" s="6" t="s">
        <v>200</v>
      </c>
      <c r="AH95" s="6" t="s">
        <v>203</v>
      </c>
      <c r="AI95" s="6" t="s">
        <v>203</v>
      </c>
      <c r="AJ95" s="6" t="s">
        <v>204</v>
      </c>
      <c r="AK95" s="6" t="s">
        <v>203</v>
      </c>
      <c r="AL95" s="6" t="s">
        <v>204</v>
      </c>
      <c r="AM95" s="6" t="s">
        <v>204</v>
      </c>
      <c r="AN95" s="6" t="s">
        <v>204</v>
      </c>
      <c r="AO95" s="6" t="s">
        <v>203</v>
      </c>
      <c r="AP95" s="6" t="s">
        <v>203</v>
      </c>
      <c r="AQ95" s="6" t="s">
        <v>203</v>
      </c>
      <c r="AR95" s="6" t="s">
        <v>203</v>
      </c>
      <c r="AS95" s="6"/>
      <c r="AT95" s="6" t="s">
        <v>205</v>
      </c>
      <c r="AU95" s="6" t="s">
        <v>203</v>
      </c>
      <c r="AV95" s="6" t="s">
        <v>201</v>
      </c>
      <c r="AW95" s="6" t="s">
        <v>202</v>
      </c>
      <c r="AX95" s="6" t="s">
        <v>203</v>
      </c>
      <c r="AY95" s="6" t="s">
        <v>203</v>
      </c>
      <c r="AZ95" s="6" t="s">
        <v>203</v>
      </c>
      <c r="BA95" s="6" t="s">
        <v>201</v>
      </c>
      <c r="BB95" s="6" t="s">
        <v>202</v>
      </c>
      <c r="BC95" s="6" t="s">
        <v>203</v>
      </c>
      <c r="BD95" s="6" t="s">
        <v>203</v>
      </c>
      <c r="BE95" s="6" t="s">
        <v>204</v>
      </c>
      <c r="BF95" s="6" t="s">
        <v>204</v>
      </c>
      <c r="BG95" s="6" t="s">
        <v>204</v>
      </c>
      <c r="BH95" s="6" t="s">
        <v>204</v>
      </c>
      <c r="BI95" s="6" t="s">
        <v>204</v>
      </c>
      <c r="BJ95" s="6" t="s">
        <v>203</v>
      </c>
      <c r="BK95" s="6" t="s">
        <v>202</v>
      </c>
      <c r="BL95" s="6" t="s">
        <v>202</v>
      </c>
      <c r="BM95" s="6" t="s">
        <v>203</v>
      </c>
      <c r="BN95" s="6" t="s">
        <v>203</v>
      </c>
      <c r="BO95" s="6" t="s">
        <v>203</v>
      </c>
      <c r="BP95" s="6" t="s">
        <v>205</v>
      </c>
      <c r="BQ95" s="6" t="s">
        <v>203</v>
      </c>
      <c r="BR95" s="6" t="s">
        <v>203</v>
      </c>
      <c r="BS95" s="6" t="s">
        <v>683</v>
      </c>
      <c r="BT95" s="6" t="s">
        <v>271</v>
      </c>
      <c r="BU95" s="6" t="s">
        <v>202</v>
      </c>
      <c r="BV95" s="6" t="s">
        <v>205</v>
      </c>
      <c r="BW95" s="6" t="s">
        <v>202</v>
      </c>
      <c r="BX95" s="6" t="s">
        <v>202</v>
      </c>
      <c r="BY95" s="6" t="s">
        <v>205</v>
      </c>
      <c r="BZ95" s="6" t="s">
        <v>202</v>
      </c>
      <c r="CA95" s="6" t="s">
        <v>202</v>
      </c>
      <c r="CB95" s="6" t="s">
        <v>205</v>
      </c>
      <c r="CC95" s="6" t="s">
        <v>202</v>
      </c>
      <c r="CD95" s="6" t="s">
        <v>202</v>
      </c>
      <c r="CE95" s="6" t="s">
        <v>205</v>
      </c>
      <c r="CF95" s="6" t="s">
        <v>202</v>
      </c>
      <c r="CG95" s="6"/>
      <c r="CH95" s="6" t="s">
        <v>207</v>
      </c>
      <c r="CI95" s="6" t="s">
        <v>207</v>
      </c>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t="s">
        <v>236</v>
      </c>
      <c r="DQ95" s="6"/>
      <c r="DR95" s="6"/>
      <c r="DS95" s="6"/>
      <c r="DT95" s="6"/>
      <c r="DU95" s="6"/>
      <c r="DV95" s="6"/>
      <c r="DW95" s="6" t="s">
        <v>228</v>
      </c>
      <c r="DX95" s="6"/>
      <c r="DY95" s="6"/>
      <c r="DZ95" s="6"/>
      <c r="EA95" s="6"/>
      <c r="EB95" s="6"/>
      <c r="EC95" s="6"/>
      <c r="ED95" s="6"/>
      <c r="EE95" s="6"/>
      <c r="EF95" s="6" t="s">
        <v>201</v>
      </c>
      <c r="EG95" s="6" t="s">
        <v>203</v>
      </c>
      <c r="EH95" s="6" t="s">
        <v>203</v>
      </c>
      <c r="EI95" s="6" t="s">
        <v>201</v>
      </c>
      <c r="EJ95" s="6" t="s">
        <v>201</v>
      </c>
      <c r="EK95" s="6" t="s">
        <v>201</v>
      </c>
      <c r="EL95" s="6" t="s">
        <v>202</v>
      </c>
      <c r="EM95" s="6"/>
      <c r="EN95" s="6"/>
      <c r="EO95" s="6"/>
      <c r="EP95" s="6"/>
      <c r="EQ95" s="6" t="s">
        <v>205</v>
      </c>
      <c r="ER95" s="6" t="s">
        <v>205</v>
      </c>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t="s">
        <v>202</v>
      </c>
      <c r="FZ95" s="6" t="s">
        <v>203</v>
      </c>
      <c r="GA95" s="6" t="s">
        <v>202</v>
      </c>
      <c r="GB95" s="6" t="s">
        <v>203</v>
      </c>
      <c r="GC95" s="6"/>
      <c r="GD95" s="6"/>
      <c r="GE95" s="6" t="s">
        <v>202</v>
      </c>
      <c r="GF95" s="6" t="s">
        <v>203</v>
      </c>
      <c r="GG95" s="6" t="s">
        <v>201</v>
      </c>
      <c r="GH95" s="6" t="s">
        <v>203</v>
      </c>
      <c r="GI95" s="6" t="s">
        <v>203</v>
      </c>
      <c r="GJ95" s="6" t="s">
        <v>201</v>
      </c>
      <c r="GK95" s="6" t="s">
        <v>684</v>
      </c>
      <c r="GL95" s="7">
        <f>DATE(2025,6,5)+TIME(10,46,45)</f>
        <v>45813.449131944442</v>
      </c>
    </row>
    <row r="96" spans="1:194" ht="47.25" x14ac:dyDescent="0.25">
      <c r="A96" s="3" t="s">
        <v>685</v>
      </c>
      <c r="B96" s="3" t="s">
        <v>686</v>
      </c>
      <c r="C96" s="3" t="s">
        <v>687</v>
      </c>
      <c r="D96" s="3" t="s">
        <v>688</v>
      </c>
      <c r="E96" s="3"/>
      <c r="F96" s="3" t="s">
        <v>250</v>
      </c>
      <c r="G96" s="3"/>
      <c r="H96" s="3"/>
      <c r="I96" s="3"/>
      <c r="J96" s="3"/>
      <c r="K96" s="3"/>
      <c r="L96" s="3"/>
      <c r="M96" s="3"/>
      <c r="N96" s="3"/>
      <c r="O96" s="3"/>
      <c r="P96" s="3"/>
      <c r="Q96" s="3"/>
      <c r="R96" s="3"/>
      <c r="S96" s="3"/>
      <c r="T96" s="3"/>
      <c r="U96" s="3"/>
      <c r="V96" s="3"/>
      <c r="W96" s="3"/>
      <c r="X96" s="3" t="s">
        <v>689</v>
      </c>
      <c r="Y96" s="3"/>
      <c r="Z96" s="3"/>
      <c r="AA96" s="3"/>
      <c r="AB96" s="3"/>
      <c r="AC96" s="3"/>
      <c r="AD96" s="3"/>
      <c r="AE96" s="3"/>
      <c r="AF96" s="4" t="s">
        <v>689</v>
      </c>
      <c r="AG96" s="3" t="s">
        <v>235</v>
      </c>
      <c r="AH96" s="3" t="s">
        <v>203</v>
      </c>
      <c r="AI96" s="3" t="s">
        <v>201</v>
      </c>
      <c r="AJ96" s="3" t="s">
        <v>203</v>
      </c>
      <c r="AK96" s="3" t="s">
        <v>202</v>
      </c>
      <c r="AL96" s="3" t="s">
        <v>202</v>
      </c>
      <c r="AM96" s="3" t="s">
        <v>201</v>
      </c>
      <c r="AN96" s="3" t="s">
        <v>203</v>
      </c>
      <c r="AO96" s="3" t="s">
        <v>202</v>
      </c>
      <c r="AP96" s="3" t="s">
        <v>203</v>
      </c>
      <c r="AQ96" s="3" t="s">
        <v>203</v>
      </c>
      <c r="AR96" s="3" t="s">
        <v>201</v>
      </c>
      <c r="AS96" s="3"/>
      <c r="AT96" s="3" t="s">
        <v>203</v>
      </c>
      <c r="AU96" s="3" t="s">
        <v>203</v>
      </c>
      <c r="AV96" s="3" t="s">
        <v>202</v>
      </c>
      <c r="AW96" s="3" t="s">
        <v>202</v>
      </c>
      <c r="AX96" s="3" t="s">
        <v>202</v>
      </c>
      <c r="AY96" s="3" t="s">
        <v>204</v>
      </c>
      <c r="AZ96" s="3" t="s">
        <v>202</v>
      </c>
      <c r="BA96" s="3" t="s">
        <v>203</v>
      </c>
      <c r="BB96" s="3" t="s">
        <v>202</v>
      </c>
      <c r="BC96" s="3" t="s">
        <v>202</v>
      </c>
      <c r="BD96" s="3" t="s">
        <v>201</v>
      </c>
      <c r="BE96" s="3" t="s">
        <v>205</v>
      </c>
      <c r="BF96" s="3" t="s">
        <v>203</v>
      </c>
      <c r="BG96" s="3" t="s">
        <v>203</v>
      </c>
      <c r="BH96" s="3" t="s">
        <v>204</v>
      </c>
      <c r="BI96" s="3" t="s">
        <v>204</v>
      </c>
      <c r="BJ96" s="3" t="s">
        <v>203</v>
      </c>
      <c r="BK96" s="3" t="s">
        <v>203</v>
      </c>
      <c r="BL96" s="3" t="s">
        <v>203</v>
      </c>
      <c r="BM96" s="3" t="s">
        <v>204</v>
      </c>
      <c r="BN96" s="3" t="s">
        <v>201</v>
      </c>
      <c r="BO96" s="3" t="s">
        <v>201</v>
      </c>
      <c r="BP96" s="3" t="s">
        <v>204</v>
      </c>
      <c r="BQ96" s="3" t="s">
        <v>201</v>
      </c>
      <c r="BR96" s="3" t="s">
        <v>204</v>
      </c>
      <c r="BS96" s="3"/>
      <c r="BT96" s="3" t="s">
        <v>206</v>
      </c>
      <c r="BU96" s="3" t="s">
        <v>202</v>
      </c>
      <c r="BV96" s="3" t="s">
        <v>202</v>
      </c>
      <c r="BW96" s="3" t="s">
        <v>202</v>
      </c>
      <c r="BX96" s="3" t="s">
        <v>202</v>
      </c>
      <c r="BY96" s="3" t="s">
        <v>202</v>
      </c>
      <c r="BZ96" s="3" t="s">
        <v>202</v>
      </c>
      <c r="CA96" s="3" t="s">
        <v>202</v>
      </c>
      <c r="CB96" s="3" t="s">
        <v>202</v>
      </c>
      <c r="CC96" s="3" t="s">
        <v>202</v>
      </c>
      <c r="CD96" s="3" t="s">
        <v>201</v>
      </c>
      <c r="CE96" s="3" t="s">
        <v>201</v>
      </c>
      <c r="CF96" s="3" t="s">
        <v>201</v>
      </c>
      <c r="CG96" s="3"/>
      <c r="CH96" s="3" t="s">
        <v>208</v>
      </c>
      <c r="CI96" s="3" t="s">
        <v>208</v>
      </c>
      <c r="CJ96" s="3" t="s">
        <v>202</v>
      </c>
      <c r="CK96" s="3" t="s">
        <v>202</v>
      </c>
      <c r="CL96" s="3" t="s">
        <v>201</v>
      </c>
      <c r="CM96" s="3" t="s">
        <v>202</v>
      </c>
      <c r="CN96" s="3" t="s">
        <v>202</v>
      </c>
      <c r="CO96" s="3" t="s">
        <v>201</v>
      </c>
      <c r="CP96" s="3" t="s">
        <v>203</v>
      </c>
      <c r="CQ96" s="3" t="s">
        <v>203</v>
      </c>
      <c r="CR96" s="3" t="s">
        <v>203</v>
      </c>
      <c r="CS96" s="3" t="s">
        <v>202</v>
      </c>
      <c r="CT96" s="3" t="s">
        <v>202</v>
      </c>
      <c r="CU96" s="3" t="s">
        <v>203</v>
      </c>
      <c r="CV96" s="3" t="s">
        <v>201</v>
      </c>
      <c r="CW96" s="3" t="s">
        <v>201</v>
      </c>
      <c r="CX96" s="3" t="s">
        <v>202</v>
      </c>
      <c r="CY96" s="3" t="s">
        <v>202</v>
      </c>
      <c r="CZ96" s="3" t="s">
        <v>201</v>
      </c>
      <c r="DA96" s="3" t="s">
        <v>205</v>
      </c>
      <c r="DB96" s="3" t="s">
        <v>264</v>
      </c>
      <c r="DC96" s="3" t="s">
        <v>258</v>
      </c>
      <c r="DD96" s="3"/>
      <c r="DE96" s="3"/>
      <c r="DF96" s="3"/>
      <c r="DG96" s="3"/>
      <c r="DH96" s="3" t="s">
        <v>203</v>
      </c>
      <c r="DI96" s="3" t="s">
        <v>202</v>
      </c>
      <c r="DJ96" s="3" t="s">
        <v>203</v>
      </c>
      <c r="DK96" s="3" t="s">
        <v>201</v>
      </c>
      <c r="DL96" s="3" t="s">
        <v>205</v>
      </c>
      <c r="DM96" s="3" t="s">
        <v>203</v>
      </c>
      <c r="DN96" s="3" t="s">
        <v>204</v>
      </c>
      <c r="DO96" s="3"/>
      <c r="DP96" s="3"/>
      <c r="DQ96" s="3"/>
      <c r="DR96" s="3"/>
      <c r="DS96" s="3"/>
      <c r="DT96" s="3"/>
      <c r="DU96" s="3"/>
      <c r="DV96" s="3"/>
      <c r="DW96" s="3" t="s">
        <v>208</v>
      </c>
      <c r="DX96" s="3" t="s">
        <v>246</v>
      </c>
      <c r="DY96" s="3"/>
      <c r="DZ96" s="3"/>
      <c r="EA96" s="3"/>
      <c r="EB96" s="3"/>
      <c r="EC96" s="3" t="s">
        <v>204</v>
      </c>
      <c r="ED96" s="3" t="s">
        <v>204</v>
      </c>
      <c r="EE96" s="3" t="s">
        <v>204</v>
      </c>
      <c r="EF96" s="3" t="s">
        <v>205</v>
      </c>
      <c r="EG96" s="3" t="s">
        <v>203</v>
      </c>
      <c r="EH96" s="3" t="s">
        <v>204</v>
      </c>
      <c r="EI96" s="3" t="s">
        <v>201</v>
      </c>
      <c r="EJ96" s="3" t="s">
        <v>203</v>
      </c>
      <c r="EK96" s="3" t="s">
        <v>202</v>
      </c>
      <c r="EL96" s="3" t="s">
        <v>202</v>
      </c>
      <c r="EM96" s="3" t="s">
        <v>203</v>
      </c>
      <c r="EN96" s="3" t="s">
        <v>205</v>
      </c>
      <c r="EO96" s="3" t="s">
        <v>201</v>
      </c>
      <c r="EP96" s="3"/>
      <c r="EQ96" s="3" t="s">
        <v>202</v>
      </c>
      <c r="ER96" s="3" t="s">
        <v>203</v>
      </c>
      <c r="ES96" s="3"/>
      <c r="ET96" s="3" t="s">
        <v>201</v>
      </c>
      <c r="EU96" s="3" t="s">
        <v>201</v>
      </c>
      <c r="EV96" s="3" t="s">
        <v>204</v>
      </c>
      <c r="EW96" s="3" t="s">
        <v>204</v>
      </c>
      <c r="EX96" s="3"/>
      <c r="EY96" s="3" t="s">
        <v>203</v>
      </c>
      <c r="EZ96" s="3" t="s">
        <v>203</v>
      </c>
      <c r="FA96" s="3" t="s">
        <v>202</v>
      </c>
      <c r="FB96" s="3" t="s">
        <v>201</v>
      </c>
      <c r="FC96" s="3" t="s">
        <v>204</v>
      </c>
      <c r="FD96" s="3" t="s">
        <v>201</v>
      </c>
      <c r="FE96" s="3" t="s">
        <v>201</v>
      </c>
      <c r="FF96" s="3" t="s">
        <v>204</v>
      </c>
      <c r="FG96" s="3" t="s">
        <v>204</v>
      </c>
      <c r="FH96" s="3" t="s">
        <v>204</v>
      </c>
      <c r="FI96" s="3" t="s">
        <v>204</v>
      </c>
      <c r="FJ96" s="3" t="s">
        <v>204</v>
      </c>
      <c r="FK96" s="3" t="s">
        <v>204</v>
      </c>
      <c r="FL96" s="3" t="s">
        <v>204</v>
      </c>
      <c r="FM96" s="3" t="s">
        <v>204</v>
      </c>
      <c r="FN96" s="3" t="s">
        <v>204</v>
      </c>
      <c r="FO96" s="3" t="s">
        <v>204</v>
      </c>
      <c r="FP96" s="3" t="s">
        <v>204</v>
      </c>
      <c r="FQ96" s="3" t="s">
        <v>204</v>
      </c>
      <c r="FR96" s="3" t="s">
        <v>204</v>
      </c>
      <c r="FS96" s="3" t="s">
        <v>204</v>
      </c>
      <c r="FT96" s="3" t="s">
        <v>204</v>
      </c>
      <c r="FU96" s="3" t="s">
        <v>204</v>
      </c>
      <c r="FV96" s="3"/>
      <c r="FW96" s="3" t="s">
        <v>210</v>
      </c>
      <c r="FX96" s="3"/>
      <c r="FY96" s="3" t="s">
        <v>203</v>
      </c>
      <c r="FZ96" s="3" t="s">
        <v>202</v>
      </c>
      <c r="GA96" s="3" t="s">
        <v>202</v>
      </c>
      <c r="GB96" s="3" t="s">
        <v>202</v>
      </c>
      <c r="GC96" s="3" t="s">
        <v>204</v>
      </c>
      <c r="GD96" s="3"/>
      <c r="GE96" s="3" t="s">
        <v>201</v>
      </c>
      <c r="GF96" s="3" t="s">
        <v>203</v>
      </c>
      <c r="GG96" s="3" t="s">
        <v>201</v>
      </c>
      <c r="GH96" s="3" t="s">
        <v>203</v>
      </c>
      <c r="GI96" s="3" t="s">
        <v>202</v>
      </c>
      <c r="GJ96" s="3" t="s">
        <v>201</v>
      </c>
      <c r="GK96" s="3"/>
      <c r="GL96" s="5">
        <f>DATE(2025,5,27)+TIME(12,47,3)</f>
        <v>45804.532673611109</v>
      </c>
    </row>
    <row r="97" spans="1:194" ht="47.25" x14ac:dyDescent="0.25">
      <c r="A97" s="6" t="s">
        <v>690</v>
      </c>
      <c r="B97" s="6" t="s">
        <v>691</v>
      </c>
      <c r="C97" s="6" t="s">
        <v>692</v>
      </c>
      <c r="D97" s="6" t="s">
        <v>693</v>
      </c>
      <c r="E97" s="6"/>
      <c r="F97" s="6" t="s">
        <v>444</v>
      </c>
      <c r="G97" s="6"/>
      <c r="H97" s="6"/>
      <c r="I97" s="6"/>
      <c r="J97" s="6"/>
      <c r="K97" s="6"/>
      <c r="L97" s="6"/>
      <c r="M97" s="6"/>
      <c r="N97" s="6"/>
      <c r="O97" s="6"/>
      <c r="P97" s="6"/>
      <c r="Q97" s="6"/>
      <c r="R97" s="6"/>
      <c r="S97" s="6"/>
      <c r="T97" s="6"/>
      <c r="U97" s="6"/>
      <c r="V97" s="6"/>
      <c r="W97" s="6"/>
      <c r="X97" s="6"/>
      <c r="Y97" s="6" t="s">
        <v>694</v>
      </c>
      <c r="Z97" s="6"/>
      <c r="AA97" s="6"/>
      <c r="AB97" s="6"/>
      <c r="AC97" s="6"/>
      <c r="AD97" s="6"/>
      <c r="AE97" s="6"/>
      <c r="AF97" s="4" t="s">
        <v>694</v>
      </c>
      <c r="AG97" s="6" t="s">
        <v>235</v>
      </c>
      <c r="AH97" s="6" t="s">
        <v>203</v>
      </c>
      <c r="AI97" s="6" t="s">
        <v>203</v>
      </c>
      <c r="AJ97" s="6" t="s">
        <v>202</v>
      </c>
      <c r="AK97" s="6" t="s">
        <v>203</v>
      </c>
      <c r="AL97" s="6" t="s">
        <v>204</v>
      </c>
      <c r="AM97" s="6" t="s">
        <v>204</v>
      </c>
      <c r="AN97" s="6" t="s">
        <v>204</v>
      </c>
      <c r="AO97" s="6" t="s">
        <v>204</v>
      </c>
      <c r="AP97" s="6" t="s">
        <v>202</v>
      </c>
      <c r="AQ97" s="6" t="s">
        <v>204</v>
      </c>
      <c r="AR97" s="6" t="s">
        <v>202</v>
      </c>
      <c r="AS97" s="6"/>
      <c r="AT97" s="6" t="s">
        <v>204</v>
      </c>
      <c r="AU97" s="6" t="s">
        <v>203</v>
      </c>
      <c r="AV97" s="6" t="s">
        <v>205</v>
      </c>
      <c r="AW97" s="6" t="s">
        <v>202</v>
      </c>
      <c r="AX97" s="6" t="s">
        <v>203</v>
      </c>
      <c r="AY97" s="6" t="s">
        <v>201</v>
      </c>
      <c r="AZ97" s="6" t="s">
        <v>203</v>
      </c>
      <c r="BA97" s="6" t="s">
        <v>203</v>
      </c>
      <c r="BB97" s="6" t="s">
        <v>202</v>
      </c>
      <c r="BC97" s="6" t="s">
        <v>203</v>
      </c>
      <c r="BD97" s="6" t="s">
        <v>201</v>
      </c>
      <c r="BE97" s="6" t="s">
        <v>203</v>
      </c>
      <c r="BF97" s="6" t="s">
        <v>205</v>
      </c>
      <c r="BG97" s="6" t="s">
        <v>201</v>
      </c>
      <c r="BH97" s="6" t="s">
        <v>202</v>
      </c>
      <c r="BI97" s="6" t="s">
        <v>201</v>
      </c>
      <c r="BJ97" s="6" t="s">
        <v>202</v>
      </c>
      <c r="BK97" s="6" t="s">
        <v>203</v>
      </c>
      <c r="BL97" s="6" t="s">
        <v>202</v>
      </c>
      <c r="BM97" s="6" t="s">
        <v>204</v>
      </c>
      <c r="BN97" s="6" t="s">
        <v>201</v>
      </c>
      <c r="BO97" s="6" t="s">
        <v>204</v>
      </c>
      <c r="BP97" s="6" t="s">
        <v>204</v>
      </c>
      <c r="BQ97" s="6" t="s">
        <v>204</v>
      </c>
      <c r="BR97" s="6" t="s">
        <v>204</v>
      </c>
      <c r="BS97" s="6"/>
      <c r="BT97" s="6" t="s">
        <v>206</v>
      </c>
      <c r="BU97" s="6" t="s">
        <v>202</v>
      </c>
      <c r="BV97" s="6" t="s">
        <v>202</v>
      </c>
      <c r="BW97" s="6" t="s">
        <v>202</v>
      </c>
      <c r="BX97" s="6" t="s">
        <v>202</v>
      </c>
      <c r="BY97" s="6" t="s">
        <v>202</v>
      </c>
      <c r="BZ97" s="6" t="s">
        <v>202</v>
      </c>
      <c r="CA97" s="6" t="s">
        <v>202</v>
      </c>
      <c r="CB97" s="6" t="s">
        <v>202</v>
      </c>
      <c r="CC97" s="6" t="s">
        <v>202</v>
      </c>
      <c r="CD97" s="6" t="s">
        <v>202</v>
      </c>
      <c r="CE97" s="6" t="s">
        <v>202</v>
      </c>
      <c r="CF97" s="6" t="s">
        <v>202</v>
      </c>
      <c r="CG97" s="6"/>
      <c r="CH97" s="6" t="s">
        <v>207</v>
      </c>
      <c r="CI97" s="6" t="s">
        <v>207</v>
      </c>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t="s">
        <v>236</v>
      </c>
      <c r="DQ97" s="6"/>
      <c r="DR97" s="6"/>
      <c r="DS97" s="6"/>
      <c r="DT97" s="6"/>
      <c r="DU97" s="6"/>
      <c r="DV97" s="6"/>
      <c r="DW97" s="6" t="s">
        <v>207</v>
      </c>
      <c r="DX97" s="6"/>
      <c r="DY97" s="6"/>
      <c r="DZ97" s="6"/>
      <c r="EA97" s="6"/>
      <c r="EB97" s="6"/>
      <c r="EC97" s="6"/>
      <c r="ED97" s="6"/>
      <c r="EE97" s="6"/>
      <c r="EF97" s="6" t="s">
        <v>203</v>
      </c>
      <c r="EG97" s="6" t="s">
        <v>204</v>
      </c>
      <c r="EH97" s="6" t="s">
        <v>204</v>
      </c>
      <c r="EI97" s="6" t="s">
        <v>201</v>
      </c>
      <c r="EJ97" s="6" t="s">
        <v>204</v>
      </c>
      <c r="EK97" s="6" t="s">
        <v>205</v>
      </c>
      <c r="EL97" s="6" t="s">
        <v>204</v>
      </c>
      <c r="EM97" s="6"/>
      <c r="EN97" s="6"/>
      <c r="EO97" s="6"/>
      <c r="EP97" s="6"/>
      <c r="EQ97" s="6" t="s">
        <v>205</v>
      </c>
      <c r="ER97" s="6" t="s">
        <v>203</v>
      </c>
      <c r="ES97" s="6"/>
      <c r="ET97" s="6"/>
      <c r="EU97" s="6"/>
      <c r="EV97" s="6"/>
      <c r="EW97" s="6"/>
      <c r="EX97" s="6"/>
      <c r="EY97" s="6"/>
      <c r="EZ97" s="6"/>
      <c r="FA97" s="6"/>
      <c r="FB97" s="6"/>
      <c r="FC97" s="6"/>
      <c r="FD97" s="6"/>
      <c r="FE97" s="6"/>
      <c r="FF97" s="6"/>
      <c r="FG97" s="6"/>
      <c r="FH97" s="6" t="s">
        <v>201</v>
      </c>
      <c r="FI97" s="6" t="s">
        <v>204</v>
      </c>
      <c r="FJ97" s="6" t="s">
        <v>205</v>
      </c>
      <c r="FK97" s="6" t="s">
        <v>204</v>
      </c>
      <c r="FL97" s="6" t="s">
        <v>203</v>
      </c>
      <c r="FM97" s="6" t="s">
        <v>204</v>
      </c>
      <c r="FN97" s="6" t="s">
        <v>204</v>
      </c>
      <c r="FO97" s="6" t="s">
        <v>205</v>
      </c>
      <c r="FP97" s="6" t="s">
        <v>205</v>
      </c>
      <c r="FQ97" s="6" t="s">
        <v>205</v>
      </c>
      <c r="FR97" s="6" t="s">
        <v>204</v>
      </c>
      <c r="FS97" s="6" t="s">
        <v>204</v>
      </c>
      <c r="FT97" s="6" t="s">
        <v>204</v>
      </c>
      <c r="FU97" s="6" t="s">
        <v>204</v>
      </c>
      <c r="FV97" s="6"/>
      <c r="FW97" s="6" t="s">
        <v>238</v>
      </c>
      <c r="FX97" s="6"/>
      <c r="FY97" s="6" t="s">
        <v>202</v>
      </c>
      <c r="FZ97" s="6" t="s">
        <v>202</v>
      </c>
      <c r="GA97" s="6" t="s">
        <v>201</v>
      </c>
      <c r="GB97" s="6" t="s">
        <v>202</v>
      </c>
      <c r="GC97" s="6" t="s">
        <v>204</v>
      </c>
      <c r="GD97" s="6"/>
      <c r="GE97" s="6" t="s">
        <v>202</v>
      </c>
      <c r="GF97" s="6" t="s">
        <v>201</v>
      </c>
      <c r="GG97" s="6" t="s">
        <v>202</v>
      </c>
      <c r="GH97" s="6" t="s">
        <v>201</v>
      </c>
      <c r="GI97" s="6" t="s">
        <v>201</v>
      </c>
      <c r="GJ97" s="6" t="s">
        <v>202</v>
      </c>
      <c r="GK97" s="6"/>
      <c r="GL97" s="7">
        <f>DATE(2025,6,13)+TIME(10,24,18)</f>
        <v>45821.433541666665</v>
      </c>
    </row>
    <row r="98" spans="1:194" ht="409.5" x14ac:dyDescent="0.25">
      <c r="A98" s="3" t="s">
        <v>460</v>
      </c>
      <c r="B98" s="3" t="s">
        <v>461</v>
      </c>
      <c r="C98" s="3" t="s">
        <v>462</v>
      </c>
      <c r="D98" s="3" t="s">
        <v>695</v>
      </c>
      <c r="E98" s="3"/>
      <c r="F98" s="3" t="s">
        <v>256</v>
      </c>
      <c r="G98" s="3"/>
      <c r="H98" s="3"/>
      <c r="I98" s="3" t="s">
        <v>696</v>
      </c>
      <c r="J98" s="3"/>
      <c r="K98" s="3"/>
      <c r="L98" s="3"/>
      <c r="M98" s="3"/>
      <c r="N98" s="3"/>
      <c r="O98" s="3"/>
      <c r="P98" s="3"/>
      <c r="Q98" s="3"/>
      <c r="R98" s="3"/>
      <c r="S98" s="3"/>
      <c r="T98" s="3"/>
      <c r="U98" s="3"/>
      <c r="V98" s="3"/>
      <c r="W98" s="3"/>
      <c r="X98" s="3"/>
      <c r="Y98" s="3"/>
      <c r="Z98" s="3"/>
      <c r="AA98" s="3"/>
      <c r="AB98" s="3"/>
      <c r="AC98" s="3"/>
      <c r="AD98" s="3"/>
      <c r="AE98" s="3"/>
      <c r="AF98" s="4" t="s">
        <v>696</v>
      </c>
      <c r="AG98" s="3" t="s">
        <v>235</v>
      </c>
      <c r="AH98" s="3" t="s">
        <v>201</v>
      </c>
      <c r="AI98" s="3" t="s">
        <v>201</v>
      </c>
      <c r="AJ98" s="3" t="s">
        <v>204</v>
      </c>
      <c r="AK98" s="3" t="s">
        <v>203</v>
      </c>
      <c r="AL98" s="3" t="s">
        <v>203</v>
      </c>
      <c r="AM98" s="3" t="s">
        <v>205</v>
      </c>
      <c r="AN98" s="3" t="s">
        <v>205</v>
      </c>
      <c r="AO98" s="3" t="s">
        <v>205</v>
      </c>
      <c r="AP98" s="3" t="s">
        <v>205</v>
      </c>
      <c r="AQ98" s="3" t="s">
        <v>205</v>
      </c>
      <c r="AR98" s="3" t="s">
        <v>203</v>
      </c>
      <c r="AS98" s="3"/>
      <c r="AT98" s="3" t="s">
        <v>203</v>
      </c>
      <c r="AU98" s="3" t="s">
        <v>201</v>
      </c>
      <c r="AV98" s="3" t="s">
        <v>205</v>
      </c>
      <c r="AW98" s="3" t="s">
        <v>201</v>
      </c>
      <c r="AX98" s="3" t="s">
        <v>204</v>
      </c>
      <c r="AY98" s="3" t="s">
        <v>204</v>
      </c>
      <c r="AZ98" s="3" t="s">
        <v>201</v>
      </c>
      <c r="BA98" s="3" t="s">
        <v>204</v>
      </c>
      <c r="BB98" s="3" t="s">
        <v>202</v>
      </c>
      <c r="BC98" s="3" t="s">
        <v>202</v>
      </c>
      <c r="BD98" s="3" t="s">
        <v>204</v>
      </c>
      <c r="BE98" s="3" t="s">
        <v>204</v>
      </c>
      <c r="BF98" s="3" t="s">
        <v>204</v>
      </c>
      <c r="BG98" s="3" t="s">
        <v>204</v>
      </c>
      <c r="BH98" s="3" t="s">
        <v>204</v>
      </c>
      <c r="BI98" s="3" t="s">
        <v>204</v>
      </c>
      <c r="BJ98" s="3" t="s">
        <v>204</v>
      </c>
      <c r="BK98" s="3" t="s">
        <v>204</v>
      </c>
      <c r="BL98" s="3" t="s">
        <v>204</v>
      </c>
      <c r="BM98" s="3" t="s">
        <v>204</v>
      </c>
      <c r="BN98" s="3" t="s">
        <v>204</v>
      </c>
      <c r="BO98" s="3" t="s">
        <v>201</v>
      </c>
      <c r="BP98" s="3" t="s">
        <v>201</v>
      </c>
      <c r="BQ98" s="3" t="s">
        <v>204</v>
      </c>
      <c r="BR98" s="3" t="s">
        <v>204</v>
      </c>
      <c r="BS98" s="3"/>
      <c r="BT98" s="3" t="s">
        <v>206</v>
      </c>
      <c r="BU98" s="3" t="s">
        <v>201</v>
      </c>
      <c r="BV98" s="3" t="s">
        <v>203</v>
      </c>
      <c r="BW98" s="3" t="s">
        <v>201</v>
      </c>
      <c r="BX98" s="3" t="s">
        <v>202</v>
      </c>
      <c r="BY98" s="3" t="s">
        <v>202</v>
      </c>
      <c r="BZ98" s="3" t="s">
        <v>202</v>
      </c>
      <c r="CA98" s="3" t="s">
        <v>204</v>
      </c>
      <c r="CB98" s="3" t="s">
        <v>204</v>
      </c>
      <c r="CC98" s="3" t="s">
        <v>204</v>
      </c>
      <c r="CD98" s="3" t="s">
        <v>202</v>
      </c>
      <c r="CE98" s="3" t="s">
        <v>202</v>
      </c>
      <c r="CF98" s="3" t="s">
        <v>202</v>
      </c>
      <c r="CG98" s="3"/>
      <c r="CH98" s="3" t="s">
        <v>207</v>
      </c>
      <c r="CI98" s="3" t="s">
        <v>207</v>
      </c>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t="s">
        <v>288</v>
      </c>
      <c r="DT98" s="3"/>
      <c r="DU98" s="3" t="s">
        <v>294</v>
      </c>
      <c r="DV98" s="3" t="s">
        <v>697</v>
      </c>
      <c r="DW98" s="3" t="s">
        <v>207</v>
      </c>
      <c r="DX98" s="3"/>
      <c r="DY98" s="3"/>
      <c r="DZ98" s="3"/>
      <c r="EA98" s="3"/>
      <c r="EB98" s="3"/>
      <c r="EC98" s="3"/>
      <c r="ED98" s="3"/>
      <c r="EE98" s="3"/>
      <c r="EF98" s="3" t="s">
        <v>205</v>
      </c>
      <c r="EG98" s="3" t="s">
        <v>205</v>
      </c>
      <c r="EH98" s="3" t="s">
        <v>205</v>
      </c>
      <c r="EI98" s="3" t="s">
        <v>205</v>
      </c>
      <c r="EJ98" s="3" t="s">
        <v>205</v>
      </c>
      <c r="EK98" s="3" t="s">
        <v>205</v>
      </c>
      <c r="EL98" s="3" t="s">
        <v>205</v>
      </c>
      <c r="EM98" s="3"/>
      <c r="EN98" s="3"/>
      <c r="EO98" s="3"/>
      <c r="EP98" s="3"/>
      <c r="EQ98" s="3" t="s">
        <v>205</v>
      </c>
      <c r="ER98" s="3" t="s">
        <v>205</v>
      </c>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t="s">
        <v>205</v>
      </c>
      <c r="FZ98" s="3" t="s">
        <v>201</v>
      </c>
      <c r="GA98" s="3" t="s">
        <v>201</v>
      </c>
      <c r="GB98" s="3" t="s">
        <v>202</v>
      </c>
      <c r="GC98" s="3" t="s">
        <v>204</v>
      </c>
      <c r="GD98" s="3"/>
      <c r="GE98" s="3" t="s">
        <v>202</v>
      </c>
      <c r="GF98" s="3" t="s">
        <v>201</v>
      </c>
      <c r="GG98" s="3" t="s">
        <v>201</v>
      </c>
      <c r="GH98" s="3" t="s">
        <v>203</v>
      </c>
      <c r="GI98" s="3" t="s">
        <v>201</v>
      </c>
      <c r="GJ98" s="3" t="s">
        <v>201</v>
      </c>
      <c r="GK98" s="3" t="s">
        <v>466</v>
      </c>
      <c r="GL98" s="5">
        <f>DATE(2025,6,13)+TIME(11,25,25)</f>
        <v>45821.475983796299</v>
      </c>
    </row>
    <row r="99" spans="1:194" ht="409.5" x14ac:dyDescent="0.25">
      <c r="A99" s="6" t="s">
        <v>698</v>
      </c>
      <c r="B99" s="6" t="s">
        <v>699</v>
      </c>
      <c r="C99" s="6" t="s">
        <v>700</v>
      </c>
      <c r="D99" s="6" t="s">
        <v>701</v>
      </c>
      <c r="E99" s="6"/>
      <c r="F99" s="6" t="s">
        <v>702</v>
      </c>
      <c r="G99" s="6"/>
      <c r="H99" s="6"/>
      <c r="I99" s="6"/>
      <c r="J99" s="6"/>
      <c r="K99" s="6"/>
      <c r="L99" s="6"/>
      <c r="M99" s="6"/>
      <c r="N99" s="6"/>
      <c r="O99" s="6"/>
      <c r="P99" s="6"/>
      <c r="Q99" s="6"/>
      <c r="R99" s="6"/>
      <c r="S99" s="6"/>
      <c r="T99" s="6"/>
      <c r="U99" s="6"/>
      <c r="V99" s="6"/>
      <c r="W99" s="6"/>
      <c r="X99" s="6"/>
      <c r="Y99" s="6"/>
      <c r="Z99" s="6"/>
      <c r="AA99" s="6"/>
      <c r="AB99" s="6"/>
      <c r="AC99" s="6"/>
      <c r="AD99" s="6" t="s">
        <v>703</v>
      </c>
      <c r="AE99" s="6"/>
      <c r="AF99" s="4" t="s">
        <v>703</v>
      </c>
      <c r="AG99" s="6" t="s">
        <v>235</v>
      </c>
      <c r="AH99" s="6" t="s">
        <v>201</v>
      </c>
      <c r="AI99" s="6" t="s">
        <v>201</v>
      </c>
      <c r="AJ99" s="6" t="s">
        <v>201</v>
      </c>
      <c r="AK99" s="6" t="s">
        <v>201</v>
      </c>
      <c r="AL99" s="6" t="s">
        <v>201</v>
      </c>
      <c r="AM99" s="6" t="s">
        <v>204</v>
      </c>
      <c r="AN99" s="6" t="s">
        <v>204</v>
      </c>
      <c r="AO99" s="6" t="s">
        <v>204</v>
      </c>
      <c r="AP99" s="6" t="s">
        <v>201</v>
      </c>
      <c r="AQ99" s="6" t="s">
        <v>201</v>
      </c>
      <c r="AR99" s="6" t="s">
        <v>202</v>
      </c>
      <c r="AS99" s="6"/>
      <c r="AT99" s="6" t="s">
        <v>203</v>
      </c>
      <c r="AU99" s="6" t="s">
        <v>203</v>
      </c>
      <c r="AV99" s="6" t="s">
        <v>205</v>
      </c>
      <c r="AW99" s="6" t="s">
        <v>202</v>
      </c>
      <c r="AX99" s="6" t="s">
        <v>202</v>
      </c>
      <c r="AY99" s="6" t="s">
        <v>201</v>
      </c>
      <c r="AZ99" s="6" t="s">
        <v>203</v>
      </c>
      <c r="BA99" s="6" t="s">
        <v>205</v>
      </c>
      <c r="BB99" s="6" t="s">
        <v>202</v>
      </c>
      <c r="BC99" s="6" t="s">
        <v>202</v>
      </c>
      <c r="BD99" s="6" t="s">
        <v>201</v>
      </c>
      <c r="BE99" s="6" t="s">
        <v>203</v>
      </c>
      <c r="BF99" s="6" t="s">
        <v>205</v>
      </c>
      <c r="BG99" s="6" t="s">
        <v>202</v>
      </c>
      <c r="BH99" s="6" t="s">
        <v>202</v>
      </c>
      <c r="BI99" s="6" t="s">
        <v>201</v>
      </c>
      <c r="BJ99" s="6" t="s">
        <v>203</v>
      </c>
      <c r="BK99" s="6" t="s">
        <v>205</v>
      </c>
      <c r="BL99" s="6" t="s">
        <v>202</v>
      </c>
      <c r="BM99" s="6" t="s">
        <v>202</v>
      </c>
      <c r="BN99" s="6" t="s">
        <v>201</v>
      </c>
      <c r="BO99" s="6" t="s">
        <v>203</v>
      </c>
      <c r="BP99" s="6" t="s">
        <v>203</v>
      </c>
      <c r="BQ99" s="6" t="s">
        <v>203</v>
      </c>
      <c r="BR99" s="6" t="s">
        <v>201</v>
      </c>
      <c r="BS99" s="6" t="s">
        <v>704</v>
      </c>
      <c r="BT99" s="6" t="s">
        <v>206</v>
      </c>
      <c r="BU99" s="6" t="s">
        <v>202</v>
      </c>
      <c r="BV99" s="6" t="s">
        <v>202</v>
      </c>
      <c r="BW99" s="6" t="s">
        <v>202</v>
      </c>
      <c r="BX99" s="6" t="s">
        <v>202</v>
      </c>
      <c r="BY99" s="6" t="s">
        <v>202</v>
      </c>
      <c r="BZ99" s="6" t="s">
        <v>202</v>
      </c>
      <c r="CA99" s="6" t="s">
        <v>202</v>
      </c>
      <c r="CB99" s="6" t="s">
        <v>202</v>
      </c>
      <c r="CC99" s="6" t="s">
        <v>202</v>
      </c>
      <c r="CD99" s="6" t="s">
        <v>202</v>
      </c>
      <c r="CE99" s="6" t="s">
        <v>202</v>
      </c>
      <c r="CF99" s="6" t="s">
        <v>202</v>
      </c>
      <c r="CG99" s="6"/>
      <c r="CH99" s="6" t="s">
        <v>207</v>
      </c>
      <c r="CI99" s="6" t="s">
        <v>207</v>
      </c>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t="s">
        <v>236</v>
      </c>
      <c r="DQ99" s="6"/>
      <c r="DR99" s="6"/>
      <c r="DS99" s="6"/>
      <c r="DT99" s="6"/>
      <c r="DU99" s="6"/>
      <c r="DV99" s="6"/>
      <c r="DW99" s="6" t="s">
        <v>207</v>
      </c>
      <c r="DX99" s="6"/>
      <c r="DY99" s="6"/>
      <c r="DZ99" s="6"/>
      <c r="EA99" s="6"/>
      <c r="EB99" s="6"/>
      <c r="EC99" s="6"/>
      <c r="ED99" s="6"/>
      <c r="EE99" s="6"/>
      <c r="EF99" s="6" t="s">
        <v>201</v>
      </c>
      <c r="EG99" s="6" t="s">
        <v>202</v>
      </c>
      <c r="EH99" s="6" t="s">
        <v>205</v>
      </c>
      <c r="EI99" s="6" t="s">
        <v>201</v>
      </c>
      <c r="EJ99" s="6" t="s">
        <v>204</v>
      </c>
      <c r="EK99" s="6" t="s">
        <v>205</v>
      </c>
      <c r="EL99" s="6" t="s">
        <v>204</v>
      </c>
      <c r="EM99" s="6"/>
      <c r="EN99" s="6"/>
      <c r="EO99" s="6"/>
      <c r="EP99" s="6"/>
      <c r="EQ99" s="6" t="s">
        <v>205</v>
      </c>
      <c r="ER99" s="6" t="s">
        <v>203</v>
      </c>
      <c r="ES99" s="6"/>
      <c r="ET99" s="6"/>
      <c r="EU99" s="6"/>
      <c r="EV99" s="6"/>
      <c r="EW99" s="6"/>
      <c r="EX99" s="6"/>
      <c r="EY99" s="6"/>
      <c r="EZ99" s="6"/>
      <c r="FA99" s="6"/>
      <c r="FB99" s="6"/>
      <c r="FC99" s="6"/>
      <c r="FD99" s="6"/>
      <c r="FE99" s="6"/>
      <c r="FF99" s="6"/>
      <c r="FG99" s="6"/>
      <c r="FH99" s="6" t="s">
        <v>202</v>
      </c>
      <c r="FI99" s="6" t="s">
        <v>202</v>
      </c>
      <c r="FJ99" s="6" t="s">
        <v>205</v>
      </c>
      <c r="FK99" s="6" t="s">
        <v>204</v>
      </c>
      <c r="FL99" s="6" t="s">
        <v>204</v>
      </c>
      <c r="FM99" s="6" t="s">
        <v>204</v>
      </c>
      <c r="FN99" s="6" t="s">
        <v>204</v>
      </c>
      <c r="FO99" s="6" t="s">
        <v>204</v>
      </c>
      <c r="FP99" s="6" t="s">
        <v>204</v>
      </c>
      <c r="FQ99" s="6" t="s">
        <v>204</v>
      </c>
      <c r="FR99" s="6" t="s">
        <v>204</v>
      </c>
      <c r="FS99" s="6" t="s">
        <v>204</v>
      </c>
      <c r="FT99" s="6" t="s">
        <v>204</v>
      </c>
      <c r="FU99" s="6"/>
      <c r="FV99" s="6"/>
      <c r="FW99" s="6" t="s">
        <v>238</v>
      </c>
      <c r="FX99" s="6"/>
      <c r="FY99" s="6" t="s">
        <v>202</v>
      </c>
      <c r="FZ99" s="6" t="s">
        <v>202</v>
      </c>
      <c r="GA99" s="6" t="s">
        <v>201</v>
      </c>
      <c r="GB99" s="6" t="s">
        <v>203</v>
      </c>
      <c r="GC99" s="6"/>
      <c r="GD99" s="6"/>
      <c r="GE99" s="6" t="s">
        <v>204</v>
      </c>
      <c r="GF99" s="6" t="s">
        <v>204</v>
      </c>
      <c r="GG99" s="6" t="s">
        <v>204</v>
      </c>
      <c r="GH99" s="6" t="s">
        <v>204</v>
      </c>
      <c r="GI99" s="6" t="s">
        <v>204</v>
      </c>
      <c r="GJ99" s="6" t="s">
        <v>204</v>
      </c>
      <c r="GK99" s="6" t="s">
        <v>705</v>
      </c>
      <c r="GL99" s="7">
        <f>DATE(2025,6,13)+TIME(14,44,43)</f>
        <v>45821.614386574074</v>
      </c>
    </row>
    <row r="100" spans="1:194" ht="409.5" x14ac:dyDescent="0.25">
      <c r="A100" s="3" t="s">
        <v>706</v>
      </c>
      <c r="B100" s="3" t="s">
        <v>707</v>
      </c>
      <c r="C100" s="3" t="s">
        <v>708</v>
      </c>
      <c r="D100" s="3" t="s">
        <v>709</v>
      </c>
      <c r="E100" s="3"/>
      <c r="F100" s="3" t="s">
        <v>444</v>
      </c>
      <c r="G100" s="3"/>
      <c r="H100" s="3"/>
      <c r="I100" s="3"/>
      <c r="J100" s="3"/>
      <c r="K100" s="3"/>
      <c r="L100" s="3"/>
      <c r="M100" s="3"/>
      <c r="N100" s="3"/>
      <c r="O100" s="3"/>
      <c r="P100" s="3"/>
      <c r="Q100" s="3"/>
      <c r="R100" s="3"/>
      <c r="S100" s="3"/>
      <c r="T100" s="3"/>
      <c r="U100" s="3"/>
      <c r="V100" s="3"/>
      <c r="W100" s="3"/>
      <c r="X100" s="3"/>
      <c r="Y100" s="3" t="s">
        <v>710</v>
      </c>
      <c r="Z100" s="3"/>
      <c r="AA100" s="3"/>
      <c r="AB100" s="3"/>
      <c r="AC100" s="3"/>
      <c r="AD100" s="3"/>
      <c r="AE100" s="3"/>
      <c r="AF100" s="4" t="s">
        <v>710</v>
      </c>
      <c r="AG100" s="3" t="s">
        <v>235</v>
      </c>
      <c r="AH100" s="3" t="s">
        <v>203</v>
      </c>
      <c r="AI100" s="3" t="s">
        <v>203</v>
      </c>
      <c r="AJ100" s="3" t="s">
        <v>203</v>
      </c>
      <c r="AK100" s="3" t="s">
        <v>202</v>
      </c>
      <c r="AL100" s="3" t="s">
        <v>202</v>
      </c>
      <c r="AM100" s="3" t="s">
        <v>204</v>
      </c>
      <c r="AN100" s="3" t="s">
        <v>204</v>
      </c>
      <c r="AO100" s="3" t="s">
        <v>204</v>
      </c>
      <c r="AP100" s="3" t="s">
        <v>204</v>
      </c>
      <c r="AQ100" s="3" t="s">
        <v>203</v>
      </c>
      <c r="AR100" s="3" t="s">
        <v>202</v>
      </c>
      <c r="AS100" s="3"/>
      <c r="AT100" s="3" t="s">
        <v>203</v>
      </c>
      <c r="AU100" s="3" t="s">
        <v>203</v>
      </c>
      <c r="AV100" s="3" t="s">
        <v>205</v>
      </c>
      <c r="AW100" s="3" t="s">
        <v>203</v>
      </c>
      <c r="AX100" s="3" t="s">
        <v>203</v>
      </c>
      <c r="AY100" s="3" t="s">
        <v>202</v>
      </c>
      <c r="AZ100" s="3" t="s">
        <v>202</v>
      </c>
      <c r="BA100" s="3" t="s">
        <v>203</v>
      </c>
      <c r="BB100" s="3" t="s">
        <v>202</v>
      </c>
      <c r="BC100" s="3" t="s">
        <v>203</v>
      </c>
      <c r="BD100" s="3" t="s">
        <v>202</v>
      </c>
      <c r="BE100" s="3" t="s">
        <v>204</v>
      </c>
      <c r="BF100" s="3" t="s">
        <v>204</v>
      </c>
      <c r="BG100" s="3" t="s">
        <v>204</v>
      </c>
      <c r="BH100" s="3" t="s">
        <v>204</v>
      </c>
      <c r="BI100" s="3" t="s">
        <v>204</v>
      </c>
      <c r="BJ100" s="3" t="s">
        <v>202</v>
      </c>
      <c r="BK100" s="3" t="s">
        <v>203</v>
      </c>
      <c r="BL100" s="3" t="s">
        <v>202</v>
      </c>
      <c r="BM100" s="3" t="s">
        <v>203</v>
      </c>
      <c r="BN100" s="3" t="s">
        <v>202</v>
      </c>
      <c r="BO100" s="3" t="s">
        <v>202</v>
      </c>
      <c r="BP100" s="3" t="s">
        <v>204</v>
      </c>
      <c r="BQ100" s="3" t="s">
        <v>204</v>
      </c>
      <c r="BR100" s="3"/>
      <c r="BS100" s="3"/>
      <c r="BT100" s="3" t="s">
        <v>206</v>
      </c>
      <c r="BU100" s="3" t="s">
        <v>202</v>
      </c>
      <c r="BV100" s="3" t="s">
        <v>202</v>
      </c>
      <c r="BW100" s="3" t="s">
        <v>202</v>
      </c>
      <c r="BX100" s="3" t="s">
        <v>202</v>
      </c>
      <c r="BY100" s="3" t="s">
        <v>202</v>
      </c>
      <c r="BZ100" s="3" t="s">
        <v>202</v>
      </c>
      <c r="CA100" s="3" t="s">
        <v>202</v>
      </c>
      <c r="CB100" s="3" t="s">
        <v>202</v>
      </c>
      <c r="CC100" s="3" t="s">
        <v>202</v>
      </c>
      <c r="CD100" s="3" t="s">
        <v>202</v>
      </c>
      <c r="CE100" s="3" t="s">
        <v>202</v>
      </c>
      <c r="CF100" s="3" t="s">
        <v>202</v>
      </c>
      <c r="CG100" s="3"/>
      <c r="CH100" s="3" t="s">
        <v>207</v>
      </c>
      <c r="CI100" s="3" t="s">
        <v>207</v>
      </c>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t="s">
        <v>236</v>
      </c>
      <c r="DQ100" s="3"/>
      <c r="DR100" s="3"/>
      <c r="DS100" s="3"/>
      <c r="DT100" s="3"/>
      <c r="DU100" s="3"/>
      <c r="DV100" s="3"/>
      <c r="DW100" s="3" t="s">
        <v>207</v>
      </c>
      <c r="DX100" s="3"/>
      <c r="DY100" s="3"/>
      <c r="DZ100" s="3"/>
      <c r="EA100" s="3"/>
      <c r="EB100" s="3"/>
      <c r="EC100" s="3"/>
      <c r="ED100" s="3"/>
      <c r="EE100" s="3"/>
      <c r="EF100" s="3" t="s">
        <v>201</v>
      </c>
      <c r="EG100" s="3" t="s">
        <v>205</v>
      </c>
      <c r="EH100" s="3" t="s">
        <v>203</v>
      </c>
      <c r="EI100" s="3" t="s">
        <v>201</v>
      </c>
      <c r="EJ100" s="3" t="s">
        <v>205</v>
      </c>
      <c r="EK100" s="3" t="s">
        <v>205</v>
      </c>
      <c r="EL100" s="3" t="s">
        <v>205</v>
      </c>
      <c r="EM100" s="3"/>
      <c r="EN100" s="3"/>
      <c r="EO100" s="3"/>
      <c r="EP100" s="3"/>
      <c r="EQ100" s="3" t="s">
        <v>205</v>
      </c>
      <c r="ER100" s="3" t="s">
        <v>205</v>
      </c>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t="s">
        <v>202</v>
      </c>
      <c r="FZ100" s="3" t="s">
        <v>202</v>
      </c>
      <c r="GA100" s="3" t="s">
        <v>201</v>
      </c>
      <c r="GB100" s="3" t="s">
        <v>202</v>
      </c>
      <c r="GC100" s="3"/>
      <c r="GD100" s="3"/>
      <c r="GE100" s="3" t="s">
        <v>203</v>
      </c>
      <c r="GF100" s="3" t="s">
        <v>202</v>
      </c>
      <c r="GG100" s="3" t="s">
        <v>203</v>
      </c>
      <c r="GH100" s="3" t="s">
        <v>202</v>
      </c>
      <c r="GI100" s="3" t="s">
        <v>202</v>
      </c>
      <c r="GJ100" s="3" t="s">
        <v>203</v>
      </c>
      <c r="GK100" s="3" t="s">
        <v>711</v>
      </c>
      <c r="GL100" s="5">
        <f>DATE(2025,6,4)+TIME(16,47,49)</f>
        <v>45812.699872685182</v>
      </c>
    </row>
    <row r="101" spans="1:194" ht="409.5" x14ac:dyDescent="0.25">
      <c r="A101" s="6" t="s">
        <v>712</v>
      </c>
      <c r="B101" s="6" t="s">
        <v>713</v>
      </c>
      <c r="C101" s="6" t="s">
        <v>714</v>
      </c>
      <c r="D101" s="6" t="s">
        <v>715</v>
      </c>
      <c r="E101" s="6"/>
      <c r="F101" s="6" t="s">
        <v>444</v>
      </c>
      <c r="G101" s="6"/>
      <c r="H101" s="6"/>
      <c r="I101" s="6"/>
      <c r="J101" s="6"/>
      <c r="K101" s="6"/>
      <c r="L101" s="6"/>
      <c r="M101" s="6"/>
      <c r="N101" s="6"/>
      <c r="O101" s="6"/>
      <c r="P101" s="6"/>
      <c r="Q101" s="6"/>
      <c r="R101" s="6"/>
      <c r="S101" s="6"/>
      <c r="T101" s="6"/>
      <c r="U101" s="6"/>
      <c r="V101" s="6"/>
      <c r="W101" s="6"/>
      <c r="X101" s="6"/>
      <c r="Y101" s="6" t="s">
        <v>716</v>
      </c>
      <c r="Z101" s="6"/>
      <c r="AA101" s="6"/>
      <c r="AB101" s="6"/>
      <c r="AC101" s="6"/>
      <c r="AD101" s="6"/>
      <c r="AE101" s="6"/>
      <c r="AF101" s="4" t="s">
        <v>716</v>
      </c>
      <c r="AG101" s="6" t="s">
        <v>213</v>
      </c>
      <c r="AH101" s="6" t="s">
        <v>203</v>
      </c>
      <c r="AI101" s="6" t="s">
        <v>202</v>
      </c>
      <c r="AJ101" s="6" t="s">
        <v>203</v>
      </c>
      <c r="AK101" s="6" t="s">
        <v>201</v>
      </c>
      <c r="AL101" s="6" t="s">
        <v>202</v>
      </c>
      <c r="AM101" s="6" t="s">
        <v>203</v>
      </c>
      <c r="AN101" s="6" t="s">
        <v>204</v>
      </c>
      <c r="AO101" s="6" t="s">
        <v>204</v>
      </c>
      <c r="AP101" s="6" t="s">
        <v>202</v>
      </c>
      <c r="AQ101" s="6" t="s">
        <v>203</v>
      </c>
      <c r="AR101" s="6" t="s">
        <v>202</v>
      </c>
      <c r="AS101" s="6"/>
      <c r="AT101" s="6" t="s">
        <v>203</v>
      </c>
      <c r="AU101" s="6" t="s">
        <v>203</v>
      </c>
      <c r="AV101" s="6" t="s">
        <v>205</v>
      </c>
      <c r="AW101" s="6" t="s">
        <v>203</v>
      </c>
      <c r="AX101" s="6" t="s">
        <v>203</v>
      </c>
      <c r="AY101" s="6" t="s">
        <v>202</v>
      </c>
      <c r="AZ101" s="6" t="s">
        <v>201</v>
      </c>
      <c r="BA101" s="6" t="s">
        <v>203</v>
      </c>
      <c r="BB101" s="6" t="s">
        <v>201</v>
      </c>
      <c r="BC101" s="6" t="s">
        <v>203</v>
      </c>
      <c r="BD101" s="6" t="s">
        <v>201</v>
      </c>
      <c r="BE101" s="6" t="s">
        <v>204</v>
      </c>
      <c r="BF101" s="6" t="s">
        <v>204</v>
      </c>
      <c r="BG101" s="6" t="s">
        <v>204</v>
      </c>
      <c r="BH101" s="6" t="s">
        <v>204</v>
      </c>
      <c r="BI101" s="6" t="s">
        <v>204</v>
      </c>
      <c r="BJ101" s="6" t="s">
        <v>201</v>
      </c>
      <c r="BK101" s="6" t="s">
        <v>203</v>
      </c>
      <c r="BL101" s="6" t="s">
        <v>203</v>
      </c>
      <c r="BM101" s="6" t="s">
        <v>204</v>
      </c>
      <c r="BN101" s="6" t="s">
        <v>201</v>
      </c>
      <c r="BO101" s="6" t="s">
        <v>201</v>
      </c>
      <c r="BP101" s="6" t="s">
        <v>204</v>
      </c>
      <c r="BQ101" s="6" t="s">
        <v>204</v>
      </c>
      <c r="BR101" s="6" t="s">
        <v>204</v>
      </c>
      <c r="BS101" s="6"/>
      <c r="BT101" s="6" t="s">
        <v>206</v>
      </c>
      <c r="BU101" s="6" t="s">
        <v>201</v>
      </c>
      <c r="BV101" s="6" t="s">
        <v>201</v>
      </c>
      <c r="BW101" s="6" t="s">
        <v>201</v>
      </c>
      <c r="BX101" s="6" t="s">
        <v>202</v>
      </c>
      <c r="BY101" s="6" t="s">
        <v>202</v>
      </c>
      <c r="BZ101" s="6" t="s">
        <v>202</v>
      </c>
      <c r="CA101" s="6" t="s">
        <v>202</v>
      </c>
      <c r="CB101" s="6" t="s">
        <v>202</v>
      </c>
      <c r="CC101" s="6" t="s">
        <v>202</v>
      </c>
      <c r="CD101" s="6" t="s">
        <v>202</v>
      </c>
      <c r="CE101" s="6" t="s">
        <v>202</v>
      </c>
      <c r="CF101" s="6" t="s">
        <v>202</v>
      </c>
      <c r="CG101" s="6"/>
      <c r="CH101" s="6" t="s">
        <v>207</v>
      </c>
      <c r="CI101" s="6" t="s">
        <v>207</v>
      </c>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t="s">
        <v>288</v>
      </c>
      <c r="DT101" s="6"/>
      <c r="DU101" s="6" t="s">
        <v>294</v>
      </c>
      <c r="DV101" s="6"/>
      <c r="DW101" s="6" t="s">
        <v>208</v>
      </c>
      <c r="DX101" s="6"/>
      <c r="DY101" s="6"/>
      <c r="DZ101" s="6"/>
      <c r="EA101" s="6"/>
      <c r="EB101" s="6" t="s">
        <v>717</v>
      </c>
      <c r="EC101" s="6" t="s">
        <v>205</v>
      </c>
      <c r="ED101" s="6" t="s">
        <v>205</v>
      </c>
      <c r="EE101" s="6" t="s">
        <v>205</v>
      </c>
      <c r="EF101" s="6" t="s">
        <v>201</v>
      </c>
      <c r="EG101" s="6" t="s">
        <v>201</v>
      </c>
      <c r="EH101" s="6" t="s">
        <v>202</v>
      </c>
      <c r="EI101" s="6" t="s">
        <v>201</v>
      </c>
      <c r="EJ101" s="6" t="s">
        <v>205</v>
      </c>
      <c r="EK101" s="6" t="s">
        <v>205</v>
      </c>
      <c r="EL101" s="6" t="s">
        <v>205</v>
      </c>
      <c r="EM101" s="6"/>
      <c r="EN101" s="6"/>
      <c r="EO101" s="6"/>
      <c r="EP101" s="6"/>
      <c r="EQ101" s="6" t="s">
        <v>205</v>
      </c>
      <c r="ER101" s="6" t="s">
        <v>202</v>
      </c>
      <c r="ES101" s="6"/>
      <c r="ET101" s="6"/>
      <c r="EU101" s="6"/>
      <c r="EV101" s="6"/>
      <c r="EW101" s="6"/>
      <c r="EX101" s="6"/>
      <c r="EY101" s="6"/>
      <c r="EZ101" s="6"/>
      <c r="FA101" s="6"/>
      <c r="FB101" s="6"/>
      <c r="FC101" s="6"/>
      <c r="FD101" s="6"/>
      <c r="FE101" s="6"/>
      <c r="FF101" s="6"/>
      <c r="FG101" s="6"/>
      <c r="FH101" s="6" t="s">
        <v>201</v>
      </c>
      <c r="FI101" s="6" t="s">
        <v>201</v>
      </c>
      <c r="FJ101" s="6" t="s">
        <v>205</v>
      </c>
      <c r="FK101" s="6" t="s">
        <v>205</v>
      </c>
      <c r="FL101" s="6" t="s">
        <v>201</v>
      </c>
      <c r="FM101" s="6" t="s">
        <v>204</v>
      </c>
      <c r="FN101" s="6" t="s">
        <v>204</v>
      </c>
      <c r="FO101" s="6" t="s">
        <v>205</v>
      </c>
      <c r="FP101" s="6" t="s">
        <v>203</v>
      </c>
      <c r="FQ101" s="6" t="s">
        <v>205</v>
      </c>
      <c r="FR101" s="6" t="s">
        <v>204</v>
      </c>
      <c r="FS101" s="6" t="s">
        <v>204</v>
      </c>
      <c r="FT101" s="6" t="s">
        <v>204</v>
      </c>
      <c r="FU101" s="6" t="s">
        <v>203</v>
      </c>
      <c r="FV101" s="6" t="s">
        <v>718</v>
      </c>
      <c r="FW101" s="6" t="s">
        <v>238</v>
      </c>
      <c r="FX101" s="6"/>
      <c r="FY101" s="6" t="s">
        <v>202</v>
      </c>
      <c r="FZ101" s="6" t="s">
        <v>202</v>
      </c>
      <c r="GA101" s="6" t="s">
        <v>201</v>
      </c>
      <c r="GB101" s="6" t="s">
        <v>201</v>
      </c>
      <c r="GC101" s="6" t="s">
        <v>204</v>
      </c>
      <c r="GD101" s="6"/>
      <c r="GE101" s="6" t="s">
        <v>202</v>
      </c>
      <c r="GF101" s="6" t="s">
        <v>201</v>
      </c>
      <c r="GG101" s="6" t="s">
        <v>202</v>
      </c>
      <c r="GH101" s="6" t="s">
        <v>202</v>
      </c>
      <c r="GI101" s="6" t="s">
        <v>201</v>
      </c>
      <c r="GJ101" s="6" t="s">
        <v>202</v>
      </c>
      <c r="GK101" s="6" t="s">
        <v>719</v>
      </c>
      <c r="GL101" s="7">
        <f>DATE(2025,6,6)+TIME(10,52,13)</f>
        <v>45814.452928240738</v>
      </c>
    </row>
    <row r="102" spans="1:194" ht="94.5" x14ac:dyDescent="0.25">
      <c r="A102" s="3" t="s">
        <v>720</v>
      </c>
      <c r="B102" s="3" t="s">
        <v>721</v>
      </c>
      <c r="C102" s="3" t="s">
        <v>722</v>
      </c>
      <c r="D102" s="3" t="s">
        <v>723</v>
      </c>
      <c r="E102" s="3"/>
      <c r="F102" s="3" t="s">
        <v>444</v>
      </c>
      <c r="G102" s="3"/>
      <c r="H102" s="3"/>
      <c r="I102" s="3"/>
      <c r="J102" s="3"/>
      <c r="K102" s="3"/>
      <c r="L102" s="3"/>
      <c r="M102" s="3"/>
      <c r="N102" s="3"/>
      <c r="O102" s="3"/>
      <c r="P102" s="3"/>
      <c r="Q102" s="3"/>
      <c r="R102" s="3"/>
      <c r="S102" s="3"/>
      <c r="T102" s="3"/>
      <c r="U102" s="3"/>
      <c r="V102" s="3"/>
      <c r="W102" s="3"/>
      <c r="X102" s="3"/>
      <c r="Y102" s="3" t="s">
        <v>724</v>
      </c>
      <c r="Z102" s="3"/>
      <c r="AA102" s="3"/>
      <c r="AB102" s="3"/>
      <c r="AC102" s="3"/>
      <c r="AD102" s="3"/>
      <c r="AE102" s="3"/>
      <c r="AF102" s="4" t="s">
        <v>724</v>
      </c>
      <c r="AG102" s="3" t="s">
        <v>235</v>
      </c>
      <c r="AH102" s="3" t="s">
        <v>203</v>
      </c>
      <c r="AI102" s="3" t="s">
        <v>202</v>
      </c>
      <c r="AJ102" s="3" t="s">
        <v>202</v>
      </c>
      <c r="AK102" s="3" t="s">
        <v>202</v>
      </c>
      <c r="AL102" s="3" t="s">
        <v>204</v>
      </c>
      <c r="AM102" s="3" t="s">
        <v>204</v>
      </c>
      <c r="AN102" s="3" t="s">
        <v>204</v>
      </c>
      <c r="AO102" s="3" t="s">
        <v>204</v>
      </c>
      <c r="AP102" s="3" t="s">
        <v>204</v>
      </c>
      <c r="AQ102" s="3" t="s">
        <v>203</v>
      </c>
      <c r="AR102" s="3" t="s">
        <v>202</v>
      </c>
      <c r="AS102" s="3"/>
      <c r="AT102" s="3" t="s">
        <v>203</v>
      </c>
      <c r="AU102" s="3" t="s">
        <v>202</v>
      </c>
      <c r="AV102" s="3" t="s">
        <v>205</v>
      </c>
      <c r="AW102" s="3" t="s">
        <v>203</v>
      </c>
      <c r="AX102" s="3" t="s">
        <v>205</v>
      </c>
      <c r="AY102" s="3" t="s">
        <v>201</v>
      </c>
      <c r="AZ102" s="3" t="s">
        <v>203</v>
      </c>
      <c r="BA102" s="3" t="s">
        <v>205</v>
      </c>
      <c r="BB102" s="3" t="s">
        <v>202</v>
      </c>
      <c r="BC102" s="3" t="s">
        <v>205</v>
      </c>
      <c r="BD102" s="3" t="s">
        <v>201</v>
      </c>
      <c r="BE102" s="3" t="s">
        <v>204</v>
      </c>
      <c r="BF102" s="3" t="s">
        <v>205</v>
      </c>
      <c r="BG102" s="3" t="s">
        <v>202</v>
      </c>
      <c r="BH102" s="3" t="s">
        <v>203</v>
      </c>
      <c r="BI102" s="3" t="s">
        <v>201</v>
      </c>
      <c r="BJ102" s="3" t="s">
        <v>202</v>
      </c>
      <c r="BK102" s="3" t="s">
        <v>205</v>
      </c>
      <c r="BL102" s="3" t="s">
        <v>202</v>
      </c>
      <c r="BM102" s="3" t="s">
        <v>203</v>
      </c>
      <c r="BN102" s="3" t="s">
        <v>201</v>
      </c>
      <c r="BO102" s="3" t="s">
        <v>202</v>
      </c>
      <c r="BP102" s="3" t="s">
        <v>202</v>
      </c>
      <c r="BQ102" s="3" t="s">
        <v>202</v>
      </c>
      <c r="BR102" s="3" t="s">
        <v>204</v>
      </c>
      <c r="BS102" s="3"/>
      <c r="BT102" s="3" t="s">
        <v>206</v>
      </c>
      <c r="BU102" s="3" t="s">
        <v>201</v>
      </c>
      <c r="BV102" s="3" t="s">
        <v>201</v>
      </c>
      <c r="BW102" s="3" t="s">
        <v>201</v>
      </c>
      <c r="BX102" s="3" t="s">
        <v>202</v>
      </c>
      <c r="BY102" s="3" t="s">
        <v>202</v>
      </c>
      <c r="BZ102" s="3" t="s">
        <v>202</v>
      </c>
      <c r="CA102" s="3" t="s">
        <v>202</v>
      </c>
      <c r="CB102" s="3" t="s">
        <v>202</v>
      </c>
      <c r="CC102" s="3" t="s">
        <v>202</v>
      </c>
      <c r="CD102" s="3" t="s">
        <v>202</v>
      </c>
      <c r="CE102" s="3" t="s">
        <v>202</v>
      </c>
      <c r="CF102" s="3" t="s">
        <v>202</v>
      </c>
      <c r="CG102" s="3"/>
      <c r="CH102" s="3" t="s">
        <v>207</v>
      </c>
      <c r="CI102" s="3" t="s">
        <v>207</v>
      </c>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t="s">
        <v>236</v>
      </c>
      <c r="DQ102" s="3" t="s">
        <v>237</v>
      </c>
      <c r="DR102" s="3"/>
      <c r="DS102" s="3"/>
      <c r="DT102" s="3"/>
      <c r="DU102" s="3"/>
      <c r="DV102" s="3"/>
      <c r="DW102" s="3" t="s">
        <v>207</v>
      </c>
      <c r="DX102" s="3"/>
      <c r="DY102" s="3"/>
      <c r="DZ102" s="3"/>
      <c r="EA102" s="3"/>
      <c r="EB102" s="3"/>
      <c r="EC102" s="3"/>
      <c r="ED102" s="3"/>
      <c r="EE102" s="3"/>
      <c r="EF102" s="3" t="s">
        <v>201</v>
      </c>
      <c r="EG102" s="3" t="s">
        <v>204</v>
      </c>
      <c r="EH102" s="3" t="s">
        <v>204</v>
      </c>
      <c r="EI102" s="3" t="s">
        <v>201</v>
      </c>
      <c r="EJ102" s="3" t="s">
        <v>205</v>
      </c>
      <c r="EK102" s="3" t="s">
        <v>205</v>
      </c>
      <c r="EL102" s="3" t="s">
        <v>205</v>
      </c>
      <c r="EM102" s="3"/>
      <c r="EN102" s="3"/>
      <c r="EO102" s="3"/>
      <c r="EP102" s="3"/>
      <c r="EQ102" s="3" t="s">
        <v>205</v>
      </c>
      <c r="ER102" s="3" t="s">
        <v>205</v>
      </c>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t="s">
        <v>202</v>
      </c>
      <c r="FZ102" s="3" t="s">
        <v>202</v>
      </c>
      <c r="GA102" s="3" t="s">
        <v>201</v>
      </c>
      <c r="GB102" s="3" t="s">
        <v>202</v>
      </c>
      <c r="GC102" s="3" t="s">
        <v>204</v>
      </c>
      <c r="GD102" s="3"/>
      <c r="GE102" s="3" t="s">
        <v>202</v>
      </c>
      <c r="GF102" s="3" t="s">
        <v>202</v>
      </c>
      <c r="GG102" s="3" t="s">
        <v>202</v>
      </c>
      <c r="GH102" s="3" t="s">
        <v>202</v>
      </c>
      <c r="GI102" s="3" t="s">
        <v>201</v>
      </c>
      <c r="GJ102" s="3" t="s">
        <v>202</v>
      </c>
      <c r="GK102" s="3" t="s">
        <v>725</v>
      </c>
      <c r="GL102" s="5">
        <f>DATE(2025,6,12)+TIME(11,13,21)</f>
        <v>45820.467604166668</v>
      </c>
    </row>
    <row r="103" spans="1:194" s="9" customFormat="1" ht="47.25" x14ac:dyDescent="0.25">
      <c r="A103" s="8"/>
      <c r="B103" s="8"/>
      <c r="C103" s="8" t="s">
        <v>517</v>
      </c>
      <c r="D103" s="8" t="s">
        <v>726</v>
      </c>
      <c r="E103" s="8"/>
      <c r="F103" s="8" t="s">
        <v>277</v>
      </c>
      <c r="G103" s="6"/>
      <c r="H103" s="6"/>
      <c r="I103" s="6"/>
      <c r="J103" s="6"/>
      <c r="K103" s="6"/>
      <c r="L103" s="6"/>
      <c r="M103" s="6"/>
      <c r="N103" s="6" t="s">
        <v>519</v>
      </c>
      <c r="O103" s="6"/>
      <c r="P103" s="6"/>
      <c r="Q103" s="6"/>
      <c r="R103" s="6"/>
      <c r="S103" s="6"/>
      <c r="T103" s="6"/>
      <c r="U103" s="6"/>
      <c r="V103" s="6"/>
      <c r="W103" s="6"/>
      <c r="X103" s="6"/>
      <c r="Y103" s="6"/>
      <c r="Z103" s="6"/>
      <c r="AA103" s="6"/>
      <c r="AB103" s="6"/>
      <c r="AC103" s="6"/>
      <c r="AD103" s="6"/>
      <c r="AE103" s="6"/>
      <c r="AF103" s="9" t="s">
        <v>519</v>
      </c>
      <c r="AG103" s="8" t="s">
        <v>213</v>
      </c>
      <c r="AH103" s="8" t="s">
        <v>202</v>
      </c>
      <c r="AI103" s="8" t="s">
        <v>202</v>
      </c>
      <c r="AJ103" s="8" t="s">
        <v>203</v>
      </c>
      <c r="AK103" s="8" t="s">
        <v>201</v>
      </c>
      <c r="AL103" s="8" t="s">
        <v>205</v>
      </c>
      <c r="AM103" s="8" t="s">
        <v>204</v>
      </c>
      <c r="AN103" s="8" t="s">
        <v>204</v>
      </c>
      <c r="AO103" s="8" t="s">
        <v>205</v>
      </c>
      <c r="AP103" s="8" t="s">
        <v>205</v>
      </c>
      <c r="AQ103" s="8" t="s">
        <v>201</v>
      </c>
      <c r="AR103" s="8" t="s">
        <v>203</v>
      </c>
      <c r="AS103" s="8"/>
      <c r="AT103" s="8" t="s">
        <v>204</v>
      </c>
      <c r="AU103" s="8" t="s">
        <v>202</v>
      </c>
      <c r="AV103" s="8" t="s">
        <v>205</v>
      </c>
      <c r="AW103" s="8" t="s">
        <v>203</v>
      </c>
      <c r="AX103" s="8" t="s">
        <v>203</v>
      </c>
      <c r="AY103" s="8" t="s">
        <v>204</v>
      </c>
      <c r="AZ103" s="8" t="s">
        <v>202</v>
      </c>
      <c r="BA103" s="8" t="s">
        <v>205</v>
      </c>
      <c r="BB103" s="8" t="s">
        <v>203</v>
      </c>
      <c r="BC103" s="8" t="s">
        <v>203</v>
      </c>
      <c r="BD103" s="8" t="s">
        <v>202</v>
      </c>
      <c r="BE103" s="8" t="s">
        <v>204</v>
      </c>
      <c r="BF103" s="8" t="s">
        <v>204</v>
      </c>
      <c r="BG103" s="8" t="s">
        <v>204</v>
      </c>
      <c r="BH103" s="8" t="s">
        <v>204</v>
      </c>
      <c r="BI103" s="8" t="s">
        <v>204</v>
      </c>
      <c r="BJ103" s="8" t="s">
        <v>202</v>
      </c>
      <c r="BK103" s="8" t="s">
        <v>205</v>
      </c>
      <c r="BL103" s="8" t="s">
        <v>202</v>
      </c>
      <c r="BM103" s="8" t="s">
        <v>203</v>
      </c>
      <c r="BN103" s="8" t="s">
        <v>203</v>
      </c>
      <c r="BO103" s="8" t="s">
        <v>201</v>
      </c>
      <c r="BP103" s="8" t="s">
        <v>203</v>
      </c>
      <c r="BQ103" s="8" t="s">
        <v>204</v>
      </c>
      <c r="BR103" s="8"/>
      <c r="BS103" s="8"/>
      <c r="BT103" s="8" t="s">
        <v>210</v>
      </c>
      <c r="BU103" s="8" t="s">
        <v>201</v>
      </c>
      <c r="BV103" s="8" t="s">
        <v>203</v>
      </c>
      <c r="BW103" s="8" t="s">
        <v>202</v>
      </c>
      <c r="BX103" s="8" t="s">
        <v>201</v>
      </c>
      <c r="BY103" s="8" t="s">
        <v>203</v>
      </c>
      <c r="BZ103" s="8" t="s">
        <v>202</v>
      </c>
      <c r="CA103" s="8" t="s">
        <v>201</v>
      </c>
      <c r="CB103" s="8" t="s">
        <v>202</v>
      </c>
      <c r="CC103" s="8" t="s">
        <v>201</v>
      </c>
      <c r="CD103" s="8" t="s">
        <v>201</v>
      </c>
      <c r="CE103" s="8" t="s">
        <v>203</v>
      </c>
      <c r="CF103" s="8" t="s">
        <v>201</v>
      </c>
      <c r="CG103" s="8"/>
      <c r="CH103" s="8" t="s">
        <v>207</v>
      </c>
      <c r="CI103" s="8" t="s">
        <v>208</v>
      </c>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t="s">
        <v>236</v>
      </c>
      <c r="DQ103" s="8"/>
      <c r="DR103" s="8"/>
      <c r="DS103" s="8"/>
      <c r="DT103" s="8"/>
      <c r="DU103" s="8"/>
      <c r="DV103" s="8"/>
      <c r="DW103" s="8" t="s">
        <v>208</v>
      </c>
      <c r="DX103" s="8" t="s">
        <v>246</v>
      </c>
      <c r="DY103" s="8" t="s">
        <v>247</v>
      </c>
      <c r="DZ103" s="8" t="s">
        <v>219</v>
      </c>
      <c r="EA103" s="8"/>
      <c r="EB103" s="8"/>
      <c r="EC103" s="8" t="s">
        <v>204</v>
      </c>
      <c r="ED103" s="8" t="s">
        <v>204</v>
      </c>
      <c r="EE103" s="8" t="s">
        <v>204</v>
      </c>
      <c r="EF103" s="8" t="s">
        <v>204</v>
      </c>
      <c r="EG103" s="8" t="s">
        <v>204</v>
      </c>
      <c r="EH103" s="8" t="s">
        <v>204</v>
      </c>
      <c r="EI103" s="8" t="s">
        <v>204</v>
      </c>
      <c r="EJ103" s="8" t="s">
        <v>204</v>
      </c>
      <c r="EK103" s="8" t="s">
        <v>204</v>
      </c>
      <c r="EL103" s="8" t="s">
        <v>204</v>
      </c>
      <c r="EM103" s="8" t="s">
        <v>201</v>
      </c>
      <c r="EN103" s="8" t="s">
        <v>202</v>
      </c>
      <c r="EO103" s="8" t="s">
        <v>201</v>
      </c>
      <c r="EP103" s="8"/>
      <c r="EQ103" s="8" t="s">
        <v>205</v>
      </c>
      <c r="ER103" s="8" t="s">
        <v>205</v>
      </c>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t="s">
        <v>201</v>
      </c>
      <c r="FZ103" s="8" t="s">
        <v>201</v>
      </c>
      <c r="GA103" s="8" t="s">
        <v>201</v>
      </c>
      <c r="GB103" s="8" t="s">
        <v>201</v>
      </c>
      <c r="GC103" s="8" t="s">
        <v>204</v>
      </c>
      <c r="GD103" s="8"/>
      <c r="GE103" s="8" t="s">
        <v>202</v>
      </c>
      <c r="GF103" s="8" t="s">
        <v>201</v>
      </c>
      <c r="GG103" s="8" t="s">
        <v>201</v>
      </c>
      <c r="GH103" s="8" t="s">
        <v>202</v>
      </c>
      <c r="GI103" s="8" t="s">
        <v>203</v>
      </c>
      <c r="GJ103" s="8" t="s">
        <v>201</v>
      </c>
      <c r="GK103" s="8"/>
      <c r="GL103" s="10">
        <f>DATE(2025,6,9)+TIME(18,46,26)</f>
        <v>45817.78224537037</v>
      </c>
    </row>
    <row r="104" spans="1:194" ht="362.25" x14ac:dyDescent="0.25">
      <c r="A104" s="3" t="s">
        <v>327</v>
      </c>
      <c r="B104" s="3" t="s">
        <v>328</v>
      </c>
      <c r="C104" s="3" t="s">
        <v>329</v>
      </c>
      <c r="D104" s="3" t="s">
        <v>727</v>
      </c>
      <c r="E104" s="3"/>
      <c r="F104" s="3" t="s">
        <v>269</v>
      </c>
      <c r="G104" s="3"/>
      <c r="H104" s="3"/>
      <c r="I104" s="3"/>
      <c r="J104" s="3"/>
      <c r="K104" s="3"/>
      <c r="L104" s="3"/>
      <c r="M104" s="3"/>
      <c r="N104" s="3"/>
      <c r="O104" s="3"/>
      <c r="P104" s="3"/>
      <c r="Q104" s="3"/>
      <c r="R104" s="3"/>
      <c r="S104" s="3"/>
      <c r="T104" s="3"/>
      <c r="U104" s="3"/>
      <c r="V104" s="3"/>
      <c r="W104" s="3" t="s">
        <v>728</v>
      </c>
      <c r="X104" s="3"/>
      <c r="Y104" s="3"/>
      <c r="Z104" s="3"/>
      <c r="AA104" s="3"/>
      <c r="AB104" s="3"/>
      <c r="AC104" s="3"/>
      <c r="AD104" s="3"/>
      <c r="AE104" s="3"/>
      <c r="AF104" s="4" t="s">
        <v>728</v>
      </c>
      <c r="AG104" s="3" t="s">
        <v>200</v>
      </c>
      <c r="AH104" s="3" t="s">
        <v>202</v>
      </c>
      <c r="AI104" s="3" t="s">
        <v>203</v>
      </c>
      <c r="AJ104" s="3" t="s">
        <v>204</v>
      </c>
      <c r="AK104" s="3" t="s">
        <v>203</v>
      </c>
      <c r="AL104" s="3" t="s">
        <v>202</v>
      </c>
      <c r="AM104" s="3" t="s">
        <v>204</v>
      </c>
      <c r="AN104" s="3" t="s">
        <v>204</v>
      </c>
      <c r="AO104" s="3" t="s">
        <v>204</v>
      </c>
      <c r="AP104" s="3" t="s">
        <v>204</v>
      </c>
      <c r="AQ104" s="3" t="s">
        <v>204</v>
      </c>
      <c r="AR104" s="3" t="s">
        <v>203</v>
      </c>
      <c r="AS104" s="3"/>
      <c r="AT104" s="3" t="s">
        <v>205</v>
      </c>
      <c r="AU104" s="3" t="s">
        <v>203</v>
      </c>
      <c r="AV104" s="3" t="s">
        <v>202</v>
      </c>
      <c r="AW104" s="3" t="s">
        <v>203</v>
      </c>
      <c r="AX104" s="3" t="s">
        <v>203</v>
      </c>
      <c r="AY104" s="3" t="s">
        <v>202</v>
      </c>
      <c r="AZ104" s="3" t="s">
        <v>203</v>
      </c>
      <c r="BA104" s="3" t="s">
        <v>201</v>
      </c>
      <c r="BB104" s="3" t="s">
        <v>201</v>
      </c>
      <c r="BC104" s="3" t="s">
        <v>203</v>
      </c>
      <c r="BD104" s="3" t="s">
        <v>203</v>
      </c>
      <c r="BE104" s="3" t="s">
        <v>204</v>
      </c>
      <c r="BF104" s="3" t="s">
        <v>204</v>
      </c>
      <c r="BG104" s="3" t="s">
        <v>204</v>
      </c>
      <c r="BH104" s="3" t="s">
        <v>204</v>
      </c>
      <c r="BI104" s="3" t="s">
        <v>204</v>
      </c>
      <c r="BJ104" s="3" t="s">
        <v>203</v>
      </c>
      <c r="BK104" s="3" t="s">
        <v>201</v>
      </c>
      <c r="BL104" s="3" t="s">
        <v>203</v>
      </c>
      <c r="BM104" s="3" t="s">
        <v>203</v>
      </c>
      <c r="BN104" s="3" t="s">
        <v>203</v>
      </c>
      <c r="BO104" s="3" t="s">
        <v>204</v>
      </c>
      <c r="BP104" s="3" t="s">
        <v>204</v>
      </c>
      <c r="BQ104" s="3" t="s">
        <v>204</v>
      </c>
      <c r="BR104" s="3" t="s">
        <v>204</v>
      </c>
      <c r="BS104" s="3"/>
      <c r="BT104" s="3" t="s">
        <v>271</v>
      </c>
      <c r="BU104" s="3" t="s">
        <v>202</v>
      </c>
      <c r="BV104" s="3" t="s">
        <v>203</v>
      </c>
      <c r="BW104" s="3" t="s">
        <v>201</v>
      </c>
      <c r="BX104" s="3" t="s">
        <v>202</v>
      </c>
      <c r="BY104" s="3" t="s">
        <v>203</v>
      </c>
      <c r="BZ104" s="3" t="s">
        <v>201</v>
      </c>
      <c r="CA104" s="3" t="s">
        <v>202</v>
      </c>
      <c r="CB104" s="3" t="s">
        <v>203</v>
      </c>
      <c r="CC104" s="3" t="s">
        <v>201</v>
      </c>
      <c r="CD104" s="3" t="s">
        <v>202</v>
      </c>
      <c r="CE104" s="3" t="s">
        <v>203</v>
      </c>
      <c r="CF104" s="3" t="s">
        <v>201</v>
      </c>
      <c r="CG104" s="3"/>
      <c r="CH104" s="3" t="s">
        <v>207</v>
      </c>
      <c r="CI104" s="3" t="s">
        <v>207</v>
      </c>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t="s">
        <v>236</v>
      </c>
      <c r="DQ104" s="3"/>
      <c r="DR104" s="3"/>
      <c r="DS104" s="3"/>
      <c r="DT104" s="3"/>
      <c r="DU104" s="3"/>
      <c r="DV104" s="3"/>
      <c r="DW104" s="3" t="s">
        <v>228</v>
      </c>
      <c r="DX104" s="3"/>
      <c r="DY104" s="3"/>
      <c r="DZ104" s="3"/>
      <c r="EA104" s="3"/>
      <c r="EB104" s="3"/>
      <c r="EC104" s="3"/>
      <c r="ED104" s="3"/>
      <c r="EE104" s="3"/>
      <c r="EF104" s="3" t="s">
        <v>201</v>
      </c>
      <c r="EG104" s="3" t="s">
        <v>203</v>
      </c>
      <c r="EH104" s="3" t="s">
        <v>203</v>
      </c>
      <c r="EI104" s="3" t="s">
        <v>201</v>
      </c>
      <c r="EJ104" s="3" t="s">
        <v>201</v>
      </c>
      <c r="EK104" s="3" t="s">
        <v>201</v>
      </c>
      <c r="EL104" s="3" t="s">
        <v>201</v>
      </c>
      <c r="EM104" s="3"/>
      <c r="EN104" s="3"/>
      <c r="EO104" s="3"/>
      <c r="EP104" s="3"/>
      <c r="EQ104" s="3" t="s">
        <v>205</v>
      </c>
      <c r="ER104" s="3" t="s">
        <v>205</v>
      </c>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t="s">
        <v>202</v>
      </c>
      <c r="FZ104" s="3" t="s">
        <v>203</v>
      </c>
      <c r="GA104" s="3" t="s">
        <v>202</v>
      </c>
      <c r="GB104" s="3" t="s">
        <v>203</v>
      </c>
      <c r="GC104" s="3" t="s">
        <v>204</v>
      </c>
      <c r="GD104" s="3"/>
      <c r="GE104" s="3" t="s">
        <v>202</v>
      </c>
      <c r="GF104" s="3" t="s">
        <v>203</v>
      </c>
      <c r="GG104" s="3" t="s">
        <v>202</v>
      </c>
      <c r="GH104" s="3" t="s">
        <v>203</v>
      </c>
      <c r="GI104" s="3" t="s">
        <v>202</v>
      </c>
      <c r="GJ104" s="3" t="s">
        <v>202</v>
      </c>
      <c r="GK104" s="3" t="s">
        <v>729</v>
      </c>
      <c r="GL104" s="5">
        <f>DATE(2025,6,4)+TIME(16,28,44)</f>
        <v>45812.686620370368</v>
      </c>
    </row>
    <row r="105" spans="1:194" ht="409.5" x14ac:dyDescent="0.25">
      <c r="A105" s="6" t="s">
        <v>730</v>
      </c>
      <c r="B105" s="6" t="s">
        <v>731</v>
      </c>
      <c r="C105" s="6" t="s">
        <v>732</v>
      </c>
      <c r="D105" s="6" t="s">
        <v>733</v>
      </c>
      <c r="E105" s="6"/>
      <c r="F105" s="6" t="s">
        <v>416</v>
      </c>
      <c r="G105" s="6"/>
      <c r="H105" s="6"/>
      <c r="I105" s="6"/>
      <c r="J105" s="6"/>
      <c r="K105" s="6"/>
      <c r="L105" s="6"/>
      <c r="M105" s="6"/>
      <c r="N105" s="6"/>
      <c r="O105" s="6"/>
      <c r="P105" s="6" t="s">
        <v>734</v>
      </c>
      <c r="Q105" s="6"/>
      <c r="R105" s="6"/>
      <c r="S105" s="6"/>
      <c r="T105" s="6"/>
      <c r="U105" s="6"/>
      <c r="V105" s="6"/>
      <c r="W105" s="6"/>
      <c r="X105" s="6"/>
      <c r="Y105" s="6"/>
      <c r="Z105" s="6"/>
      <c r="AA105" s="6"/>
      <c r="AB105" s="6"/>
      <c r="AC105" s="6"/>
      <c r="AD105" s="6"/>
      <c r="AE105" s="6"/>
      <c r="AF105" s="4" t="s">
        <v>734</v>
      </c>
      <c r="AG105" s="6" t="s">
        <v>235</v>
      </c>
      <c r="AH105" s="6" t="s">
        <v>201</v>
      </c>
      <c r="AI105" s="6" t="s">
        <v>202</v>
      </c>
      <c r="AJ105" s="6" t="s">
        <v>202</v>
      </c>
      <c r="AK105" s="6" t="s">
        <v>202</v>
      </c>
      <c r="AL105" s="6" t="s">
        <v>202</v>
      </c>
      <c r="AM105" s="6" t="s">
        <v>202</v>
      </c>
      <c r="AN105" s="6" t="s">
        <v>202</v>
      </c>
      <c r="AO105" s="6" t="s">
        <v>202</v>
      </c>
      <c r="AP105" s="6" t="s">
        <v>202</v>
      </c>
      <c r="AQ105" s="6" t="s">
        <v>201</v>
      </c>
      <c r="AR105" s="6" t="s">
        <v>202</v>
      </c>
      <c r="AS105" s="6"/>
      <c r="AT105" s="6" t="s">
        <v>202</v>
      </c>
      <c r="AU105" s="6" t="s">
        <v>202</v>
      </c>
      <c r="AV105" s="6" t="s">
        <v>203</v>
      </c>
      <c r="AW105" s="6" t="s">
        <v>202</v>
      </c>
      <c r="AX105" s="6" t="s">
        <v>202</v>
      </c>
      <c r="AY105" s="6" t="s">
        <v>202</v>
      </c>
      <c r="AZ105" s="6" t="s">
        <v>202</v>
      </c>
      <c r="BA105" s="6" t="s">
        <v>203</v>
      </c>
      <c r="BB105" s="6" t="s">
        <v>202</v>
      </c>
      <c r="BC105" s="6" t="s">
        <v>202</v>
      </c>
      <c r="BD105" s="6" t="s">
        <v>202</v>
      </c>
      <c r="BE105" s="6" t="s">
        <v>204</v>
      </c>
      <c r="BF105" s="6" t="s">
        <v>204</v>
      </c>
      <c r="BG105" s="6" t="s">
        <v>204</v>
      </c>
      <c r="BH105" s="6" t="s">
        <v>204</v>
      </c>
      <c r="BI105" s="6" t="s">
        <v>204</v>
      </c>
      <c r="BJ105" s="6" t="s">
        <v>202</v>
      </c>
      <c r="BK105" s="6" t="s">
        <v>203</v>
      </c>
      <c r="BL105" s="6" t="s">
        <v>202</v>
      </c>
      <c r="BM105" s="6" t="s">
        <v>203</v>
      </c>
      <c r="BN105" s="6" t="s">
        <v>202</v>
      </c>
      <c r="BO105" s="6" t="s">
        <v>202</v>
      </c>
      <c r="BP105" s="6" t="s">
        <v>202</v>
      </c>
      <c r="BQ105" s="6" t="s">
        <v>202</v>
      </c>
      <c r="BR105" s="6" t="s">
        <v>204</v>
      </c>
      <c r="BS105" s="6"/>
      <c r="BT105" s="6" t="s">
        <v>206</v>
      </c>
      <c r="BU105" s="6" t="s">
        <v>202</v>
      </c>
      <c r="BV105" s="6" t="s">
        <v>202</v>
      </c>
      <c r="BW105" s="6" t="s">
        <v>202</v>
      </c>
      <c r="BX105" s="6" t="s">
        <v>202</v>
      </c>
      <c r="BY105" s="6" t="s">
        <v>202</v>
      </c>
      <c r="BZ105" s="6" t="s">
        <v>202</v>
      </c>
      <c r="CA105" s="6" t="s">
        <v>203</v>
      </c>
      <c r="CB105" s="6" t="s">
        <v>203</v>
      </c>
      <c r="CC105" s="6" t="s">
        <v>203</v>
      </c>
      <c r="CD105" s="6" t="s">
        <v>203</v>
      </c>
      <c r="CE105" s="6" t="s">
        <v>203</v>
      </c>
      <c r="CF105" s="6" t="s">
        <v>203</v>
      </c>
      <c r="CG105" s="6"/>
      <c r="CH105" s="6" t="s">
        <v>207</v>
      </c>
      <c r="CI105" s="6" t="s">
        <v>207</v>
      </c>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t="s">
        <v>236</v>
      </c>
      <c r="DQ105" s="6"/>
      <c r="DR105" s="6"/>
      <c r="DS105" s="6"/>
      <c r="DT105" s="6"/>
      <c r="DU105" s="6"/>
      <c r="DV105" s="6"/>
      <c r="DW105" s="6" t="s">
        <v>207</v>
      </c>
      <c r="DX105" s="6"/>
      <c r="DY105" s="6"/>
      <c r="DZ105" s="6"/>
      <c r="EA105" s="6"/>
      <c r="EB105" s="6"/>
      <c r="EC105" s="6"/>
      <c r="ED105" s="6"/>
      <c r="EE105" s="6"/>
      <c r="EF105" s="6" t="s">
        <v>204</v>
      </c>
      <c r="EG105" s="6" t="s">
        <v>204</v>
      </c>
      <c r="EH105" s="6" t="s">
        <v>204</v>
      </c>
      <c r="EI105" s="6" t="s">
        <v>204</v>
      </c>
      <c r="EJ105" s="6" t="s">
        <v>204</v>
      </c>
      <c r="EK105" s="6" t="s">
        <v>204</v>
      </c>
      <c r="EL105" s="6" t="s">
        <v>204</v>
      </c>
      <c r="EM105" s="6"/>
      <c r="EN105" s="6"/>
      <c r="EO105" s="6"/>
      <c r="EP105" s="6"/>
      <c r="EQ105" s="6" t="s">
        <v>205</v>
      </c>
      <c r="ER105" s="6" t="s">
        <v>203</v>
      </c>
      <c r="ES105" s="6"/>
      <c r="ET105" s="6"/>
      <c r="EU105" s="6"/>
      <c r="EV105" s="6"/>
      <c r="EW105" s="6"/>
      <c r="EX105" s="6"/>
      <c r="EY105" s="6"/>
      <c r="EZ105" s="6"/>
      <c r="FA105" s="6"/>
      <c r="FB105" s="6"/>
      <c r="FC105" s="6"/>
      <c r="FD105" s="6"/>
      <c r="FE105" s="6"/>
      <c r="FF105" s="6"/>
      <c r="FG105" s="6"/>
      <c r="FH105" s="6" t="s">
        <v>202</v>
      </c>
      <c r="FI105" s="6" t="s">
        <v>202</v>
      </c>
      <c r="FJ105" s="6" t="s">
        <v>203</v>
      </c>
      <c r="FK105" s="6" t="s">
        <v>202</v>
      </c>
      <c r="FL105" s="6" t="s">
        <v>202</v>
      </c>
      <c r="FM105" s="6" t="s">
        <v>203</v>
      </c>
      <c r="FN105" s="6" t="s">
        <v>203</v>
      </c>
      <c r="FO105" s="6" t="s">
        <v>203</v>
      </c>
      <c r="FP105" s="6" t="s">
        <v>203</v>
      </c>
      <c r="FQ105" s="6" t="s">
        <v>203</v>
      </c>
      <c r="FR105" s="6" t="s">
        <v>204</v>
      </c>
      <c r="FS105" s="6" t="s">
        <v>204</v>
      </c>
      <c r="FT105" s="6" t="s">
        <v>204</v>
      </c>
      <c r="FU105" s="6" t="s">
        <v>204</v>
      </c>
      <c r="FV105" s="6"/>
      <c r="FW105" s="6" t="s">
        <v>238</v>
      </c>
      <c r="FX105" s="6"/>
      <c r="FY105" s="6" t="s">
        <v>202</v>
      </c>
      <c r="FZ105" s="6" t="s">
        <v>202</v>
      </c>
      <c r="GA105" s="6" t="s">
        <v>202</v>
      </c>
      <c r="GB105" s="6" t="s">
        <v>203</v>
      </c>
      <c r="GC105" s="6" t="s">
        <v>202</v>
      </c>
      <c r="GD105" s="6" t="s">
        <v>735</v>
      </c>
      <c r="GE105" s="6" t="s">
        <v>201</v>
      </c>
      <c r="GF105" s="6" t="s">
        <v>202</v>
      </c>
      <c r="GG105" s="6" t="s">
        <v>201</v>
      </c>
      <c r="GH105" s="6" t="s">
        <v>202</v>
      </c>
      <c r="GI105" s="6" t="s">
        <v>202</v>
      </c>
      <c r="GJ105" s="6" t="s">
        <v>202</v>
      </c>
      <c r="GK105" s="6" t="s">
        <v>736</v>
      </c>
      <c r="GL105" s="7">
        <f>DATE(2025,6,9)+TIME(10,40,35)</f>
        <v>45817.444849537038</v>
      </c>
    </row>
    <row r="106" spans="1:194" ht="47.25" x14ac:dyDescent="0.25">
      <c r="A106" s="3" t="s">
        <v>737</v>
      </c>
      <c r="B106" s="3" t="s">
        <v>738</v>
      </c>
      <c r="C106" s="3" t="s">
        <v>739</v>
      </c>
      <c r="D106" s="3" t="s">
        <v>740</v>
      </c>
      <c r="E106" s="3"/>
      <c r="F106" s="3" t="s">
        <v>262</v>
      </c>
      <c r="G106" s="3"/>
      <c r="H106" s="3"/>
      <c r="I106" s="3"/>
      <c r="J106" s="3" t="s">
        <v>741</v>
      </c>
      <c r="K106" s="3"/>
      <c r="L106" s="3"/>
      <c r="M106" s="3"/>
      <c r="N106" s="3"/>
      <c r="O106" s="3"/>
      <c r="P106" s="3"/>
      <c r="Q106" s="3"/>
      <c r="R106" s="3"/>
      <c r="S106" s="3"/>
      <c r="T106" s="3"/>
      <c r="U106" s="3"/>
      <c r="V106" s="3"/>
      <c r="W106" s="3"/>
      <c r="X106" s="3"/>
      <c r="Y106" s="3"/>
      <c r="Z106" s="3"/>
      <c r="AA106" s="3"/>
      <c r="AB106" s="3"/>
      <c r="AC106" s="3"/>
      <c r="AD106" s="3"/>
      <c r="AE106" s="3"/>
      <c r="AF106" s="4" t="s">
        <v>741</v>
      </c>
      <c r="AG106" s="3" t="s">
        <v>213</v>
      </c>
      <c r="AH106" s="3" t="s">
        <v>203</v>
      </c>
      <c r="AI106" s="3" t="s">
        <v>201</v>
      </c>
      <c r="AJ106" s="3" t="s">
        <v>204</v>
      </c>
      <c r="AK106" s="3" t="s">
        <v>202</v>
      </c>
      <c r="AL106" s="3" t="s">
        <v>204</v>
      </c>
      <c r="AM106" s="3" t="s">
        <v>204</v>
      </c>
      <c r="AN106" s="3" t="s">
        <v>204</v>
      </c>
      <c r="AO106" s="3" t="s">
        <v>204</v>
      </c>
      <c r="AP106" s="3" t="s">
        <v>201</v>
      </c>
      <c r="AQ106" s="3" t="s">
        <v>201</v>
      </c>
      <c r="AR106" s="3" t="s">
        <v>204</v>
      </c>
      <c r="AS106" s="3"/>
      <c r="AT106" s="3" t="s">
        <v>204</v>
      </c>
      <c r="AU106" s="3" t="s">
        <v>204</v>
      </c>
      <c r="AV106" s="3" t="s">
        <v>205</v>
      </c>
      <c r="AW106" s="3" t="s">
        <v>204</v>
      </c>
      <c r="AX106" s="3" t="s">
        <v>204</v>
      </c>
      <c r="AY106" s="3" t="s">
        <v>204</v>
      </c>
      <c r="AZ106" s="3" t="s">
        <v>201</v>
      </c>
      <c r="BA106" s="3" t="s">
        <v>205</v>
      </c>
      <c r="BB106" s="3" t="s">
        <v>201</v>
      </c>
      <c r="BC106" s="3" t="s">
        <v>201</v>
      </c>
      <c r="BD106" s="3" t="s">
        <v>204</v>
      </c>
      <c r="BE106" s="3" t="s">
        <v>204</v>
      </c>
      <c r="BF106" s="3" t="s">
        <v>204</v>
      </c>
      <c r="BG106" s="3" t="s">
        <v>204</v>
      </c>
      <c r="BH106" s="3" t="s">
        <v>204</v>
      </c>
      <c r="BI106" s="3" t="s">
        <v>204</v>
      </c>
      <c r="BJ106" s="3" t="s">
        <v>203</v>
      </c>
      <c r="BK106" s="3" t="s">
        <v>205</v>
      </c>
      <c r="BL106" s="3" t="s">
        <v>203</v>
      </c>
      <c r="BM106" s="3" t="s">
        <v>204</v>
      </c>
      <c r="BN106" s="3" t="s">
        <v>204</v>
      </c>
      <c r="BO106" s="3" t="s">
        <v>201</v>
      </c>
      <c r="BP106" s="3" t="s">
        <v>201</v>
      </c>
      <c r="BQ106" s="3" t="s">
        <v>204</v>
      </c>
      <c r="BR106" s="3" t="s">
        <v>204</v>
      </c>
      <c r="BS106" s="3"/>
      <c r="BT106" s="3" t="s">
        <v>210</v>
      </c>
      <c r="BU106" s="3" t="s">
        <v>201</v>
      </c>
      <c r="BV106" s="3" t="s">
        <v>201</v>
      </c>
      <c r="BW106" s="3" t="s">
        <v>201</v>
      </c>
      <c r="BX106" s="3" t="s">
        <v>201</v>
      </c>
      <c r="BY106" s="3" t="s">
        <v>201</v>
      </c>
      <c r="BZ106" s="3" t="s">
        <v>201</v>
      </c>
      <c r="CA106" s="3" t="s">
        <v>201</v>
      </c>
      <c r="CB106" s="3" t="s">
        <v>201</v>
      </c>
      <c r="CC106" s="3" t="s">
        <v>201</v>
      </c>
      <c r="CD106" s="3" t="s">
        <v>201</v>
      </c>
      <c r="CE106" s="3" t="s">
        <v>201</v>
      </c>
      <c r="CF106" s="3" t="s">
        <v>201</v>
      </c>
      <c r="CG106" s="3"/>
      <c r="CH106" s="3" t="s">
        <v>207</v>
      </c>
      <c r="CI106" s="3" t="s">
        <v>208</v>
      </c>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t="s">
        <v>742</v>
      </c>
      <c r="DW106" s="3" t="s">
        <v>228</v>
      </c>
      <c r="DX106" s="3"/>
      <c r="DY106" s="3"/>
      <c r="DZ106" s="3"/>
      <c r="EA106" s="3"/>
      <c r="EB106" s="3"/>
      <c r="EC106" s="3"/>
      <c r="ED106" s="3"/>
      <c r="EE106" s="3"/>
      <c r="EF106" s="3" t="s">
        <v>201</v>
      </c>
      <c r="EG106" s="3" t="s">
        <v>204</v>
      </c>
      <c r="EH106" s="3" t="s">
        <v>204</v>
      </c>
      <c r="EI106" s="3" t="s">
        <v>204</v>
      </c>
      <c r="EJ106" s="3" t="s">
        <v>201</v>
      </c>
      <c r="EK106" s="3" t="s">
        <v>201</v>
      </c>
      <c r="EL106" s="3" t="s">
        <v>201</v>
      </c>
      <c r="EM106" s="3" t="s">
        <v>202</v>
      </c>
      <c r="EN106" s="3" t="s">
        <v>205</v>
      </c>
      <c r="EO106" s="3" t="s">
        <v>203</v>
      </c>
      <c r="EP106" s="3"/>
      <c r="EQ106" s="3" t="s">
        <v>205</v>
      </c>
      <c r="ER106" s="3" t="s">
        <v>205</v>
      </c>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t="s">
        <v>201</v>
      </c>
      <c r="FZ106" s="3" t="s">
        <v>201</v>
      </c>
      <c r="GA106" s="3" t="s">
        <v>201</v>
      </c>
      <c r="GB106" s="3" t="s">
        <v>201</v>
      </c>
      <c r="GC106" s="3"/>
      <c r="GD106" s="3"/>
      <c r="GE106" s="3" t="s">
        <v>201</v>
      </c>
      <c r="GF106" s="3" t="s">
        <v>201</v>
      </c>
      <c r="GG106" s="3" t="s">
        <v>201</v>
      </c>
      <c r="GH106" s="3" t="s">
        <v>201</v>
      </c>
      <c r="GI106" s="3" t="s">
        <v>201</v>
      </c>
      <c r="GJ106" s="3" t="s">
        <v>201</v>
      </c>
      <c r="GK106" s="3"/>
      <c r="GL106" s="5">
        <f>DATE(2025,6,9)+TIME(17,7,46)</f>
        <v>45817.713726851849</v>
      </c>
    </row>
    <row r="107" spans="1:194" ht="409.5" x14ac:dyDescent="0.25">
      <c r="A107" s="6" t="s">
        <v>743</v>
      </c>
      <c r="B107" s="6" t="s">
        <v>744</v>
      </c>
      <c r="C107" s="6" t="s">
        <v>745</v>
      </c>
      <c r="D107" s="6" t="s">
        <v>746</v>
      </c>
      <c r="E107" s="6"/>
      <c r="F107" s="6" t="s">
        <v>198</v>
      </c>
      <c r="G107" s="6"/>
      <c r="H107" s="6"/>
      <c r="I107" s="6"/>
      <c r="J107" s="6"/>
      <c r="K107" s="6" t="s">
        <v>747</v>
      </c>
      <c r="L107" s="6"/>
      <c r="M107" s="6"/>
      <c r="N107" s="6"/>
      <c r="O107" s="6"/>
      <c r="P107" s="6"/>
      <c r="Q107" s="6"/>
      <c r="R107" s="6"/>
      <c r="S107" s="6"/>
      <c r="T107" s="6"/>
      <c r="U107" s="6"/>
      <c r="V107" s="6"/>
      <c r="W107" s="6"/>
      <c r="X107" s="6"/>
      <c r="Y107" s="6"/>
      <c r="Z107" s="6"/>
      <c r="AA107" s="6"/>
      <c r="AB107" s="6"/>
      <c r="AC107" s="6"/>
      <c r="AD107" s="6"/>
      <c r="AE107" s="6"/>
      <c r="AF107" s="4" t="s">
        <v>747</v>
      </c>
      <c r="AG107" s="6" t="s">
        <v>213</v>
      </c>
      <c r="AH107" s="6" t="s">
        <v>201</v>
      </c>
      <c r="AI107" s="6" t="s">
        <v>202</v>
      </c>
      <c r="AJ107" s="6" t="s">
        <v>202</v>
      </c>
      <c r="AK107" s="6" t="s">
        <v>201</v>
      </c>
      <c r="AL107" s="6" t="s">
        <v>201</v>
      </c>
      <c r="AM107" s="6" t="s">
        <v>201</v>
      </c>
      <c r="AN107" s="6" t="s">
        <v>205</v>
      </c>
      <c r="AO107" s="6" t="s">
        <v>201</v>
      </c>
      <c r="AP107" s="6" t="s">
        <v>203</v>
      </c>
      <c r="AQ107" s="6" t="s">
        <v>201</v>
      </c>
      <c r="AR107" s="6" t="s">
        <v>202</v>
      </c>
      <c r="AS107" s="6"/>
      <c r="AT107" s="6" t="s">
        <v>201</v>
      </c>
      <c r="AU107" s="6" t="s">
        <v>201</v>
      </c>
      <c r="AV107" s="6" t="s">
        <v>203</v>
      </c>
      <c r="AW107" s="6" t="s">
        <v>201</v>
      </c>
      <c r="AX107" s="6" t="s">
        <v>201</v>
      </c>
      <c r="AY107" s="6" t="s">
        <v>202</v>
      </c>
      <c r="AZ107" s="6" t="s">
        <v>202</v>
      </c>
      <c r="BA107" s="6" t="s">
        <v>202</v>
      </c>
      <c r="BB107" s="6" t="s">
        <v>201</v>
      </c>
      <c r="BC107" s="6" t="s">
        <v>201</v>
      </c>
      <c r="BD107" s="6" t="s">
        <v>202</v>
      </c>
      <c r="BE107" s="6" t="s">
        <v>204</v>
      </c>
      <c r="BF107" s="6" t="s">
        <v>205</v>
      </c>
      <c r="BG107" s="6" t="s">
        <v>205</v>
      </c>
      <c r="BH107" s="6" t="s">
        <v>205</v>
      </c>
      <c r="BI107" s="6" t="s">
        <v>204</v>
      </c>
      <c r="BJ107" s="6" t="s">
        <v>201</v>
      </c>
      <c r="BK107" s="6" t="s">
        <v>202</v>
      </c>
      <c r="BL107" s="6" t="s">
        <v>201</v>
      </c>
      <c r="BM107" s="6" t="s">
        <v>201</v>
      </c>
      <c r="BN107" s="6" t="s">
        <v>201</v>
      </c>
      <c r="BO107" s="6" t="s">
        <v>201</v>
      </c>
      <c r="BP107" s="6" t="s">
        <v>201</v>
      </c>
      <c r="BQ107" s="6" t="s">
        <v>204</v>
      </c>
      <c r="BR107" s="6" t="s">
        <v>204</v>
      </c>
      <c r="BS107" s="6"/>
      <c r="BT107" s="6" t="s">
        <v>210</v>
      </c>
      <c r="BU107" s="6" t="s">
        <v>201</v>
      </c>
      <c r="BV107" s="6" t="s">
        <v>202</v>
      </c>
      <c r="BW107" s="6" t="s">
        <v>201</v>
      </c>
      <c r="BX107" s="6" t="s">
        <v>201</v>
      </c>
      <c r="BY107" s="6" t="s">
        <v>202</v>
      </c>
      <c r="BZ107" s="6" t="s">
        <v>201</v>
      </c>
      <c r="CA107" s="6" t="s">
        <v>202</v>
      </c>
      <c r="CB107" s="6" t="s">
        <v>202</v>
      </c>
      <c r="CC107" s="6" t="s">
        <v>202</v>
      </c>
      <c r="CD107" s="6" t="s">
        <v>201</v>
      </c>
      <c r="CE107" s="6" t="s">
        <v>201</v>
      </c>
      <c r="CF107" s="6" t="s">
        <v>201</v>
      </c>
      <c r="CG107" s="6"/>
      <c r="CH107" s="6" t="s">
        <v>208</v>
      </c>
      <c r="CI107" s="6" t="s">
        <v>208</v>
      </c>
      <c r="CJ107" s="6" t="s">
        <v>201</v>
      </c>
      <c r="CK107" s="6" t="s">
        <v>201</v>
      </c>
      <c r="CL107" s="6" t="s">
        <v>201</v>
      </c>
      <c r="CM107" s="6" t="s">
        <v>202</v>
      </c>
      <c r="CN107" s="6" t="s">
        <v>202</v>
      </c>
      <c r="CO107" s="6" t="s">
        <v>201</v>
      </c>
      <c r="CP107" s="6" t="s">
        <v>201</v>
      </c>
      <c r="CQ107" s="6" t="s">
        <v>201</v>
      </c>
      <c r="CR107" s="6" t="s">
        <v>202</v>
      </c>
      <c r="CS107" s="6" t="s">
        <v>201</v>
      </c>
      <c r="CT107" s="6" t="s">
        <v>201</v>
      </c>
      <c r="CU107" s="6" t="s">
        <v>204</v>
      </c>
      <c r="CV107" s="6" t="s">
        <v>203</v>
      </c>
      <c r="CW107" s="6" t="s">
        <v>201</v>
      </c>
      <c r="CX107" s="6" t="s">
        <v>201</v>
      </c>
      <c r="CY107" s="6" t="s">
        <v>201</v>
      </c>
      <c r="CZ107" s="6" t="s">
        <v>201</v>
      </c>
      <c r="DA107" s="6" t="s">
        <v>204</v>
      </c>
      <c r="DB107" s="6" t="s">
        <v>264</v>
      </c>
      <c r="DC107" s="6" t="s">
        <v>258</v>
      </c>
      <c r="DD107" s="6"/>
      <c r="DE107" s="6" t="s">
        <v>355</v>
      </c>
      <c r="DF107" s="6" t="s">
        <v>217</v>
      </c>
      <c r="DG107" s="6"/>
      <c r="DH107" s="6" t="s">
        <v>202</v>
      </c>
      <c r="DI107" s="6" t="s">
        <v>201</v>
      </c>
      <c r="DJ107" s="6" t="s">
        <v>202</v>
      </c>
      <c r="DK107" s="6" t="s">
        <v>202</v>
      </c>
      <c r="DL107" s="6" t="s">
        <v>202</v>
      </c>
      <c r="DM107" s="6" t="s">
        <v>204</v>
      </c>
      <c r="DN107" s="6"/>
      <c r="DO107" s="6"/>
      <c r="DP107" s="6"/>
      <c r="DQ107" s="6"/>
      <c r="DR107" s="6"/>
      <c r="DS107" s="6"/>
      <c r="DT107" s="6"/>
      <c r="DU107" s="6"/>
      <c r="DV107" s="6"/>
      <c r="DW107" s="6" t="s">
        <v>208</v>
      </c>
      <c r="DX107" s="6" t="s">
        <v>246</v>
      </c>
      <c r="DY107" s="6" t="s">
        <v>247</v>
      </c>
      <c r="DZ107" s="6" t="s">
        <v>219</v>
      </c>
      <c r="EA107" s="6"/>
      <c r="EB107" s="6" t="s">
        <v>748</v>
      </c>
      <c r="EC107" s="6" t="s">
        <v>201</v>
      </c>
      <c r="ED107" s="6" t="s">
        <v>203</v>
      </c>
      <c r="EE107" s="6" t="s">
        <v>201</v>
      </c>
      <c r="EF107" s="6" t="s">
        <v>202</v>
      </c>
      <c r="EG107" s="6" t="s">
        <v>202</v>
      </c>
      <c r="EH107" s="6" t="s">
        <v>201</v>
      </c>
      <c r="EI107" s="6" t="s">
        <v>201</v>
      </c>
      <c r="EJ107" s="6" t="s">
        <v>201</v>
      </c>
      <c r="EK107" s="6" t="s">
        <v>201</v>
      </c>
      <c r="EL107" s="6" t="s">
        <v>201</v>
      </c>
      <c r="EM107" s="6" t="s">
        <v>201</v>
      </c>
      <c r="EN107" s="6" t="s">
        <v>203</v>
      </c>
      <c r="EO107" s="6" t="s">
        <v>203</v>
      </c>
      <c r="EP107" s="6"/>
      <c r="EQ107" s="6" t="s">
        <v>201</v>
      </c>
      <c r="ER107" s="6" t="s">
        <v>202</v>
      </c>
      <c r="ES107" s="6"/>
      <c r="ET107" s="6" t="s">
        <v>202</v>
      </c>
      <c r="EU107" s="6" t="s">
        <v>202</v>
      </c>
      <c r="EV107" s="6" t="s">
        <v>203</v>
      </c>
      <c r="EW107" s="6" t="s">
        <v>201</v>
      </c>
      <c r="EX107" s="6" t="s">
        <v>749</v>
      </c>
      <c r="EY107" s="6" t="s">
        <v>201</v>
      </c>
      <c r="EZ107" s="6" t="s">
        <v>203</v>
      </c>
      <c r="FA107" s="6" t="s">
        <v>202</v>
      </c>
      <c r="FB107" s="6" t="s">
        <v>202</v>
      </c>
      <c r="FC107" s="6" t="s">
        <v>201</v>
      </c>
      <c r="FD107" s="6" t="s">
        <v>201</v>
      </c>
      <c r="FE107" s="6" t="s">
        <v>202</v>
      </c>
      <c r="FF107" s="6" t="s">
        <v>202</v>
      </c>
      <c r="FG107" s="6" t="s">
        <v>201</v>
      </c>
      <c r="FH107" s="6" t="s">
        <v>202</v>
      </c>
      <c r="FI107" s="6" t="s">
        <v>202</v>
      </c>
      <c r="FJ107" s="6" t="s">
        <v>202</v>
      </c>
      <c r="FK107" s="6" t="s">
        <v>202</v>
      </c>
      <c r="FL107" s="6" t="s">
        <v>202</v>
      </c>
      <c r="FM107" s="6" t="s">
        <v>202</v>
      </c>
      <c r="FN107" s="6" t="s">
        <v>202</v>
      </c>
      <c r="FO107" s="6" t="s">
        <v>202</v>
      </c>
      <c r="FP107" s="6" t="s">
        <v>202</v>
      </c>
      <c r="FQ107" s="6" t="s">
        <v>202</v>
      </c>
      <c r="FR107" s="6" t="s">
        <v>201</v>
      </c>
      <c r="FS107" s="6" t="s">
        <v>202</v>
      </c>
      <c r="FT107" s="6" t="s">
        <v>202</v>
      </c>
      <c r="FU107" s="6"/>
      <c r="FV107" s="6"/>
      <c r="FW107" s="6" t="s">
        <v>210</v>
      </c>
      <c r="FX107" s="6"/>
      <c r="FY107" s="6" t="s">
        <v>201</v>
      </c>
      <c r="FZ107" s="6" t="s">
        <v>201</v>
      </c>
      <c r="GA107" s="6" t="s">
        <v>201</v>
      </c>
      <c r="GB107" s="6" t="s">
        <v>201</v>
      </c>
      <c r="GC107" s="6"/>
      <c r="GD107" s="6"/>
      <c r="GE107" s="6" t="s">
        <v>202</v>
      </c>
      <c r="GF107" s="6" t="s">
        <v>201</v>
      </c>
      <c r="GG107" s="6" t="s">
        <v>202</v>
      </c>
      <c r="GH107" s="6" t="s">
        <v>202</v>
      </c>
      <c r="GI107" s="6" t="s">
        <v>201</v>
      </c>
      <c r="GJ107" s="6" t="s">
        <v>201</v>
      </c>
      <c r="GK107" s="6" t="s">
        <v>750</v>
      </c>
      <c r="GL107" s="7">
        <f>DATE(2025,6,5)+TIME(22,10,50)</f>
        <v>45813.924189814818</v>
      </c>
    </row>
    <row r="108" spans="1:194" ht="330.75" x14ac:dyDescent="0.25">
      <c r="A108" s="3" t="s">
        <v>751</v>
      </c>
      <c r="B108" s="3" t="s">
        <v>752</v>
      </c>
      <c r="C108" s="3" t="s">
        <v>753</v>
      </c>
      <c r="D108" s="3" t="s">
        <v>754</v>
      </c>
      <c r="E108" s="3"/>
      <c r="F108" s="3" t="s">
        <v>423</v>
      </c>
      <c r="G108" s="3"/>
      <c r="H108" s="3"/>
      <c r="I108" s="3"/>
      <c r="J108" s="3"/>
      <c r="K108" s="3"/>
      <c r="L108" s="3"/>
      <c r="M108" s="3"/>
      <c r="N108" s="3"/>
      <c r="O108" s="3"/>
      <c r="P108" s="3"/>
      <c r="Q108" s="3"/>
      <c r="R108" s="3"/>
      <c r="S108" s="3"/>
      <c r="T108" s="3" t="s">
        <v>755</v>
      </c>
      <c r="U108" s="3"/>
      <c r="V108" s="3"/>
      <c r="W108" s="3"/>
      <c r="X108" s="3"/>
      <c r="Y108" s="3"/>
      <c r="Z108" s="3"/>
      <c r="AA108" s="3"/>
      <c r="AB108" s="3"/>
      <c r="AC108" s="3"/>
      <c r="AD108" s="3"/>
      <c r="AE108" s="3"/>
      <c r="AF108" s="4" t="s">
        <v>755</v>
      </c>
      <c r="AG108" s="3" t="s">
        <v>235</v>
      </c>
      <c r="AH108" s="3" t="s">
        <v>201</v>
      </c>
      <c r="AI108" s="3" t="s">
        <v>202</v>
      </c>
      <c r="AJ108" s="3" t="s">
        <v>204</v>
      </c>
      <c r="AK108" s="3" t="s">
        <v>201</v>
      </c>
      <c r="AL108" s="3" t="s">
        <v>201</v>
      </c>
      <c r="AM108" s="3" t="s">
        <v>204</v>
      </c>
      <c r="AN108" s="3" t="s">
        <v>204</v>
      </c>
      <c r="AO108" s="3" t="s">
        <v>202</v>
      </c>
      <c r="AP108" s="3" t="s">
        <v>201</v>
      </c>
      <c r="AQ108" s="3" t="s">
        <v>201</v>
      </c>
      <c r="AR108" s="3" t="s">
        <v>201</v>
      </c>
      <c r="AS108" s="3"/>
      <c r="AT108" s="3" t="s">
        <v>202</v>
      </c>
      <c r="AU108" s="3" t="s">
        <v>201</v>
      </c>
      <c r="AV108" s="3" t="s">
        <v>205</v>
      </c>
      <c r="AW108" s="3" t="s">
        <v>201</v>
      </c>
      <c r="AX108" s="3" t="s">
        <v>202</v>
      </c>
      <c r="AY108" s="3" t="s">
        <v>204</v>
      </c>
      <c r="AZ108" s="3" t="s">
        <v>202</v>
      </c>
      <c r="BA108" s="3" t="s">
        <v>205</v>
      </c>
      <c r="BB108" s="3" t="s">
        <v>202</v>
      </c>
      <c r="BC108" s="3" t="s">
        <v>202</v>
      </c>
      <c r="BD108" s="3" t="s">
        <v>204</v>
      </c>
      <c r="BE108" s="3" t="s">
        <v>204</v>
      </c>
      <c r="BF108" s="3" t="s">
        <v>204</v>
      </c>
      <c r="BG108" s="3" t="s">
        <v>204</v>
      </c>
      <c r="BH108" s="3" t="s">
        <v>204</v>
      </c>
      <c r="BI108" s="3" t="s">
        <v>204</v>
      </c>
      <c r="BJ108" s="3" t="s">
        <v>201</v>
      </c>
      <c r="BK108" s="3" t="s">
        <v>205</v>
      </c>
      <c r="BL108" s="3" t="s">
        <v>201</v>
      </c>
      <c r="BM108" s="3" t="s">
        <v>202</v>
      </c>
      <c r="BN108" s="3" t="s">
        <v>204</v>
      </c>
      <c r="BO108" s="3" t="s">
        <v>201</v>
      </c>
      <c r="BP108" s="3" t="s">
        <v>203</v>
      </c>
      <c r="BQ108" s="3" t="s">
        <v>202</v>
      </c>
      <c r="BR108" s="3" t="s">
        <v>203</v>
      </c>
      <c r="BS108" s="3" t="s">
        <v>756</v>
      </c>
      <c r="BT108" s="3" t="s">
        <v>210</v>
      </c>
      <c r="BU108" s="3" t="s">
        <v>201</v>
      </c>
      <c r="BV108" s="3" t="s">
        <v>201</v>
      </c>
      <c r="BW108" s="3" t="s">
        <v>201</v>
      </c>
      <c r="BX108" s="3" t="s">
        <v>201</v>
      </c>
      <c r="BY108" s="3" t="s">
        <v>201</v>
      </c>
      <c r="BZ108" s="3" t="s">
        <v>201</v>
      </c>
      <c r="CA108" s="3" t="s">
        <v>201</v>
      </c>
      <c r="CB108" s="3" t="s">
        <v>201</v>
      </c>
      <c r="CC108" s="3" t="s">
        <v>201</v>
      </c>
      <c r="CD108" s="3" t="s">
        <v>201</v>
      </c>
      <c r="CE108" s="3" t="s">
        <v>201</v>
      </c>
      <c r="CF108" s="3" t="s">
        <v>201</v>
      </c>
      <c r="CG108" s="3"/>
      <c r="CH108" s="3" t="s">
        <v>207</v>
      </c>
      <c r="CI108" s="3" t="s">
        <v>207</v>
      </c>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t="s">
        <v>237</v>
      </c>
      <c r="DR108" s="3"/>
      <c r="DS108" s="3"/>
      <c r="DT108" s="3"/>
      <c r="DU108" s="3"/>
      <c r="DV108" s="3" t="s">
        <v>757</v>
      </c>
      <c r="DW108" s="3" t="s">
        <v>208</v>
      </c>
      <c r="DX108" s="3" t="s">
        <v>246</v>
      </c>
      <c r="DY108" s="3" t="s">
        <v>247</v>
      </c>
      <c r="DZ108" s="3" t="s">
        <v>219</v>
      </c>
      <c r="EA108" s="3"/>
      <c r="EB108" s="3"/>
      <c r="EC108" s="3" t="s">
        <v>204</v>
      </c>
      <c r="ED108" s="3" t="s">
        <v>204</v>
      </c>
      <c r="EE108" s="3" t="s">
        <v>204</v>
      </c>
      <c r="EF108" s="3" t="s">
        <v>201</v>
      </c>
      <c r="EG108" s="3" t="s">
        <v>204</v>
      </c>
      <c r="EH108" s="3" t="s">
        <v>204</v>
      </c>
      <c r="EI108" s="3" t="s">
        <v>204</v>
      </c>
      <c r="EJ108" s="3" t="s">
        <v>204</v>
      </c>
      <c r="EK108" s="3" t="s">
        <v>204</v>
      </c>
      <c r="EL108" s="3" t="s">
        <v>204</v>
      </c>
      <c r="EM108" s="3"/>
      <c r="EN108" s="3"/>
      <c r="EO108" s="3"/>
      <c r="EP108" s="3"/>
      <c r="EQ108" s="3" t="s">
        <v>203</v>
      </c>
      <c r="ER108" s="3" t="s">
        <v>202</v>
      </c>
      <c r="ES108" s="3"/>
      <c r="ET108" s="3" t="s">
        <v>202</v>
      </c>
      <c r="EU108" s="3" t="s">
        <v>202</v>
      </c>
      <c r="EV108" s="3" t="s">
        <v>202</v>
      </c>
      <c r="EW108" s="3"/>
      <c r="EX108" s="3"/>
      <c r="EY108" s="3" t="s">
        <v>204</v>
      </c>
      <c r="EZ108" s="3" t="s">
        <v>204</v>
      </c>
      <c r="FA108" s="3" t="s">
        <v>204</v>
      </c>
      <c r="FB108" s="3" t="s">
        <v>204</v>
      </c>
      <c r="FC108" s="3" t="s">
        <v>204</v>
      </c>
      <c r="FD108" s="3" t="s">
        <v>204</v>
      </c>
      <c r="FE108" s="3" t="s">
        <v>204</v>
      </c>
      <c r="FF108" s="3" t="s">
        <v>204</v>
      </c>
      <c r="FG108" s="3" t="s">
        <v>204</v>
      </c>
      <c r="FH108" s="3" t="s">
        <v>201</v>
      </c>
      <c r="FI108" s="3" t="s">
        <v>201</v>
      </c>
      <c r="FJ108" s="3" t="s">
        <v>205</v>
      </c>
      <c r="FK108" s="3" t="s">
        <v>203</v>
      </c>
      <c r="FL108" s="3" t="s">
        <v>202</v>
      </c>
      <c r="FM108" s="3" t="s">
        <v>202</v>
      </c>
      <c r="FN108" s="3" t="s">
        <v>204</v>
      </c>
      <c r="FO108" s="3" t="s">
        <v>203</v>
      </c>
      <c r="FP108" s="3" t="s">
        <v>203</v>
      </c>
      <c r="FQ108" s="3" t="s">
        <v>203</v>
      </c>
      <c r="FR108" s="3" t="s">
        <v>201</v>
      </c>
      <c r="FS108" s="3" t="s">
        <v>202</v>
      </c>
      <c r="FT108" s="3" t="s">
        <v>202</v>
      </c>
      <c r="FU108" s="3"/>
      <c r="FV108" s="3"/>
      <c r="FW108" s="3" t="s">
        <v>210</v>
      </c>
      <c r="FX108" s="3"/>
      <c r="FY108" s="3" t="s">
        <v>201</v>
      </c>
      <c r="FZ108" s="3" t="s">
        <v>202</v>
      </c>
      <c r="GA108" s="3" t="s">
        <v>202</v>
      </c>
      <c r="GB108" s="3" t="s">
        <v>201</v>
      </c>
      <c r="GC108" s="3"/>
      <c r="GD108" s="3"/>
      <c r="GE108" s="3" t="s">
        <v>201</v>
      </c>
      <c r="GF108" s="3" t="s">
        <v>201</v>
      </c>
      <c r="GG108" s="3" t="s">
        <v>201</v>
      </c>
      <c r="GH108" s="3" t="s">
        <v>202</v>
      </c>
      <c r="GI108" s="3" t="s">
        <v>202</v>
      </c>
      <c r="GJ108" s="3" t="s">
        <v>202</v>
      </c>
      <c r="GK108" s="3" t="s">
        <v>758</v>
      </c>
      <c r="GL108" s="5">
        <f>DATE(2025,6,4)+TIME(12,40,4)</f>
        <v>45812.527824074074</v>
      </c>
    </row>
    <row r="109" spans="1:194" ht="78.75" x14ac:dyDescent="0.25">
      <c r="A109" s="6" t="s">
        <v>759</v>
      </c>
      <c r="B109" s="6" t="s">
        <v>760</v>
      </c>
      <c r="C109" s="6" t="s">
        <v>761</v>
      </c>
      <c r="D109" s="6" t="s">
        <v>762</v>
      </c>
      <c r="E109" s="6"/>
      <c r="F109" s="6" t="s">
        <v>582</v>
      </c>
      <c r="G109" s="6" t="s">
        <v>763</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4" t="s">
        <v>763</v>
      </c>
      <c r="AG109" s="6" t="s">
        <v>235</v>
      </c>
      <c r="AH109" s="6" t="s">
        <v>201</v>
      </c>
      <c r="AI109" s="6" t="s">
        <v>201</v>
      </c>
      <c r="AJ109" s="6" t="s">
        <v>204</v>
      </c>
      <c r="AK109" s="6" t="s">
        <v>201</v>
      </c>
      <c r="AL109" s="6" t="s">
        <v>201</v>
      </c>
      <c r="AM109" s="6" t="s">
        <v>204</v>
      </c>
      <c r="AN109" s="6" t="s">
        <v>204</v>
      </c>
      <c r="AO109" s="6" t="s">
        <v>201</v>
      </c>
      <c r="AP109" s="6" t="s">
        <v>201</v>
      </c>
      <c r="AQ109" s="6" t="s">
        <v>201</v>
      </c>
      <c r="AR109" s="6" t="s">
        <v>201</v>
      </c>
      <c r="AS109" s="6"/>
      <c r="AT109" s="6" t="s">
        <v>201</v>
      </c>
      <c r="AU109" s="6" t="s">
        <v>204</v>
      </c>
      <c r="AV109" s="6" t="s">
        <v>203</v>
      </c>
      <c r="AW109" s="6" t="s">
        <v>201</v>
      </c>
      <c r="AX109" s="6" t="s">
        <v>202</v>
      </c>
      <c r="AY109" s="6" t="s">
        <v>201</v>
      </c>
      <c r="AZ109" s="6" t="s">
        <v>203</v>
      </c>
      <c r="BA109" s="6" t="s">
        <v>203</v>
      </c>
      <c r="BB109" s="6" t="s">
        <v>201</v>
      </c>
      <c r="BC109" s="6" t="s">
        <v>202</v>
      </c>
      <c r="BD109" s="6" t="s">
        <v>201</v>
      </c>
      <c r="BE109" s="6" t="s">
        <v>204</v>
      </c>
      <c r="BF109" s="6" t="s">
        <v>204</v>
      </c>
      <c r="BG109" s="6" t="s">
        <v>204</v>
      </c>
      <c r="BH109" s="6" t="s">
        <v>204</v>
      </c>
      <c r="BI109" s="6" t="s">
        <v>204</v>
      </c>
      <c r="BJ109" s="6" t="s">
        <v>203</v>
      </c>
      <c r="BK109" s="6" t="s">
        <v>203</v>
      </c>
      <c r="BL109" s="6" t="s">
        <v>201</v>
      </c>
      <c r="BM109" s="6" t="s">
        <v>202</v>
      </c>
      <c r="BN109" s="6" t="s">
        <v>201</v>
      </c>
      <c r="BO109" s="6" t="s">
        <v>201</v>
      </c>
      <c r="BP109" s="6" t="s">
        <v>204</v>
      </c>
      <c r="BQ109" s="6" t="s">
        <v>202</v>
      </c>
      <c r="BR109" s="6" t="s">
        <v>204</v>
      </c>
      <c r="BS109" s="6"/>
      <c r="BT109" s="6" t="s">
        <v>206</v>
      </c>
      <c r="BU109" s="6" t="s">
        <v>201</v>
      </c>
      <c r="BV109" s="6" t="s">
        <v>201</v>
      </c>
      <c r="BW109" s="6" t="s">
        <v>201</v>
      </c>
      <c r="BX109" s="6" t="s">
        <v>201</v>
      </c>
      <c r="BY109" s="6" t="s">
        <v>201</v>
      </c>
      <c r="BZ109" s="6" t="s">
        <v>201</v>
      </c>
      <c r="CA109" s="6" t="s">
        <v>202</v>
      </c>
      <c r="CB109" s="6" t="s">
        <v>202</v>
      </c>
      <c r="CC109" s="6" t="s">
        <v>202</v>
      </c>
      <c r="CD109" s="6" t="s">
        <v>202</v>
      </c>
      <c r="CE109" s="6" t="s">
        <v>202</v>
      </c>
      <c r="CF109" s="6" t="s">
        <v>202</v>
      </c>
      <c r="CG109" s="6"/>
      <c r="CH109" s="6" t="s">
        <v>207</v>
      </c>
      <c r="CI109" s="6" t="s">
        <v>207</v>
      </c>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t="s">
        <v>214</v>
      </c>
      <c r="DU109" s="6"/>
      <c r="DV109" s="6"/>
      <c r="DW109" s="6" t="s">
        <v>208</v>
      </c>
      <c r="DX109" s="6" t="s">
        <v>246</v>
      </c>
      <c r="DY109" s="6"/>
      <c r="DZ109" s="6"/>
      <c r="EA109" s="6"/>
      <c r="EB109" s="6" t="s">
        <v>764</v>
      </c>
      <c r="EC109" s="6" t="s">
        <v>204</v>
      </c>
      <c r="ED109" s="6" t="s">
        <v>203</v>
      </c>
      <c r="EE109" s="6" t="s">
        <v>204</v>
      </c>
      <c r="EF109" s="6" t="s">
        <v>201</v>
      </c>
      <c r="EG109" s="6" t="s">
        <v>202</v>
      </c>
      <c r="EH109" s="6" t="s">
        <v>202</v>
      </c>
      <c r="EI109" s="6" t="s">
        <v>201</v>
      </c>
      <c r="EJ109" s="6" t="s">
        <v>201</v>
      </c>
      <c r="EK109" s="6" t="s">
        <v>201</v>
      </c>
      <c r="EL109" s="6" t="s">
        <v>201</v>
      </c>
      <c r="EM109" s="6"/>
      <c r="EN109" s="6"/>
      <c r="EO109" s="6"/>
      <c r="EP109" s="6"/>
      <c r="EQ109" s="6" t="s">
        <v>202</v>
      </c>
      <c r="ER109" s="6" t="s">
        <v>205</v>
      </c>
      <c r="ES109" s="6"/>
      <c r="ET109" s="6" t="s">
        <v>201</v>
      </c>
      <c r="EU109" s="6" t="s">
        <v>203</v>
      </c>
      <c r="EV109" s="6" t="s">
        <v>204</v>
      </c>
      <c r="EW109" s="6" t="s">
        <v>204</v>
      </c>
      <c r="EX109" s="6"/>
      <c r="EY109" s="6" t="s">
        <v>204</v>
      </c>
      <c r="EZ109" s="6" t="s">
        <v>204</v>
      </c>
      <c r="FA109" s="6" t="s">
        <v>204</v>
      </c>
      <c r="FB109" s="6" t="s">
        <v>204</v>
      </c>
      <c r="FC109" s="6" t="s">
        <v>204</v>
      </c>
      <c r="FD109" s="6" t="s">
        <v>204</v>
      </c>
      <c r="FE109" s="6" t="s">
        <v>204</v>
      </c>
      <c r="FF109" s="6" t="s">
        <v>204</v>
      </c>
      <c r="FG109" s="6" t="s">
        <v>204</v>
      </c>
      <c r="FH109" s="6"/>
      <c r="FI109" s="6"/>
      <c r="FJ109" s="6"/>
      <c r="FK109" s="6"/>
      <c r="FL109" s="6"/>
      <c r="FM109" s="6"/>
      <c r="FN109" s="6"/>
      <c r="FO109" s="6"/>
      <c r="FP109" s="6"/>
      <c r="FQ109" s="6"/>
      <c r="FR109" s="6" t="s">
        <v>201</v>
      </c>
      <c r="FS109" s="6" t="s">
        <v>201</v>
      </c>
      <c r="FT109" s="6" t="s">
        <v>201</v>
      </c>
      <c r="FU109" s="6" t="s">
        <v>204</v>
      </c>
      <c r="FV109" s="6"/>
      <c r="FW109" s="6" t="s">
        <v>238</v>
      </c>
      <c r="FX109" s="6"/>
      <c r="FY109" s="6" t="s">
        <v>201</v>
      </c>
      <c r="FZ109" s="6" t="s">
        <v>201</v>
      </c>
      <c r="GA109" s="6" t="s">
        <v>201</v>
      </c>
      <c r="GB109" s="6" t="s">
        <v>201</v>
      </c>
      <c r="GC109" s="6" t="s">
        <v>204</v>
      </c>
      <c r="GD109" s="6"/>
      <c r="GE109" s="6" t="s">
        <v>203</v>
      </c>
      <c r="GF109" s="6" t="s">
        <v>201</v>
      </c>
      <c r="GG109" s="6" t="s">
        <v>201</v>
      </c>
      <c r="GH109" s="6" t="s">
        <v>201</v>
      </c>
      <c r="GI109" s="6" t="s">
        <v>201</v>
      </c>
      <c r="GJ109" s="6" t="s">
        <v>201</v>
      </c>
      <c r="GK109" s="6"/>
      <c r="GL109" s="7">
        <f>DATE(2025,6,12)+TIME(10,22,20)</f>
        <v>45820.432175925926</v>
      </c>
    </row>
    <row r="110" spans="1:194" ht="409.5" x14ac:dyDescent="0.25">
      <c r="A110" s="3" t="s">
        <v>765</v>
      </c>
      <c r="B110" s="3" t="s">
        <v>766</v>
      </c>
      <c r="C110" s="3" t="s">
        <v>767</v>
      </c>
      <c r="D110" s="3" t="s">
        <v>768</v>
      </c>
      <c r="E110" s="3"/>
      <c r="F110" s="3" t="s">
        <v>423</v>
      </c>
      <c r="G110" s="3"/>
      <c r="H110" s="3"/>
      <c r="I110" s="3"/>
      <c r="J110" s="3"/>
      <c r="K110" s="3"/>
      <c r="L110" s="3"/>
      <c r="M110" s="3"/>
      <c r="N110" s="3"/>
      <c r="O110" s="3"/>
      <c r="P110" s="3"/>
      <c r="Q110" s="3"/>
      <c r="R110" s="3"/>
      <c r="S110" s="3"/>
      <c r="T110" s="3" t="s">
        <v>769</v>
      </c>
      <c r="U110" s="3"/>
      <c r="V110" s="3"/>
      <c r="W110" s="3"/>
      <c r="X110" s="3"/>
      <c r="Y110" s="3"/>
      <c r="Z110" s="3"/>
      <c r="AA110" s="3"/>
      <c r="AB110" s="3"/>
      <c r="AC110" s="3"/>
      <c r="AD110" s="3"/>
      <c r="AE110" s="3"/>
      <c r="AF110" s="4" t="s">
        <v>769</v>
      </c>
      <c r="AG110" s="3" t="s">
        <v>235</v>
      </c>
      <c r="AH110" s="3" t="s">
        <v>202</v>
      </c>
      <c r="AI110" s="3" t="s">
        <v>202</v>
      </c>
      <c r="AJ110" s="3" t="s">
        <v>204</v>
      </c>
      <c r="AK110" s="3" t="s">
        <v>203</v>
      </c>
      <c r="AL110" s="3" t="s">
        <v>204</v>
      </c>
      <c r="AM110" s="3" t="s">
        <v>204</v>
      </c>
      <c r="AN110" s="3" t="s">
        <v>204</v>
      </c>
      <c r="AO110" s="3" t="s">
        <v>204</v>
      </c>
      <c r="AP110" s="3" t="s">
        <v>204</v>
      </c>
      <c r="AQ110" s="3" t="s">
        <v>203</v>
      </c>
      <c r="AR110" s="3" t="s">
        <v>204</v>
      </c>
      <c r="AS110" s="3"/>
      <c r="AT110" s="3" t="s">
        <v>203</v>
      </c>
      <c r="AU110" s="3" t="s">
        <v>202</v>
      </c>
      <c r="AV110" s="3" t="s">
        <v>205</v>
      </c>
      <c r="AW110" s="3" t="s">
        <v>203</v>
      </c>
      <c r="AX110" s="3" t="s">
        <v>203</v>
      </c>
      <c r="AY110" s="3" t="s">
        <v>201</v>
      </c>
      <c r="AZ110" s="3" t="s">
        <v>202</v>
      </c>
      <c r="BA110" s="3" t="s">
        <v>205</v>
      </c>
      <c r="BB110" s="3" t="s">
        <v>202</v>
      </c>
      <c r="BC110" s="3" t="s">
        <v>202</v>
      </c>
      <c r="BD110" s="3" t="s">
        <v>201</v>
      </c>
      <c r="BE110" s="3" t="s">
        <v>205</v>
      </c>
      <c r="BF110" s="3" t="s">
        <v>204</v>
      </c>
      <c r="BG110" s="3" t="s">
        <v>204</v>
      </c>
      <c r="BH110" s="3" t="s">
        <v>204</v>
      </c>
      <c r="BI110" s="3" t="s">
        <v>204</v>
      </c>
      <c r="BJ110" s="3" t="s">
        <v>202</v>
      </c>
      <c r="BK110" s="3" t="s">
        <v>205</v>
      </c>
      <c r="BL110" s="3" t="s">
        <v>202</v>
      </c>
      <c r="BM110" s="3" t="s">
        <v>204</v>
      </c>
      <c r="BN110" s="3" t="s">
        <v>204</v>
      </c>
      <c r="BO110" s="3" t="s">
        <v>204</v>
      </c>
      <c r="BP110" s="3" t="s">
        <v>204</v>
      </c>
      <c r="BQ110" s="3" t="s">
        <v>204</v>
      </c>
      <c r="BR110" s="3" t="s">
        <v>204</v>
      </c>
      <c r="BS110" s="3"/>
      <c r="BT110" s="3" t="s">
        <v>206</v>
      </c>
      <c r="BU110" s="3" t="s">
        <v>202</v>
      </c>
      <c r="BV110" s="3" t="s">
        <v>202</v>
      </c>
      <c r="BW110" s="3" t="s">
        <v>202</v>
      </c>
      <c r="BX110" s="3" t="s">
        <v>202</v>
      </c>
      <c r="BY110" s="3" t="s">
        <v>202</v>
      </c>
      <c r="BZ110" s="3" t="s">
        <v>202</v>
      </c>
      <c r="CA110" s="3" t="s">
        <v>202</v>
      </c>
      <c r="CB110" s="3" t="s">
        <v>202</v>
      </c>
      <c r="CC110" s="3" t="s">
        <v>202</v>
      </c>
      <c r="CD110" s="3" t="s">
        <v>203</v>
      </c>
      <c r="CE110" s="3" t="s">
        <v>203</v>
      </c>
      <c r="CF110" s="3" t="s">
        <v>203</v>
      </c>
      <c r="CG110" s="3"/>
      <c r="CH110" s="3" t="s">
        <v>207</v>
      </c>
      <c r="CI110" s="3" t="s">
        <v>207</v>
      </c>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t="s">
        <v>236</v>
      </c>
      <c r="DQ110" s="3"/>
      <c r="DR110" s="3"/>
      <c r="DS110" s="3"/>
      <c r="DT110" s="3"/>
      <c r="DU110" s="3"/>
      <c r="DV110" s="3"/>
      <c r="DW110" s="3" t="s">
        <v>208</v>
      </c>
      <c r="DX110" s="3"/>
      <c r="DY110" s="3"/>
      <c r="DZ110" s="3"/>
      <c r="EA110" s="3"/>
      <c r="EB110" s="3" t="s">
        <v>770</v>
      </c>
      <c r="EC110" s="3" t="s">
        <v>204</v>
      </c>
      <c r="ED110" s="3" t="s">
        <v>204</v>
      </c>
      <c r="EE110" s="3" t="s">
        <v>204</v>
      </c>
      <c r="EF110" s="3" t="s">
        <v>201</v>
      </c>
      <c r="EG110" s="3" t="s">
        <v>202</v>
      </c>
      <c r="EH110" s="3" t="s">
        <v>202</v>
      </c>
      <c r="EI110" s="3" t="s">
        <v>201</v>
      </c>
      <c r="EJ110" s="3" t="s">
        <v>205</v>
      </c>
      <c r="EK110" s="3" t="s">
        <v>205</v>
      </c>
      <c r="EL110" s="3" t="s">
        <v>202</v>
      </c>
      <c r="EM110" s="3"/>
      <c r="EN110" s="3"/>
      <c r="EO110" s="3"/>
      <c r="EP110" s="3"/>
      <c r="EQ110" s="3" t="s">
        <v>205</v>
      </c>
      <c r="ER110" s="3" t="s">
        <v>205</v>
      </c>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t="s">
        <v>201</v>
      </c>
      <c r="FZ110" s="3" t="s">
        <v>201</v>
      </c>
      <c r="GA110" s="3" t="s">
        <v>201</v>
      </c>
      <c r="GB110" s="3" t="s">
        <v>202</v>
      </c>
      <c r="GC110" s="3"/>
      <c r="GD110" s="3"/>
      <c r="GE110" s="3" t="s">
        <v>201</v>
      </c>
      <c r="GF110" s="3" t="s">
        <v>201</v>
      </c>
      <c r="GG110" s="3" t="s">
        <v>202</v>
      </c>
      <c r="GH110" s="3" t="s">
        <v>202</v>
      </c>
      <c r="GI110" s="3" t="s">
        <v>201</v>
      </c>
      <c r="GJ110" s="3" t="s">
        <v>201</v>
      </c>
      <c r="GK110" s="3" t="s">
        <v>771</v>
      </c>
      <c r="GL110" s="5">
        <f>DATE(2025,6,5)+TIME(18,28,14)</f>
        <v>45813.769606481481</v>
      </c>
    </row>
    <row r="111" spans="1:194" ht="110.25" x14ac:dyDescent="0.25">
      <c r="A111" s="6" t="s">
        <v>772</v>
      </c>
      <c r="B111" s="6" t="s">
        <v>773</v>
      </c>
      <c r="C111" s="6" t="s">
        <v>774</v>
      </c>
      <c r="D111" s="6" t="s">
        <v>775</v>
      </c>
      <c r="E111" s="6"/>
      <c r="F111" s="6" t="s">
        <v>487</v>
      </c>
      <c r="G111" s="6"/>
      <c r="H111" s="6"/>
      <c r="I111" s="6"/>
      <c r="J111" s="6"/>
      <c r="K111" s="6"/>
      <c r="L111" s="6"/>
      <c r="M111" s="6"/>
      <c r="N111" s="6"/>
      <c r="O111" s="6"/>
      <c r="P111" s="6"/>
      <c r="Q111" s="6"/>
      <c r="R111" s="6"/>
      <c r="S111" s="6"/>
      <c r="T111" s="6"/>
      <c r="U111" s="6"/>
      <c r="V111" s="6" t="s">
        <v>776</v>
      </c>
      <c r="W111" s="6"/>
      <c r="X111" s="6"/>
      <c r="Y111" s="6"/>
      <c r="Z111" s="6"/>
      <c r="AA111" s="6"/>
      <c r="AB111" s="6"/>
      <c r="AC111" s="6"/>
      <c r="AD111" s="6"/>
      <c r="AE111" s="6"/>
      <c r="AF111" s="4" t="s">
        <v>776</v>
      </c>
      <c r="AG111" s="6" t="s">
        <v>235</v>
      </c>
      <c r="AH111" s="6" t="s">
        <v>204</v>
      </c>
      <c r="AI111" s="6" t="s">
        <v>203</v>
      </c>
      <c r="AJ111" s="6" t="s">
        <v>204</v>
      </c>
      <c r="AK111" s="6" t="s">
        <v>204</v>
      </c>
      <c r="AL111" s="6" t="s">
        <v>204</v>
      </c>
      <c r="AM111" s="6" t="s">
        <v>204</v>
      </c>
      <c r="AN111" s="6" t="s">
        <v>204</v>
      </c>
      <c r="AO111" s="6" t="s">
        <v>204</v>
      </c>
      <c r="AP111" s="6" t="s">
        <v>204</v>
      </c>
      <c r="AQ111" s="6" t="s">
        <v>204</v>
      </c>
      <c r="AR111" s="6" t="s">
        <v>204</v>
      </c>
      <c r="AS111" s="6"/>
      <c r="AT111" s="6" t="s">
        <v>205</v>
      </c>
      <c r="AU111" s="6" t="s">
        <v>205</v>
      </c>
      <c r="AV111" s="6" t="s">
        <v>204</v>
      </c>
      <c r="AW111" s="6" t="s">
        <v>204</v>
      </c>
      <c r="AX111" s="6" t="s">
        <v>204</v>
      </c>
      <c r="AY111" s="6" t="s">
        <v>204</v>
      </c>
      <c r="AZ111" s="6" t="s">
        <v>203</v>
      </c>
      <c r="BA111" s="6" t="s">
        <v>204</v>
      </c>
      <c r="BB111" s="6" t="s">
        <v>203</v>
      </c>
      <c r="BC111" s="6" t="s">
        <v>204</v>
      </c>
      <c r="BD111" s="6" t="s">
        <v>202</v>
      </c>
      <c r="BE111" s="6" t="s">
        <v>204</v>
      </c>
      <c r="BF111" s="6" t="s">
        <v>204</v>
      </c>
      <c r="BG111" s="6" t="s">
        <v>204</v>
      </c>
      <c r="BH111" s="6" t="s">
        <v>204</v>
      </c>
      <c r="BI111" s="6" t="s">
        <v>204</v>
      </c>
      <c r="BJ111" s="6" t="s">
        <v>204</v>
      </c>
      <c r="BK111" s="6" t="s">
        <v>204</v>
      </c>
      <c r="BL111" s="6" t="s">
        <v>204</v>
      </c>
      <c r="BM111" s="6" t="s">
        <v>204</v>
      </c>
      <c r="BN111" s="6" t="s">
        <v>204</v>
      </c>
      <c r="BO111" s="6" t="s">
        <v>204</v>
      </c>
      <c r="BP111" s="6" t="s">
        <v>204</v>
      </c>
      <c r="BQ111" s="6" t="s">
        <v>204</v>
      </c>
      <c r="BR111" s="6" t="s">
        <v>204</v>
      </c>
      <c r="BS111" s="6"/>
      <c r="BT111" s="6" t="s">
        <v>206</v>
      </c>
      <c r="BU111" s="6" t="s">
        <v>202</v>
      </c>
      <c r="BV111" s="6" t="s">
        <v>202</v>
      </c>
      <c r="BW111" s="6" t="s">
        <v>202</v>
      </c>
      <c r="BX111" s="6" t="s">
        <v>201</v>
      </c>
      <c r="BY111" s="6" t="s">
        <v>201</v>
      </c>
      <c r="BZ111" s="6" t="s">
        <v>201</v>
      </c>
      <c r="CA111" s="6" t="s">
        <v>201</v>
      </c>
      <c r="CB111" s="6" t="s">
        <v>201</v>
      </c>
      <c r="CC111" s="6" t="s">
        <v>201</v>
      </c>
      <c r="CD111" s="6" t="s">
        <v>201</v>
      </c>
      <c r="CE111" s="6" t="s">
        <v>201</v>
      </c>
      <c r="CF111" s="6" t="s">
        <v>201</v>
      </c>
      <c r="CG111" s="6"/>
      <c r="CH111" s="6" t="s">
        <v>207</v>
      </c>
      <c r="CI111" s="6" t="s">
        <v>207</v>
      </c>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t="s">
        <v>294</v>
      </c>
      <c r="DV111" s="6"/>
      <c r="DW111" s="6" t="s">
        <v>228</v>
      </c>
      <c r="DX111" s="6"/>
      <c r="DY111" s="6"/>
      <c r="DZ111" s="6"/>
      <c r="EA111" s="6"/>
      <c r="EB111" s="6"/>
      <c r="EC111" s="6"/>
      <c r="ED111" s="6"/>
      <c r="EE111" s="6"/>
      <c r="EF111" s="6" t="s">
        <v>204</v>
      </c>
      <c r="EG111" s="6" t="s">
        <v>204</v>
      </c>
      <c r="EH111" s="6" t="s">
        <v>204</v>
      </c>
      <c r="EI111" s="6" t="s">
        <v>204</v>
      </c>
      <c r="EJ111" s="6" t="s">
        <v>204</v>
      </c>
      <c r="EK111" s="6" t="s">
        <v>204</v>
      </c>
      <c r="EL111" s="6" t="s">
        <v>204</v>
      </c>
      <c r="EM111" s="6"/>
      <c r="EN111" s="6"/>
      <c r="EO111" s="6"/>
      <c r="EP111" s="6"/>
      <c r="EQ111" s="6" t="s">
        <v>205</v>
      </c>
      <c r="ER111" s="6" t="s">
        <v>205</v>
      </c>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t="s">
        <v>201</v>
      </c>
      <c r="FZ111" s="6" t="s">
        <v>201</v>
      </c>
      <c r="GA111" s="6" t="s">
        <v>201</v>
      </c>
      <c r="GB111" s="6" t="s">
        <v>201</v>
      </c>
      <c r="GC111" s="6"/>
      <c r="GD111" s="6"/>
      <c r="GE111" s="6" t="s">
        <v>202</v>
      </c>
      <c r="GF111" s="6" t="s">
        <v>201</v>
      </c>
      <c r="GG111" s="6" t="s">
        <v>201</v>
      </c>
      <c r="GH111" s="6" t="s">
        <v>203</v>
      </c>
      <c r="GI111" s="6" t="s">
        <v>201</v>
      </c>
      <c r="GJ111" s="6" t="s">
        <v>201</v>
      </c>
      <c r="GK111" s="6"/>
      <c r="GL111" s="7">
        <f>DATE(2025,6,6)+TIME(11,23,16)</f>
        <v>45814.474490740744</v>
      </c>
    </row>
    <row r="112" spans="1:194" ht="110.25" x14ac:dyDescent="0.25">
      <c r="A112" s="3" t="s">
        <v>506</v>
      </c>
      <c r="B112" s="3" t="s">
        <v>507</v>
      </c>
      <c r="C112" s="3" t="s">
        <v>508</v>
      </c>
      <c r="D112" s="3" t="s">
        <v>777</v>
      </c>
      <c r="E112" s="3"/>
      <c r="F112" s="3" t="s">
        <v>408</v>
      </c>
      <c r="G112" s="3"/>
      <c r="H112" s="3"/>
      <c r="I112" s="3"/>
      <c r="J112" s="3"/>
      <c r="K112" s="3"/>
      <c r="L112" s="3" t="s">
        <v>778</v>
      </c>
      <c r="M112" s="3"/>
      <c r="N112" s="3"/>
      <c r="O112" s="3"/>
      <c r="P112" s="3"/>
      <c r="Q112" s="3"/>
      <c r="R112" s="3"/>
      <c r="S112" s="3"/>
      <c r="T112" s="3"/>
      <c r="U112" s="3"/>
      <c r="V112" s="3"/>
      <c r="W112" s="3"/>
      <c r="X112" s="3"/>
      <c r="Y112" s="3"/>
      <c r="Z112" s="3"/>
      <c r="AA112" s="3"/>
      <c r="AB112" s="3"/>
      <c r="AC112" s="3"/>
      <c r="AD112" s="3"/>
      <c r="AE112" s="3"/>
      <c r="AF112" s="4" t="s">
        <v>778</v>
      </c>
      <c r="AG112" s="3" t="s">
        <v>200</v>
      </c>
      <c r="AH112" s="3" t="s">
        <v>202</v>
      </c>
      <c r="AI112" s="3" t="s">
        <v>202</v>
      </c>
      <c r="AJ112" s="3" t="s">
        <v>203</v>
      </c>
      <c r="AK112" s="3" t="s">
        <v>202</v>
      </c>
      <c r="AL112" s="3" t="s">
        <v>201</v>
      </c>
      <c r="AM112" s="3" t="s">
        <v>201</v>
      </c>
      <c r="AN112" s="3" t="s">
        <v>202</v>
      </c>
      <c r="AO112" s="3" t="s">
        <v>202</v>
      </c>
      <c r="AP112" s="3" t="s">
        <v>202</v>
      </c>
      <c r="AQ112" s="3" t="s">
        <v>202</v>
      </c>
      <c r="AR112" s="3" t="s">
        <v>201</v>
      </c>
      <c r="AS112" s="3"/>
      <c r="AT112" s="3" t="s">
        <v>202</v>
      </c>
      <c r="AU112" s="3" t="s">
        <v>202</v>
      </c>
      <c r="AV112" s="3" t="s">
        <v>201</v>
      </c>
      <c r="AW112" s="3" t="s">
        <v>202</v>
      </c>
      <c r="AX112" s="3" t="s">
        <v>202</v>
      </c>
      <c r="AY112" s="3" t="s">
        <v>203</v>
      </c>
      <c r="AZ112" s="3" t="s">
        <v>202</v>
      </c>
      <c r="BA112" s="3" t="s">
        <v>201</v>
      </c>
      <c r="BB112" s="3" t="s">
        <v>202</v>
      </c>
      <c r="BC112" s="3" t="s">
        <v>202</v>
      </c>
      <c r="BD112" s="3" t="s">
        <v>203</v>
      </c>
      <c r="BE112" s="3" t="s">
        <v>204</v>
      </c>
      <c r="BF112" s="3" t="s">
        <v>204</v>
      </c>
      <c r="BG112" s="3" t="s">
        <v>204</v>
      </c>
      <c r="BH112" s="3" t="s">
        <v>204</v>
      </c>
      <c r="BI112" s="3" t="s">
        <v>204</v>
      </c>
      <c r="BJ112" s="3" t="s">
        <v>202</v>
      </c>
      <c r="BK112" s="3" t="s">
        <v>201</v>
      </c>
      <c r="BL112" s="3" t="s">
        <v>202</v>
      </c>
      <c r="BM112" s="3" t="s">
        <v>202</v>
      </c>
      <c r="BN112" s="3" t="s">
        <v>203</v>
      </c>
      <c r="BO112" s="3" t="s">
        <v>201</v>
      </c>
      <c r="BP112" s="3" t="s">
        <v>203</v>
      </c>
      <c r="BQ112" s="3" t="s">
        <v>203</v>
      </c>
      <c r="BR112" s="3" t="s">
        <v>204</v>
      </c>
      <c r="BS112" s="3"/>
      <c r="BT112" s="3" t="s">
        <v>271</v>
      </c>
      <c r="BU112" s="3" t="s">
        <v>203</v>
      </c>
      <c r="BV112" s="3" t="s">
        <v>203</v>
      </c>
      <c r="BW112" s="3" t="s">
        <v>203</v>
      </c>
      <c r="BX112" s="3" t="s">
        <v>203</v>
      </c>
      <c r="BY112" s="3" t="s">
        <v>203</v>
      </c>
      <c r="BZ112" s="3" t="s">
        <v>203</v>
      </c>
      <c r="CA112" s="3" t="s">
        <v>203</v>
      </c>
      <c r="CB112" s="3" t="s">
        <v>203</v>
      </c>
      <c r="CC112" s="3" t="s">
        <v>202</v>
      </c>
      <c r="CD112" s="3" t="s">
        <v>202</v>
      </c>
      <c r="CE112" s="3" t="s">
        <v>202</v>
      </c>
      <c r="CF112" s="3" t="s">
        <v>202</v>
      </c>
      <c r="CG112" s="3"/>
      <c r="CH112" s="3" t="s">
        <v>207</v>
      </c>
      <c r="CI112" s="3" t="s">
        <v>208</v>
      </c>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t="s">
        <v>294</v>
      </c>
      <c r="DV112" s="3"/>
      <c r="DW112" s="3" t="s">
        <v>207</v>
      </c>
      <c r="DX112" s="3"/>
      <c r="DY112" s="3"/>
      <c r="DZ112" s="3"/>
      <c r="EA112" s="3"/>
      <c r="EB112" s="3"/>
      <c r="EC112" s="3"/>
      <c r="ED112" s="3"/>
      <c r="EE112" s="3"/>
      <c r="EF112" s="3" t="s">
        <v>205</v>
      </c>
      <c r="EG112" s="3" t="s">
        <v>204</v>
      </c>
      <c r="EH112" s="3" t="s">
        <v>204</v>
      </c>
      <c r="EI112" s="3" t="s">
        <v>201</v>
      </c>
      <c r="EJ112" s="3" t="s">
        <v>201</v>
      </c>
      <c r="EK112" s="3" t="s">
        <v>201</v>
      </c>
      <c r="EL112" s="3" t="s">
        <v>201</v>
      </c>
      <c r="EM112" s="3" t="s">
        <v>202</v>
      </c>
      <c r="EN112" s="3" t="s">
        <v>201</v>
      </c>
      <c r="EO112" s="3" t="s">
        <v>205</v>
      </c>
      <c r="EP112" s="3"/>
      <c r="EQ112" s="3" t="s">
        <v>203</v>
      </c>
      <c r="ER112" s="3" t="s">
        <v>203</v>
      </c>
      <c r="ES112" s="3"/>
      <c r="ET112" s="3" t="s">
        <v>205</v>
      </c>
      <c r="EU112" s="3" t="s">
        <v>202</v>
      </c>
      <c r="EV112" s="3" t="s">
        <v>201</v>
      </c>
      <c r="EW112" s="3" t="s">
        <v>204</v>
      </c>
      <c r="EX112" s="3"/>
      <c r="EY112" s="3" t="s">
        <v>204</v>
      </c>
      <c r="EZ112" s="3" t="s">
        <v>204</v>
      </c>
      <c r="FA112" s="3" t="s">
        <v>204</v>
      </c>
      <c r="FB112" s="3" t="s">
        <v>204</v>
      </c>
      <c r="FC112" s="3" t="s">
        <v>204</v>
      </c>
      <c r="FD112" s="3" t="s">
        <v>204</v>
      </c>
      <c r="FE112" s="3" t="s">
        <v>204</v>
      </c>
      <c r="FF112" s="3" t="s">
        <v>204</v>
      </c>
      <c r="FG112" s="3" t="s">
        <v>204</v>
      </c>
      <c r="FH112" s="3" t="s">
        <v>204</v>
      </c>
      <c r="FI112" s="3" t="s">
        <v>204</v>
      </c>
      <c r="FJ112" s="3" t="s">
        <v>204</v>
      </c>
      <c r="FK112" s="3" t="s">
        <v>204</v>
      </c>
      <c r="FL112" s="3" t="s">
        <v>204</v>
      </c>
      <c r="FM112" s="3" t="s">
        <v>204</v>
      </c>
      <c r="FN112" s="3" t="s">
        <v>204</v>
      </c>
      <c r="FO112" s="3" t="s">
        <v>204</v>
      </c>
      <c r="FP112" s="3" t="s">
        <v>204</v>
      </c>
      <c r="FQ112" s="3" t="s">
        <v>204</v>
      </c>
      <c r="FR112" s="3" t="s">
        <v>202</v>
      </c>
      <c r="FS112" s="3" t="s">
        <v>204</v>
      </c>
      <c r="FT112" s="3" t="s">
        <v>204</v>
      </c>
      <c r="FU112" s="3" t="s">
        <v>204</v>
      </c>
      <c r="FV112" s="3"/>
      <c r="FW112" s="3" t="s">
        <v>271</v>
      </c>
      <c r="FX112" s="3"/>
      <c r="FY112" s="3" t="s">
        <v>203</v>
      </c>
      <c r="FZ112" s="3" t="s">
        <v>203</v>
      </c>
      <c r="GA112" s="3" t="s">
        <v>203</v>
      </c>
      <c r="GB112" s="3" t="s">
        <v>205</v>
      </c>
      <c r="GC112" s="3" t="s">
        <v>204</v>
      </c>
      <c r="GD112" s="3"/>
      <c r="GE112" s="3" t="s">
        <v>201</v>
      </c>
      <c r="GF112" s="3" t="s">
        <v>203</v>
      </c>
      <c r="GG112" s="3" t="s">
        <v>201</v>
      </c>
      <c r="GH112" s="3" t="s">
        <v>205</v>
      </c>
      <c r="GI112" s="3" t="s">
        <v>205</v>
      </c>
      <c r="GJ112" s="3" t="s">
        <v>203</v>
      </c>
      <c r="GK112" s="3"/>
      <c r="GL112" s="5">
        <f>DATE(2025,6,9)+TIME(14,32,42)</f>
        <v>45817.606041666666</v>
      </c>
    </row>
    <row r="113" spans="1:194" ht="78.75" x14ac:dyDescent="0.25">
      <c r="A113" s="6" t="s">
        <v>194</v>
      </c>
      <c r="B113" s="6" t="s">
        <v>195</v>
      </c>
      <c r="C113" s="6" t="s">
        <v>196</v>
      </c>
      <c r="D113" s="6" t="s">
        <v>779</v>
      </c>
      <c r="E113" s="6"/>
      <c r="F113" s="6" t="s">
        <v>198</v>
      </c>
      <c r="G113" s="6"/>
      <c r="H113" s="6"/>
      <c r="I113" s="6"/>
      <c r="J113" s="6"/>
      <c r="K113" s="6" t="s">
        <v>780</v>
      </c>
      <c r="L113" s="6"/>
      <c r="M113" s="6"/>
      <c r="N113" s="6"/>
      <c r="O113" s="6"/>
      <c r="P113" s="6"/>
      <c r="Q113" s="6"/>
      <c r="R113" s="6"/>
      <c r="S113" s="6"/>
      <c r="T113" s="6"/>
      <c r="U113" s="6"/>
      <c r="V113" s="6"/>
      <c r="W113" s="6"/>
      <c r="X113" s="6"/>
      <c r="Y113" s="6"/>
      <c r="Z113" s="6"/>
      <c r="AA113" s="6"/>
      <c r="AB113" s="6"/>
      <c r="AC113" s="6"/>
      <c r="AD113" s="6"/>
      <c r="AE113" s="6"/>
      <c r="AF113" s="4" t="s">
        <v>780</v>
      </c>
      <c r="AG113" s="6" t="s">
        <v>213</v>
      </c>
      <c r="AH113" s="6" t="s">
        <v>202</v>
      </c>
      <c r="AI113" s="6" t="s">
        <v>205</v>
      </c>
      <c r="AJ113" s="6" t="s">
        <v>205</v>
      </c>
      <c r="AK113" s="6" t="s">
        <v>205</v>
      </c>
      <c r="AL113" s="6" t="s">
        <v>201</v>
      </c>
      <c r="AM113" s="6" t="s">
        <v>204</v>
      </c>
      <c r="AN113" s="6" t="s">
        <v>204</v>
      </c>
      <c r="AO113" s="6" t="s">
        <v>201</v>
      </c>
      <c r="AP113" s="6" t="s">
        <v>203</v>
      </c>
      <c r="AQ113" s="6" t="s">
        <v>205</v>
      </c>
      <c r="AR113" s="6" t="s">
        <v>203</v>
      </c>
      <c r="AS113" s="6"/>
      <c r="AT113" s="6" t="s">
        <v>201</v>
      </c>
      <c r="AU113" s="6" t="s">
        <v>205</v>
      </c>
      <c r="AV113" s="6" t="s">
        <v>205</v>
      </c>
      <c r="AW113" s="6" t="s">
        <v>201</v>
      </c>
      <c r="AX113" s="6" t="s">
        <v>203</v>
      </c>
      <c r="AY113" s="6" t="s">
        <v>205</v>
      </c>
      <c r="AZ113" s="6" t="s">
        <v>205</v>
      </c>
      <c r="BA113" s="6" t="s">
        <v>205</v>
      </c>
      <c r="BB113" s="6" t="s">
        <v>203</v>
      </c>
      <c r="BC113" s="6" t="s">
        <v>203</v>
      </c>
      <c r="BD113" s="6" t="s">
        <v>205</v>
      </c>
      <c r="BE113" s="6" t="s">
        <v>205</v>
      </c>
      <c r="BF113" s="6" t="s">
        <v>205</v>
      </c>
      <c r="BG113" s="6" t="s">
        <v>205</v>
      </c>
      <c r="BH113" s="6" t="s">
        <v>205</v>
      </c>
      <c r="BI113" s="6" t="s">
        <v>205</v>
      </c>
      <c r="BJ113" s="6" t="s">
        <v>203</v>
      </c>
      <c r="BK113" s="6" t="s">
        <v>205</v>
      </c>
      <c r="BL113" s="6" t="s">
        <v>203</v>
      </c>
      <c r="BM113" s="6" t="s">
        <v>203</v>
      </c>
      <c r="BN113" s="6" t="s">
        <v>205</v>
      </c>
      <c r="BO113" s="6" t="s">
        <v>202</v>
      </c>
      <c r="BP113" s="6" t="s">
        <v>203</v>
      </c>
      <c r="BQ113" s="6" t="s">
        <v>202</v>
      </c>
      <c r="BR113" s="6" t="s">
        <v>205</v>
      </c>
      <c r="BS113" s="6"/>
      <c r="BT113" s="6" t="s">
        <v>210</v>
      </c>
      <c r="BU113" s="6" t="s">
        <v>201</v>
      </c>
      <c r="BV113" s="6" t="s">
        <v>201</v>
      </c>
      <c r="BW113" s="6" t="s">
        <v>201</v>
      </c>
      <c r="BX113" s="6" t="s">
        <v>201</v>
      </c>
      <c r="BY113" s="6" t="s">
        <v>201</v>
      </c>
      <c r="BZ113" s="6" t="s">
        <v>201</v>
      </c>
      <c r="CA113" s="6" t="s">
        <v>201</v>
      </c>
      <c r="CB113" s="6" t="s">
        <v>201</v>
      </c>
      <c r="CC113" s="6" t="s">
        <v>201</v>
      </c>
      <c r="CD113" s="6" t="s">
        <v>201</v>
      </c>
      <c r="CE113" s="6" t="s">
        <v>201</v>
      </c>
      <c r="CF113" s="6" t="s">
        <v>201</v>
      </c>
      <c r="CG113" s="6"/>
      <c r="CH113" s="6" t="s">
        <v>207</v>
      </c>
      <c r="CI113" s="6" t="s">
        <v>208</v>
      </c>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t="s">
        <v>214</v>
      </c>
      <c r="DU113" s="6"/>
      <c r="DV113" s="6"/>
      <c r="DW113" s="6" t="s">
        <v>228</v>
      </c>
      <c r="DX113" s="6"/>
      <c r="DY113" s="6"/>
      <c r="DZ113" s="6"/>
      <c r="EA113" s="6"/>
      <c r="EB113" s="6"/>
      <c r="EC113" s="6"/>
      <c r="ED113" s="6"/>
      <c r="EE113" s="6"/>
      <c r="EF113" s="6" t="s">
        <v>205</v>
      </c>
      <c r="EG113" s="6" t="s">
        <v>205</v>
      </c>
      <c r="EH113" s="6" t="s">
        <v>205</v>
      </c>
      <c r="EI113" s="6" t="s">
        <v>205</v>
      </c>
      <c r="EJ113" s="6" t="s">
        <v>201</v>
      </c>
      <c r="EK113" s="6" t="s">
        <v>201</v>
      </c>
      <c r="EL113" s="6" t="s">
        <v>201</v>
      </c>
      <c r="EM113" s="6" t="s">
        <v>205</v>
      </c>
      <c r="EN113" s="6" t="s">
        <v>205</v>
      </c>
      <c r="EO113" s="6" t="s">
        <v>203</v>
      </c>
      <c r="EP113" s="6"/>
      <c r="EQ113" s="6" t="s">
        <v>202</v>
      </c>
      <c r="ER113" s="6" t="s">
        <v>205</v>
      </c>
      <c r="ES113" s="6"/>
      <c r="ET113" s="6" t="s">
        <v>201</v>
      </c>
      <c r="EU113" s="6" t="s">
        <v>205</v>
      </c>
      <c r="EV113" s="6" t="s">
        <v>205</v>
      </c>
      <c r="EW113" s="6" t="s">
        <v>204</v>
      </c>
      <c r="EX113" s="6"/>
      <c r="EY113" s="6" t="s">
        <v>203</v>
      </c>
      <c r="EZ113" s="6" t="s">
        <v>205</v>
      </c>
      <c r="FA113" s="6" t="s">
        <v>201</v>
      </c>
      <c r="FB113" s="6" t="s">
        <v>203</v>
      </c>
      <c r="FC113" s="6" t="s">
        <v>203</v>
      </c>
      <c r="FD113" s="6" t="s">
        <v>203</v>
      </c>
      <c r="FE113" s="6" t="s">
        <v>205</v>
      </c>
      <c r="FF113" s="6" t="s">
        <v>205</v>
      </c>
      <c r="FG113" s="6" t="s">
        <v>205</v>
      </c>
      <c r="FH113" s="6"/>
      <c r="FI113" s="6"/>
      <c r="FJ113" s="6"/>
      <c r="FK113" s="6"/>
      <c r="FL113" s="6"/>
      <c r="FM113" s="6"/>
      <c r="FN113" s="6"/>
      <c r="FO113" s="6"/>
      <c r="FP113" s="6"/>
      <c r="FQ113" s="6"/>
      <c r="FR113" s="6" t="s">
        <v>201</v>
      </c>
      <c r="FS113" s="6" t="s">
        <v>203</v>
      </c>
      <c r="FT113" s="6" t="s">
        <v>203</v>
      </c>
      <c r="FU113" s="6" t="s">
        <v>205</v>
      </c>
      <c r="FV113" s="6"/>
      <c r="FW113" s="6" t="s">
        <v>210</v>
      </c>
      <c r="FX113" s="6"/>
      <c r="FY113" s="6" t="s">
        <v>201</v>
      </c>
      <c r="FZ113" s="6" t="s">
        <v>201</v>
      </c>
      <c r="GA113" s="6" t="s">
        <v>201</v>
      </c>
      <c r="GB113" s="6" t="s">
        <v>201</v>
      </c>
      <c r="GC113" s="6"/>
      <c r="GD113" s="6"/>
      <c r="GE113" s="6" t="s">
        <v>203</v>
      </c>
      <c r="GF113" s="6" t="s">
        <v>201</v>
      </c>
      <c r="GG113" s="6" t="s">
        <v>201</v>
      </c>
      <c r="GH113" s="6" t="s">
        <v>201</v>
      </c>
      <c r="GI113" s="6" t="s">
        <v>201</v>
      </c>
      <c r="GJ113" s="6" t="s">
        <v>201</v>
      </c>
      <c r="GK113" s="6"/>
      <c r="GL113" s="7">
        <f>DATE(2025,7,11)+TIME(11,58,15)</f>
        <v>45849.498784722222</v>
      </c>
    </row>
    <row r="114" spans="1:194" ht="63" x14ac:dyDescent="0.25">
      <c r="A114" s="3" t="s">
        <v>781</v>
      </c>
      <c r="B114" s="3" t="s">
        <v>782</v>
      </c>
      <c r="C114" s="3" t="s">
        <v>783</v>
      </c>
      <c r="D114" s="3" t="s">
        <v>784</v>
      </c>
      <c r="E114" s="3"/>
      <c r="F114" s="3" t="s">
        <v>250</v>
      </c>
      <c r="G114" s="3"/>
      <c r="H114" s="3"/>
      <c r="I114" s="3"/>
      <c r="J114" s="3"/>
      <c r="K114" s="3"/>
      <c r="L114" s="3"/>
      <c r="M114" s="3"/>
      <c r="N114" s="3"/>
      <c r="O114" s="3"/>
      <c r="P114" s="3"/>
      <c r="Q114" s="3"/>
      <c r="R114" s="3"/>
      <c r="S114" s="3"/>
      <c r="T114" s="3"/>
      <c r="U114" s="3"/>
      <c r="V114" s="3"/>
      <c r="W114" s="3"/>
      <c r="X114" s="3" t="s">
        <v>785</v>
      </c>
      <c r="Y114" s="3"/>
      <c r="Z114" s="3"/>
      <c r="AA114" s="3"/>
      <c r="AB114" s="3"/>
      <c r="AC114" s="3"/>
      <c r="AD114" s="3"/>
      <c r="AE114" s="3"/>
      <c r="AF114" s="4" t="s">
        <v>785</v>
      </c>
      <c r="AG114" s="3" t="s">
        <v>213</v>
      </c>
      <c r="AH114" s="3" t="s">
        <v>201</v>
      </c>
      <c r="AI114" s="3" t="s">
        <v>201</v>
      </c>
      <c r="AJ114" s="3" t="s">
        <v>201</v>
      </c>
      <c r="AK114" s="3" t="s">
        <v>201</v>
      </c>
      <c r="AL114" s="3" t="s">
        <v>202</v>
      </c>
      <c r="AM114" s="3" t="s">
        <v>201</v>
      </c>
      <c r="AN114" s="3" t="s">
        <v>202</v>
      </c>
      <c r="AO114" s="3" t="s">
        <v>202</v>
      </c>
      <c r="AP114" s="3" t="s">
        <v>202</v>
      </c>
      <c r="AQ114" s="3" t="s">
        <v>201</v>
      </c>
      <c r="AR114" s="3" t="s">
        <v>201</v>
      </c>
      <c r="AS114" s="3"/>
      <c r="AT114" s="3" t="s">
        <v>202</v>
      </c>
      <c r="AU114" s="3" t="s">
        <v>201</v>
      </c>
      <c r="AV114" s="3" t="s">
        <v>205</v>
      </c>
      <c r="AW114" s="3" t="s">
        <v>202</v>
      </c>
      <c r="AX114" s="3" t="s">
        <v>202</v>
      </c>
      <c r="AY114" s="3" t="s">
        <v>201</v>
      </c>
      <c r="AZ114" s="3" t="s">
        <v>201</v>
      </c>
      <c r="BA114" s="3" t="s">
        <v>203</v>
      </c>
      <c r="BB114" s="3" t="s">
        <v>201</v>
      </c>
      <c r="BC114" s="3" t="s">
        <v>201</v>
      </c>
      <c r="BD114" s="3" t="s">
        <v>201</v>
      </c>
      <c r="BE114" s="3" t="s">
        <v>202</v>
      </c>
      <c r="BF114" s="3" t="s">
        <v>205</v>
      </c>
      <c r="BG114" s="3" t="s">
        <v>202</v>
      </c>
      <c r="BH114" s="3" t="s">
        <v>202</v>
      </c>
      <c r="BI114" s="3" t="s">
        <v>201</v>
      </c>
      <c r="BJ114" s="3" t="s">
        <v>201</v>
      </c>
      <c r="BK114" s="3" t="s">
        <v>203</v>
      </c>
      <c r="BL114" s="3" t="s">
        <v>201</v>
      </c>
      <c r="BM114" s="3" t="s">
        <v>201</v>
      </c>
      <c r="BN114" s="3" t="s">
        <v>201</v>
      </c>
      <c r="BO114" s="3" t="s">
        <v>202</v>
      </c>
      <c r="BP114" s="3" t="s">
        <v>203</v>
      </c>
      <c r="BQ114" s="3" t="s">
        <v>203</v>
      </c>
      <c r="BR114" s="3"/>
      <c r="BS114" s="3"/>
      <c r="BT114" s="3" t="s">
        <v>210</v>
      </c>
      <c r="BU114" s="3" t="s">
        <v>201</v>
      </c>
      <c r="BV114" s="3" t="s">
        <v>201</v>
      </c>
      <c r="BW114" s="3" t="s">
        <v>201</v>
      </c>
      <c r="BX114" s="3" t="s">
        <v>201</v>
      </c>
      <c r="BY114" s="3" t="s">
        <v>201</v>
      </c>
      <c r="BZ114" s="3" t="s">
        <v>201</v>
      </c>
      <c r="CA114" s="3" t="s">
        <v>202</v>
      </c>
      <c r="CB114" s="3" t="s">
        <v>202</v>
      </c>
      <c r="CC114" s="3" t="s">
        <v>201</v>
      </c>
      <c r="CD114" s="3" t="s">
        <v>201</v>
      </c>
      <c r="CE114" s="3" t="s">
        <v>201</v>
      </c>
      <c r="CF114" s="3" t="s">
        <v>201</v>
      </c>
      <c r="CG114" s="3"/>
      <c r="CH114" s="3" t="s">
        <v>207</v>
      </c>
      <c r="CI114" s="3" t="s">
        <v>207</v>
      </c>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t="s">
        <v>236</v>
      </c>
      <c r="DQ114" s="3"/>
      <c r="DR114" s="3"/>
      <c r="DS114" s="3"/>
      <c r="DT114" s="3"/>
      <c r="DU114" s="3"/>
      <c r="DV114" s="3"/>
      <c r="DW114" s="3" t="s">
        <v>207</v>
      </c>
      <c r="DX114" s="3"/>
      <c r="DY114" s="3"/>
      <c r="DZ114" s="3"/>
      <c r="EA114" s="3"/>
      <c r="EB114" s="3"/>
      <c r="EC114" s="3"/>
      <c r="ED114" s="3"/>
      <c r="EE114" s="3"/>
      <c r="EF114" s="3" t="s">
        <v>201</v>
      </c>
      <c r="EG114" s="3" t="s">
        <v>202</v>
      </c>
      <c r="EH114" s="3" t="s">
        <v>202</v>
      </c>
      <c r="EI114" s="3" t="s">
        <v>201</v>
      </c>
      <c r="EJ114" s="3" t="s">
        <v>202</v>
      </c>
      <c r="EK114" s="3" t="s">
        <v>205</v>
      </c>
      <c r="EL114" s="3" t="s">
        <v>201</v>
      </c>
      <c r="EM114" s="3"/>
      <c r="EN114" s="3"/>
      <c r="EO114" s="3"/>
      <c r="EP114" s="3"/>
      <c r="EQ114" s="3" t="s">
        <v>205</v>
      </c>
      <c r="ER114" s="3" t="s">
        <v>205</v>
      </c>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t="s">
        <v>201</v>
      </c>
      <c r="FZ114" s="3" t="s">
        <v>202</v>
      </c>
      <c r="GA114" s="3" t="s">
        <v>201</v>
      </c>
      <c r="GB114" s="3" t="s">
        <v>201</v>
      </c>
      <c r="GC114" s="3"/>
      <c r="GD114" s="3"/>
      <c r="GE114" s="3" t="s">
        <v>201</v>
      </c>
      <c r="GF114" s="3" t="s">
        <v>201</v>
      </c>
      <c r="GG114" s="3" t="s">
        <v>201</v>
      </c>
      <c r="GH114" s="3" t="s">
        <v>201</v>
      </c>
      <c r="GI114" s="3" t="s">
        <v>201</v>
      </c>
      <c r="GJ114" s="3" t="s">
        <v>201</v>
      </c>
      <c r="GK114" s="3" t="s">
        <v>786</v>
      </c>
      <c r="GL114" s="5">
        <f>DATE(2025,6,2)+TIME(16,14,7)</f>
        <v>45810.676469907405</v>
      </c>
    </row>
    <row r="115" spans="1:194" s="9" customFormat="1" ht="110.25" x14ac:dyDescent="0.25">
      <c r="A115" s="8" t="s">
        <v>412</v>
      </c>
      <c r="B115" s="8" t="s">
        <v>413</v>
      </c>
      <c r="C115" s="8" t="s">
        <v>414</v>
      </c>
      <c r="D115" s="8" t="s">
        <v>787</v>
      </c>
      <c r="E115" s="8"/>
      <c r="F115" s="8" t="s">
        <v>416</v>
      </c>
      <c r="G115" s="6"/>
      <c r="H115" s="6"/>
      <c r="I115" s="6"/>
      <c r="J115" s="6"/>
      <c r="K115" s="6"/>
      <c r="L115" s="6"/>
      <c r="M115" s="6"/>
      <c r="N115" s="6"/>
      <c r="O115" s="6"/>
      <c r="P115" s="6" t="s">
        <v>788</v>
      </c>
      <c r="Q115" s="6"/>
      <c r="R115" s="6"/>
      <c r="S115" s="6"/>
      <c r="T115" s="6"/>
      <c r="U115" s="6"/>
      <c r="V115" s="6"/>
      <c r="W115" s="6"/>
      <c r="X115" s="6"/>
      <c r="Y115" s="6"/>
      <c r="Z115" s="6"/>
      <c r="AA115" s="6"/>
      <c r="AB115" s="6"/>
      <c r="AC115" s="6"/>
      <c r="AD115" s="6"/>
      <c r="AE115" s="6"/>
      <c r="AF115" s="9" t="s">
        <v>788</v>
      </c>
      <c r="AG115" s="8" t="s">
        <v>213</v>
      </c>
      <c r="AH115" s="8" t="s">
        <v>203</v>
      </c>
      <c r="AI115" s="8" t="s">
        <v>202</v>
      </c>
      <c r="AJ115" s="8" t="s">
        <v>203</v>
      </c>
      <c r="AK115" s="8" t="s">
        <v>203</v>
      </c>
      <c r="AL115" s="8" t="s">
        <v>203</v>
      </c>
      <c r="AM115" s="8" t="s">
        <v>205</v>
      </c>
      <c r="AN115" s="8" t="s">
        <v>203</v>
      </c>
      <c r="AO115" s="8" t="s">
        <v>203</v>
      </c>
      <c r="AP115" s="8" t="s">
        <v>203</v>
      </c>
      <c r="AQ115" s="8" t="s">
        <v>203</v>
      </c>
      <c r="AR115" s="8" t="s">
        <v>203</v>
      </c>
      <c r="AS115" s="8"/>
      <c r="AT115" s="8" t="s">
        <v>205</v>
      </c>
      <c r="AU115" s="8" t="s">
        <v>203</v>
      </c>
      <c r="AV115" s="8" t="s">
        <v>205</v>
      </c>
      <c r="AW115" s="8" t="s">
        <v>203</v>
      </c>
      <c r="AX115" s="8" t="s">
        <v>203</v>
      </c>
      <c r="AY115" s="8" t="s">
        <v>203</v>
      </c>
      <c r="AZ115" s="8" t="s">
        <v>203</v>
      </c>
      <c r="BA115" s="8" t="s">
        <v>203</v>
      </c>
      <c r="BB115" s="8" t="s">
        <v>203</v>
      </c>
      <c r="BC115" s="8" t="s">
        <v>203</v>
      </c>
      <c r="BD115" s="8" t="s">
        <v>203</v>
      </c>
      <c r="BE115" s="8" t="s">
        <v>203</v>
      </c>
      <c r="BF115" s="8" t="s">
        <v>203</v>
      </c>
      <c r="BG115" s="8" t="s">
        <v>203</v>
      </c>
      <c r="BH115" s="8" t="s">
        <v>203</v>
      </c>
      <c r="BI115" s="8" t="s">
        <v>203</v>
      </c>
      <c r="BJ115" s="8" t="s">
        <v>203</v>
      </c>
      <c r="BK115" s="8" t="s">
        <v>203</v>
      </c>
      <c r="BL115" s="8" t="s">
        <v>203</v>
      </c>
      <c r="BM115" s="8" t="s">
        <v>203</v>
      </c>
      <c r="BN115" s="8" t="s">
        <v>203</v>
      </c>
      <c r="BO115" s="8" t="s">
        <v>201</v>
      </c>
      <c r="BP115" s="8" t="s">
        <v>202</v>
      </c>
      <c r="BQ115" s="8" t="s">
        <v>203</v>
      </c>
      <c r="BR115" s="8" t="s">
        <v>205</v>
      </c>
      <c r="BS115" s="8"/>
      <c r="BT115" s="8" t="s">
        <v>210</v>
      </c>
      <c r="BU115" s="8" t="s">
        <v>202</v>
      </c>
      <c r="BV115" s="8" t="s">
        <v>202</v>
      </c>
      <c r="BW115" s="8" t="s">
        <v>202</v>
      </c>
      <c r="BX115" s="8" t="s">
        <v>202</v>
      </c>
      <c r="BY115" s="8" t="s">
        <v>202</v>
      </c>
      <c r="BZ115" s="8" t="s">
        <v>202</v>
      </c>
      <c r="CA115" s="8" t="s">
        <v>202</v>
      </c>
      <c r="CB115" s="8" t="s">
        <v>202</v>
      </c>
      <c r="CC115" s="8" t="s">
        <v>202</v>
      </c>
      <c r="CD115" s="8" t="s">
        <v>202</v>
      </c>
      <c r="CE115" s="8" t="s">
        <v>202</v>
      </c>
      <c r="CF115" s="8" t="s">
        <v>202</v>
      </c>
      <c r="CG115" s="8"/>
      <c r="CH115" s="8" t="s">
        <v>207</v>
      </c>
      <c r="CI115" s="8" t="s">
        <v>207</v>
      </c>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t="s">
        <v>236</v>
      </c>
      <c r="DQ115" s="8" t="s">
        <v>237</v>
      </c>
      <c r="DR115" s="8"/>
      <c r="DS115" s="8" t="s">
        <v>288</v>
      </c>
      <c r="DT115" s="8"/>
      <c r="DU115" s="8" t="s">
        <v>294</v>
      </c>
      <c r="DV115" s="8"/>
      <c r="DW115" s="8" t="s">
        <v>208</v>
      </c>
      <c r="DX115" s="8" t="s">
        <v>246</v>
      </c>
      <c r="DY115" s="8" t="s">
        <v>247</v>
      </c>
      <c r="DZ115" s="8"/>
      <c r="EA115" s="8"/>
      <c r="EB115" s="8"/>
      <c r="EC115" s="8" t="s">
        <v>203</v>
      </c>
      <c r="ED115" s="8" t="s">
        <v>202</v>
      </c>
      <c r="EE115" s="8" t="s">
        <v>203</v>
      </c>
      <c r="EF115" s="8" t="s">
        <v>204</v>
      </c>
      <c r="EG115" s="8" t="s">
        <v>204</v>
      </c>
      <c r="EH115" s="8" t="s">
        <v>204</v>
      </c>
      <c r="EI115" s="8" t="s">
        <v>204</v>
      </c>
      <c r="EJ115" s="8" t="s">
        <v>204</v>
      </c>
      <c r="EK115" s="8" t="s">
        <v>204</v>
      </c>
      <c r="EL115" s="8" t="s">
        <v>204</v>
      </c>
      <c r="EM115" s="8"/>
      <c r="EN115" s="8"/>
      <c r="EO115" s="8"/>
      <c r="EP115" s="8"/>
      <c r="EQ115" s="8" t="s">
        <v>203</v>
      </c>
      <c r="ER115" s="8" t="s">
        <v>203</v>
      </c>
      <c r="ES115" s="8"/>
      <c r="ET115" s="8" t="s">
        <v>204</v>
      </c>
      <c r="EU115" s="8" t="s">
        <v>204</v>
      </c>
      <c r="EV115" s="8" t="s">
        <v>204</v>
      </c>
      <c r="EW115" s="8" t="s">
        <v>204</v>
      </c>
      <c r="EX115" s="8"/>
      <c r="EY115" s="8" t="s">
        <v>204</v>
      </c>
      <c r="EZ115" s="8" t="s">
        <v>204</v>
      </c>
      <c r="FA115" s="8" t="s">
        <v>204</v>
      </c>
      <c r="FB115" s="8" t="s">
        <v>204</v>
      </c>
      <c r="FC115" s="8" t="s">
        <v>204</v>
      </c>
      <c r="FD115" s="8" t="s">
        <v>204</v>
      </c>
      <c r="FE115" s="8" t="s">
        <v>204</v>
      </c>
      <c r="FF115" s="8" t="s">
        <v>204</v>
      </c>
      <c r="FG115" s="8" t="s">
        <v>204</v>
      </c>
      <c r="FH115" s="8" t="s">
        <v>204</v>
      </c>
      <c r="FI115" s="8" t="s">
        <v>204</v>
      </c>
      <c r="FJ115" s="8" t="s">
        <v>204</v>
      </c>
      <c r="FK115" s="8" t="s">
        <v>204</v>
      </c>
      <c r="FL115" s="8" t="s">
        <v>204</v>
      </c>
      <c r="FM115" s="8" t="s">
        <v>204</v>
      </c>
      <c r="FN115" s="8" t="s">
        <v>204</v>
      </c>
      <c r="FO115" s="8" t="s">
        <v>204</v>
      </c>
      <c r="FP115" s="8" t="s">
        <v>204</v>
      </c>
      <c r="FQ115" s="8" t="s">
        <v>204</v>
      </c>
      <c r="FR115" s="8" t="s">
        <v>204</v>
      </c>
      <c r="FS115" s="8" t="s">
        <v>204</v>
      </c>
      <c r="FT115" s="8" t="s">
        <v>204</v>
      </c>
      <c r="FU115" s="8" t="s">
        <v>204</v>
      </c>
      <c r="FV115" s="8"/>
      <c r="FW115" s="8" t="s">
        <v>210</v>
      </c>
      <c r="FX115" s="8"/>
      <c r="FY115" s="8" t="s">
        <v>201</v>
      </c>
      <c r="FZ115" s="8" t="s">
        <v>202</v>
      </c>
      <c r="GA115" s="8" t="s">
        <v>202</v>
      </c>
      <c r="GB115" s="8" t="s">
        <v>202</v>
      </c>
      <c r="GC115" s="8" t="s">
        <v>205</v>
      </c>
      <c r="GD115" s="8"/>
      <c r="GE115" s="8" t="s">
        <v>201</v>
      </c>
      <c r="GF115" s="8" t="s">
        <v>202</v>
      </c>
      <c r="GG115" s="8" t="s">
        <v>201</v>
      </c>
      <c r="GH115" s="8" t="s">
        <v>202</v>
      </c>
      <c r="GI115" s="8" t="s">
        <v>201</v>
      </c>
      <c r="GJ115" s="8" t="s">
        <v>201</v>
      </c>
      <c r="GK115" s="8"/>
      <c r="GL115" s="10">
        <f>DATE(2025,6,2)+TIME(20,17,50)</f>
        <v>45810.845717592594</v>
      </c>
    </row>
    <row r="116" spans="1:194" ht="110.25" x14ac:dyDescent="0.25">
      <c r="A116" s="3"/>
      <c r="B116" s="3"/>
      <c r="C116" s="3" t="s">
        <v>260</v>
      </c>
      <c r="D116" s="3" t="s">
        <v>789</v>
      </c>
      <c r="E116" s="3"/>
      <c r="F116" s="3" t="s">
        <v>262</v>
      </c>
      <c r="G116" s="3"/>
      <c r="H116" s="3"/>
      <c r="I116" s="3"/>
      <c r="J116" s="3" t="s">
        <v>790</v>
      </c>
      <c r="K116" s="3"/>
      <c r="L116" s="3"/>
      <c r="M116" s="3"/>
      <c r="N116" s="3"/>
      <c r="O116" s="3"/>
      <c r="P116" s="3"/>
      <c r="Q116" s="3"/>
      <c r="R116" s="3"/>
      <c r="S116" s="3"/>
      <c r="T116" s="3"/>
      <c r="U116" s="3"/>
      <c r="V116" s="3"/>
      <c r="W116" s="3"/>
      <c r="X116" s="3"/>
      <c r="Y116" s="3"/>
      <c r="Z116" s="3"/>
      <c r="AA116" s="3"/>
      <c r="AB116" s="3"/>
      <c r="AC116" s="3"/>
      <c r="AD116" s="3"/>
      <c r="AE116" s="3"/>
      <c r="AF116" s="4" t="s">
        <v>790</v>
      </c>
      <c r="AG116" s="3" t="s">
        <v>235</v>
      </c>
      <c r="AH116" s="3" t="s">
        <v>205</v>
      </c>
      <c r="AI116" s="3" t="s">
        <v>203</v>
      </c>
      <c r="AJ116" s="3" t="s">
        <v>203</v>
      </c>
      <c r="AK116" s="3" t="s">
        <v>203</v>
      </c>
      <c r="AL116" s="3" t="s">
        <v>203</v>
      </c>
      <c r="AM116" s="3" t="s">
        <v>203</v>
      </c>
      <c r="AN116" s="3" t="s">
        <v>203</v>
      </c>
      <c r="AO116" s="3" t="s">
        <v>203</v>
      </c>
      <c r="AP116" s="3" t="s">
        <v>203</v>
      </c>
      <c r="AQ116" s="3" t="s">
        <v>203</v>
      </c>
      <c r="AR116" s="3" t="s">
        <v>203</v>
      </c>
      <c r="AS116" s="3"/>
      <c r="AT116" s="3" t="s">
        <v>201</v>
      </c>
      <c r="AU116" s="3" t="s">
        <v>205</v>
      </c>
      <c r="AV116" s="3" t="s">
        <v>203</v>
      </c>
      <c r="AW116" s="3" t="s">
        <v>203</v>
      </c>
      <c r="AX116" s="3" t="s">
        <v>203</v>
      </c>
      <c r="AY116" s="3" t="s">
        <v>203</v>
      </c>
      <c r="AZ116" s="3" t="s">
        <v>201</v>
      </c>
      <c r="BA116" s="3" t="s">
        <v>203</v>
      </c>
      <c r="BB116" s="3" t="s">
        <v>203</v>
      </c>
      <c r="BC116" s="3" t="s">
        <v>203</v>
      </c>
      <c r="BD116" s="3" t="s">
        <v>203</v>
      </c>
      <c r="BE116" s="3" t="s">
        <v>203</v>
      </c>
      <c r="BF116" s="3" t="s">
        <v>203</v>
      </c>
      <c r="BG116" s="3" t="s">
        <v>203</v>
      </c>
      <c r="BH116" s="3" t="s">
        <v>203</v>
      </c>
      <c r="BI116" s="3" t="s">
        <v>203</v>
      </c>
      <c r="BJ116" s="3" t="s">
        <v>203</v>
      </c>
      <c r="BK116" s="3" t="s">
        <v>203</v>
      </c>
      <c r="BL116" s="3" t="s">
        <v>203</v>
      </c>
      <c r="BM116" s="3" t="s">
        <v>203</v>
      </c>
      <c r="BN116" s="3" t="s">
        <v>203</v>
      </c>
      <c r="BO116" s="3" t="s">
        <v>201</v>
      </c>
      <c r="BP116" s="3" t="s">
        <v>202</v>
      </c>
      <c r="BQ116" s="3" t="s">
        <v>201</v>
      </c>
      <c r="BR116" s="3"/>
      <c r="BS116" s="3"/>
      <c r="BT116" s="3"/>
      <c r="BU116" s="3" t="s">
        <v>201</v>
      </c>
      <c r="BV116" s="3" t="s">
        <v>202</v>
      </c>
      <c r="BW116" s="3" t="s">
        <v>202</v>
      </c>
      <c r="BX116" s="3" t="s">
        <v>202</v>
      </c>
      <c r="BY116" s="3" t="s">
        <v>202</v>
      </c>
      <c r="BZ116" s="3" t="s">
        <v>202</v>
      </c>
      <c r="CA116" s="3" t="s">
        <v>202</v>
      </c>
      <c r="CB116" s="3" t="s">
        <v>202</v>
      </c>
      <c r="CC116" s="3" t="s">
        <v>202</v>
      </c>
      <c r="CD116" s="3" t="s">
        <v>202</v>
      </c>
      <c r="CE116" s="3" t="s">
        <v>202</v>
      </c>
      <c r="CF116" s="3" t="s">
        <v>202</v>
      </c>
      <c r="CG116" s="3"/>
      <c r="CH116" s="3" t="s">
        <v>207</v>
      </c>
      <c r="CI116" s="3" t="s">
        <v>208</v>
      </c>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t="s">
        <v>294</v>
      </c>
      <c r="DV116" s="3"/>
      <c r="DW116" s="3" t="s">
        <v>208</v>
      </c>
      <c r="DX116" s="3" t="s">
        <v>246</v>
      </c>
      <c r="DY116" s="3"/>
      <c r="DZ116" s="3"/>
      <c r="EA116" s="3"/>
      <c r="EB116" s="3"/>
      <c r="EC116" s="3" t="s">
        <v>202</v>
      </c>
      <c r="ED116" s="3" t="s">
        <v>202</v>
      </c>
      <c r="EE116" s="3" t="s">
        <v>202</v>
      </c>
      <c r="EF116" s="3" t="s">
        <v>201</v>
      </c>
      <c r="EG116" s="3" t="s">
        <v>201</v>
      </c>
      <c r="EH116" s="3" t="s">
        <v>202</v>
      </c>
      <c r="EI116" s="3" t="s">
        <v>202</v>
      </c>
      <c r="EJ116" s="3" t="s">
        <v>201</v>
      </c>
      <c r="EK116" s="3" t="s">
        <v>201</v>
      </c>
      <c r="EL116" s="3" t="s">
        <v>202</v>
      </c>
      <c r="EM116" s="3" t="s">
        <v>202</v>
      </c>
      <c r="EN116" s="3" t="s">
        <v>202</v>
      </c>
      <c r="EO116" s="3" t="s">
        <v>202</v>
      </c>
      <c r="EP116" s="3"/>
      <c r="EQ116" s="3" t="s">
        <v>205</v>
      </c>
      <c r="ER116" s="3" t="s">
        <v>203</v>
      </c>
      <c r="ES116" s="3"/>
      <c r="ET116" s="3"/>
      <c r="EU116" s="3"/>
      <c r="EV116" s="3"/>
      <c r="EW116" s="3"/>
      <c r="EX116" s="3"/>
      <c r="EY116" s="3"/>
      <c r="EZ116" s="3"/>
      <c r="FA116" s="3"/>
      <c r="FB116" s="3"/>
      <c r="FC116" s="3"/>
      <c r="FD116" s="3"/>
      <c r="FE116" s="3"/>
      <c r="FF116" s="3"/>
      <c r="FG116" s="3"/>
      <c r="FH116" s="3" t="s">
        <v>203</v>
      </c>
      <c r="FI116" s="3" t="s">
        <v>203</v>
      </c>
      <c r="FJ116" s="3" t="s">
        <v>205</v>
      </c>
      <c r="FK116" s="3" t="s">
        <v>205</v>
      </c>
      <c r="FL116" s="3" t="s">
        <v>205</v>
      </c>
      <c r="FM116" s="3" t="s">
        <v>205</v>
      </c>
      <c r="FN116" s="3" t="s">
        <v>205</v>
      </c>
      <c r="FO116" s="3" t="s">
        <v>205</v>
      </c>
      <c r="FP116" s="3" t="s">
        <v>205</v>
      </c>
      <c r="FQ116" s="3" t="s">
        <v>205</v>
      </c>
      <c r="FR116" s="3" t="s">
        <v>203</v>
      </c>
      <c r="FS116" s="3" t="s">
        <v>203</v>
      </c>
      <c r="FT116" s="3" t="s">
        <v>202</v>
      </c>
      <c r="FU116" s="3"/>
      <c r="FV116" s="3"/>
      <c r="FW116" s="3"/>
      <c r="FX116" s="3"/>
      <c r="FY116" s="3" t="s">
        <v>201</v>
      </c>
      <c r="FZ116" s="3" t="s">
        <v>201</v>
      </c>
      <c r="GA116" s="3" t="s">
        <v>201</v>
      </c>
      <c r="GB116" s="3" t="s">
        <v>201</v>
      </c>
      <c r="GC116" s="3"/>
      <c r="GD116" s="3"/>
      <c r="GE116" s="3" t="s">
        <v>202</v>
      </c>
      <c r="GF116" s="3" t="s">
        <v>203</v>
      </c>
      <c r="GG116" s="3" t="s">
        <v>202</v>
      </c>
      <c r="GH116" s="3" t="s">
        <v>203</v>
      </c>
      <c r="GI116" s="3" t="s">
        <v>202</v>
      </c>
      <c r="GJ116" s="3" t="s">
        <v>202</v>
      </c>
      <c r="GK116" s="3"/>
      <c r="GL116" s="5">
        <f>DATE(2025,6,13)+TIME(11,12,36)</f>
        <v>45821.467083333337</v>
      </c>
    </row>
    <row r="117" spans="1:194" ht="47.25" x14ac:dyDescent="0.25">
      <c r="A117" s="6" t="s">
        <v>791</v>
      </c>
      <c r="B117" s="6" t="s">
        <v>792</v>
      </c>
      <c r="C117" s="6" t="s">
        <v>793</v>
      </c>
      <c r="D117" s="6" t="s">
        <v>794</v>
      </c>
      <c r="E117" s="6"/>
      <c r="F117" s="6" t="s">
        <v>416</v>
      </c>
      <c r="G117" s="6"/>
      <c r="H117" s="6"/>
      <c r="I117" s="6"/>
      <c r="J117" s="6"/>
      <c r="K117" s="6"/>
      <c r="L117" s="6"/>
      <c r="M117" s="6"/>
      <c r="N117" s="6"/>
      <c r="O117" s="6"/>
      <c r="P117" s="6" t="s">
        <v>795</v>
      </c>
      <c r="Q117" s="6"/>
      <c r="R117" s="6"/>
      <c r="S117" s="6"/>
      <c r="T117" s="6"/>
      <c r="U117" s="6"/>
      <c r="V117" s="6"/>
      <c r="W117" s="6"/>
      <c r="X117" s="6"/>
      <c r="Y117" s="6"/>
      <c r="Z117" s="6"/>
      <c r="AA117" s="6"/>
      <c r="AB117" s="6"/>
      <c r="AC117" s="6"/>
      <c r="AD117" s="6"/>
      <c r="AE117" s="6"/>
      <c r="AF117" s="4" t="s">
        <v>795</v>
      </c>
      <c r="AG117" s="6" t="s">
        <v>235</v>
      </c>
      <c r="AH117" s="6" t="s">
        <v>202</v>
      </c>
      <c r="AI117" s="6" t="s">
        <v>203</v>
      </c>
      <c r="AJ117" s="6" t="s">
        <v>204</v>
      </c>
      <c r="AK117" s="6" t="s">
        <v>202</v>
      </c>
      <c r="AL117" s="6" t="s">
        <v>203</v>
      </c>
      <c r="AM117" s="6" t="s">
        <v>205</v>
      </c>
      <c r="AN117" s="6" t="s">
        <v>204</v>
      </c>
      <c r="AO117" s="6" t="s">
        <v>204</v>
      </c>
      <c r="AP117" s="6" t="s">
        <v>204</v>
      </c>
      <c r="AQ117" s="6" t="s">
        <v>204</v>
      </c>
      <c r="AR117" s="6" t="s">
        <v>204</v>
      </c>
      <c r="AS117" s="6"/>
      <c r="AT117" s="6" t="s">
        <v>205</v>
      </c>
      <c r="AU117" s="6" t="s">
        <v>203</v>
      </c>
      <c r="AV117" s="6" t="s">
        <v>205</v>
      </c>
      <c r="AW117" s="6" t="s">
        <v>202</v>
      </c>
      <c r="AX117" s="6" t="s">
        <v>203</v>
      </c>
      <c r="AY117" s="6" t="s">
        <v>201</v>
      </c>
      <c r="AZ117" s="6" t="s">
        <v>203</v>
      </c>
      <c r="BA117" s="6" t="s">
        <v>205</v>
      </c>
      <c r="BB117" s="6" t="s">
        <v>203</v>
      </c>
      <c r="BC117" s="6" t="s">
        <v>203</v>
      </c>
      <c r="BD117" s="6" t="s">
        <v>201</v>
      </c>
      <c r="BE117" s="6" t="s">
        <v>204</v>
      </c>
      <c r="BF117" s="6" t="s">
        <v>204</v>
      </c>
      <c r="BG117" s="6" t="s">
        <v>204</v>
      </c>
      <c r="BH117" s="6" t="s">
        <v>204</v>
      </c>
      <c r="BI117" s="6" t="s">
        <v>204</v>
      </c>
      <c r="BJ117" s="6" t="s">
        <v>203</v>
      </c>
      <c r="BK117" s="6" t="s">
        <v>205</v>
      </c>
      <c r="BL117" s="6" t="s">
        <v>203</v>
      </c>
      <c r="BM117" s="6" t="s">
        <v>203</v>
      </c>
      <c r="BN117" s="6" t="s">
        <v>201</v>
      </c>
      <c r="BO117" s="6" t="s">
        <v>204</v>
      </c>
      <c r="BP117" s="6" t="s">
        <v>204</v>
      </c>
      <c r="BQ117" s="6" t="s">
        <v>204</v>
      </c>
      <c r="BR117" s="6" t="s">
        <v>204</v>
      </c>
      <c r="BS117" s="6"/>
      <c r="BT117" s="6" t="s">
        <v>206</v>
      </c>
      <c r="BU117" s="6" t="s">
        <v>202</v>
      </c>
      <c r="BV117" s="6" t="s">
        <v>202</v>
      </c>
      <c r="BW117" s="6" t="s">
        <v>202</v>
      </c>
      <c r="BX117" s="6" t="s">
        <v>202</v>
      </c>
      <c r="BY117" s="6" t="s">
        <v>202</v>
      </c>
      <c r="BZ117" s="6" t="s">
        <v>202</v>
      </c>
      <c r="CA117" s="6" t="s">
        <v>202</v>
      </c>
      <c r="CB117" s="6" t="s">
        <v>202</v>
      </c>
      <c r="CC117" s="6" t="s">
        <v>202</v>
      </c>
      <c r="CD117" s="6" t="s">
        <v>202</v>
      </c>
      <c r="CE117" s="6" t="s">
        <v>202</v>
      </c>
      <c r="CF117" s="6" t="s">
        <v>202</v>
      </c>
      <c r="CG117" s="6"/>
      <c r="CH117" s="6" t="s">
        <v>207</v>
      </c>
      <c r="CI117" s="6" t="s">
        <v>207</v>
      </c>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t="s">
        <v>237</v>
      </c>
      <c r="DR117" s="6"/>
      <c r="DS117" s="6"/>
      <c r="DT117" s="6"/>
      <c r="DU117" s="6"/>
      <c r="DV117" s="6"/>
      <c r="DW117" s="6" t="s">
        <v>207</v>
      </c>
      <c r="DX117" s="6"/>
      <c r="DY117" s="6"/>
      <c r="DZ117" s="6"/>
      <c r="EA117" s="6"/>
      <c r="EB117" s="6"/>
      <c r="EC117" s="6"/>
      <c r="ED117" s="6"/>
      <c r="EE117" s="6"/>
      <c r="EF117" s="6" t="s">
        <v>204</v>
      </c>
      <c r="EG117" s="6" t="s">
        <v>204</v>
      </c>
      <c r="EH117" s="6" t="s">
        <v>204</v>
      </c>
      <c r="EI117" s="6" t="s">
        <v>204</v>
      </c>
      <c r="EJ117" s="6" t="s">
        <v>204</v>
      </c>
      <c r="EK117" s="6" t="s">
        <v>204</v>
      </c>
      <c r="EL117" s="6" t="s">
        <v>204</v>
      </c>
      <c r="EM117" s="6"/>
      <c r="EN117" s="6"/>
      <c r="EO117" s="6"/>
      <c r="EP117" s="6"/>
      <c r="EQ117" s="6" t="s">
        <v>205</v>
      </c>
      <c r="ER117" s="6" t="s">
        <v>203</v>
      </c>
      <c r="ES117" s="6"/>
      <c r="ET117" s="6"/>
      <c r="EU117" s="6"/>
      <c r="EV117" s="6"/>
      <c r="EW117" s="6"/>
      <c r="EX117" s="6"/>
      <c r="EY117" s="6"/>
      <c r="EZ117" s="6"/>
      <c r="FA117" s="6"/>
      <c r="FB117" s="6"/>
      <c r="FC117" s="6"/>
      <c r="FD117" s="6"/>
      <c r="FE117" s="6"/>
      <c r="FF117" s="6"/>
      <c r="FG117" s="6"/>
      <c r="FH117" s="6" t="s">
        <v>204</v>
      </c>
      <c r="FI117" s="6" t="s">
        <v>204</v>
      </c>
      <c r="FJ117" s="6" t="s">
        <v>204</v>
      </c>
      <c r="FK117" s="6" t="s">
        <v>204</v>
      </c>
      <c r="FL117" s="6" t="s">
        <v>204</v>
      </c>
      <c r="FM117" s="6" t="s">
        <v>204</v>
      </c>
      <c r="FN117" s="6" t="s">
        <v>204</v>
      </c>
      <c r="FO117" s="6" t="s">
        <v>204</v>
      </c>
      <c r="FP117" s="6" t="s">
        <v>204</v>
      </c>
      <c r="FQ117" s="6" t="s">
        <v>204</v>
      </c>
      <c r="FR117" s="6" t="s">
        <v>204</v>
      </c>
      <c r="FS117" s="6" t="s">
        <v>204</v>
      </c>
      <c r="FT117" s="6" t="s">
        <v>204</v>
      </c>
      <c r="FU117" s="6" t="s">
        <v>204</v>
      </c>
      <c r="FV117" s="6"/>
      <c r="FW117" s="6" t="s">
        <v>238</v>
      </c>
      <c r="FX117" s="6"/>
      <c r="FY117" s="6" t="s">
        <v>202</v>
      </c>
      <c r="FZ117" s="6" t="s">
        <v>202</v>
      </c>
      <c r="GA117" s="6" t="s">
        <v>203</v>
      </c>
      <c r="GB117" s="6" t="s">
        <v>202</v>
      </c>
      <c r="GC117" s="6" t="s">
        <v>204</v>
      </c>
      <c r="GD117" s="6"/>
      <c r="GE117" s="6" t="s">
        <v>202</v>
      </c>
      <c r="GF117" s="6" t="s">
        <v>202</v>
      </c>
      <c r="GG117" s="6" t="s">
        <v>202</v>
      </c>
      <c r="GH117" s="6" t="s">
        <v>202</v>
      </c>
      <c r="GI117" s="6" t="s">
        <v>202</v>
      </c>
      <c r="GJ117" s="6" t="s">
        <v>202</v>
      </c>
      <c r="GK117" s="6"/>
      <c r="GL117" s="7">
        <f>DATE(2025,6,18)+TIME(12,11,23)</f>
        <v>45826.507905092592</v>
      </c>
    </row>
    <row r="118" spans="1:194" ht="47.25" x14ac:dyDescent="0.25">
      <c r="A118" s="3" t="s">
        <v>796</v>
      </c>
      <c r="B118" s="3" t="s">
        <v>797</v>
      </c>
      <c r="C118" s="3" t="s">
        <v>798</v>
      </c>
      <c r="D118" s="3" t="s">
        <v>799</v>
      </c>
      <c r="E118" s="3"/>
      <c r="F118" s="3" t="s">
        <v>408</v>
      </c>
      <c r="G118" s="3"/>
      <c r="H118" s="3"/>
      <c r="I118" s="3"/>
      <c r="J118" s="3"/>
      <c r="K118" s="3"/>
      <c r="L118" s="3" t="s">
        <v>800</v>
      </c>
      <c r="M118" s="3"/>
      <c r="N118" s="3"/>
      <c r="O118" s="3"/>
      <c r="P118" s="3"/>
      <c r="Q118" s="3"/>
      <c r="R118" s="3"/>
      <c r="S118" s="3"/>
      <c r="T118" s="3"/>
      <c r="U118" s="3"/>
      <c r="V118" s="3"/>
      <c r="W118" s="3"/>
      <c r="X118" s="3"/>
      <c r="Y118" s="3"/>
      <c r="Z118" s="3"/>
      <c r="AA118" s="3"/>
      <c r="AB118" s="3"/>
      <c r="AC118" s="3"/>
      <c r="AD118" s="3"/>
      <c r="AE118" s="3"/>
      <c r="AF118" s="4" t="s">
        <v>800</v>
      </c>
      <c r="AG118" s="3" t="s">
        <v>213</v>
      </c>
      <c r="AH118" s="3" t="s">
        <v>202</v>
      </c>
      <c r="AI118" s="3" t="s">
        <v>202</v>
      </c>
      <c r="AJ118" s="3" t="s">
        <v>203</v>
      </c>
      <c r="AK118" s="3" t="s">
        <v>202</v>
      </c>
      <c r="AL118" s="3" t="s">
        <v>202</v>
      </c>
      <c r="AM118" s="3" t="s">
        <v>201</v>
      </c>
      <c r="AN118" s="3" t="s">
        <v>202</v>
      </c>
      <c r="AO118" s="3" t="s">
        <v>202</v>
      </c>
      <c r="AP118" s="3" t="s">
        <v>203</v>
      </c>
      <c r="AQ118" s="3" t="s">
        <v>202</v>
      </c>
      <c r="AR118" s="3" t="s">
        <v>203</v>
      </c>
      <c r="AS118" s="3"/>
      <c r="AT118" s="3" t="s">
        <v>202</v>
      </c>
      <c r="AU118" s="3" t="s">
        <v>203</v>
      </c>
      <c r="AV118" s="3" t="s">
        <v>205</v>
      </c>
      <c r="AW118" s="3" t="s">
        <v>202</v>
      </c>
      <c r="AX118" s="3" t="s">
        <v>203</v>
      </c>
      <c r="AY118" s="3" t="s">
        <v>202</v>
      </c>
      <c r="AZ118" s="3" t="s">
        <v>202</v>
      </c>
      <c r="BA118" s="3" t="s">
        <v>205</v>
      </c>
      <c r="BB118" s="3" t="s">
        <v>202</v>
      </c>
      <c r="BC118" s="3" t="s">
        <v>203</v>
      </c>
      <c r="BD118" s="3" t="s">
        <v>203</v>
      </c>
      <c r="BE118" s="3" t="s">
        <v>204</v>
      </c>
      <c r="BF118" s="3" t="s">
        <v>204</v>
      </c>
      <c r="BG118" s="3" t="s">
        <v>204</v>
      </c>
      <c r="BH118" s="3" t="s">
        <v>204</v>
      </c>
      <c r="BI118" s="3" t="s">
        <v>204</v>
      </c>
      <c r="BJ118" s="3" t="s">
        <v>203</v>
      </c>
      <c r="BK118" s="3" t="s">
        <v>205</v>
      </c>
      <c r="BL118" s="3" t="s">
        <v>203</v>
      </c>
      <c r="BM118" s="3" t="s">
        <v>203</v>
      </c>
      <c r="BN118" s="3" t="s">
        <v>203</v>
      </c>
      <c r="BO118" s="3" t="s">
        <v>202</v>
      </c>
      <c r="BP118" s="3" t="s">
        <v>203</v>
      </c>
      <c r="BQ118" s="3" t="s">
        <v>202</v>
      </c>
      <c r="BR118" s="3" t="s">
        <v>202</v>
      </c>
      <c r="BS118" s="3" t="s">
        <v>801</v>
      </c>
      <c r="BT118" s="3" t="s">
        <v>210</v>
      </c>
      <c r="BU118" s="3" t="s">
        <v>201</v>
      </c>
      <c r="BV118" s="3" t="s">
        <v>201</v>
      </c>
      <c r="BW118" s="3" t="s">
        <v>201</v>
      </c>
      <c r="BX118" s="3" t="s">
        <v>202</v>
      </c>
      <c r="BY118" s="3" t="s">
        <v>202</v>
      </c>
      <c r="BZ118" s="3" t="s">
        <v>202</v>
      </c>
      <c r="CA118" s="3" t="s">
        <v>202</v>
      </c>
      <c r="CB118" s="3" t="s">
        <v>202</v>
      </c>
      <c r="CC118" s="3" t="s">
        <v>202</v>
      </c>
      <c r="CD118" s="3" t="s">
        <v>201</v>
      </c>
      <c r="CE118" s="3" t="s">
        <v>201</v>
      </c>
      <c r="CF118" s="3" t="s">
        <v>202</v>
      </c>
      <c r="CG118" s="3"/>
      <c r="CH118" s="3" t="s">
        <v>208</v>
      </c>
      <c r="CI118" s="3" t="s">
        <v>208</v>
      </c>
      <c r="CJ118" s="3" t="s">
        <v>201</v>
      </c>
      <c r="CK118" s="3" t="s">
        <v>202</v>
      </c>
      <c r="CL118" s="3" t="s">
        <v>202</v>
      </c>
      <c r="CM118" s="3" t="s">
        <v>202</v>
      </c>
      <c r="CN118" s="3" t="s">
        <v>202</v>
      </c>
      <c r="CO118" s="3" t="s">
        <v>202</v>
      </c>
      <c r="CP118" s="3" t="s">
        <v>203</v>
      </c>
      <c r="CQ118" s="3" t="s">
        <v>203</v>
      </c>
      <c r="CR118" s="3" t="s">
        <v>203</v>
      </c>
      <c r="CS118" s="3" t="s">
        <v>201</v>
      </c>
      <c r="CT118" s="3" t="s">
        <v>202</v>
      </c>
      <c r="CU118" s="3" t="s">
        <v>203</v>
      </c>
      <c r="CV118" s="3" t="s">
        <v>202</v>
      </c>
      <c r="CW118" s="3" t="s">
        <v>201</v>
      </c>
      <c r="CX118" s="3" t="s">
        <v>202</v>
      </c>
      <c r="CY118" s="3" t="s">
        <v>201</v>
      </c>
      <c r="CZ118" s="3" t="s">
        <v>201</v>
      </c>
      <c r="DA118" s="3" t="s">
        <v>201</v>
      </c>
      <c r="DB118" s="3"/>
      <c r="DC118" s="3"/>
      <c r="DD118" s="3"/>
      <c r="DE118" s="3" t="s">
        <v>355</v>
      </c>
      <c r="DF118" s="3" t="s">
        <v>217</v>
      </c>
      <c r="DG118" s="3"/>
      <c r="DH118" s="3" t="s">
        <v>202</v>
      </c>
      <c r="DI118" s="3" t="s">
        <v>201</v>
      </c>
      <c r="DJ118" s="3" t="s">
        <v>201</v>
      </c>
      <c r="DK118" s="3" t="s">
        <v>204</v>
      </c>
      <c r="DL118" s="3" t="s">
        <v>204</v>
      </c>
      <c r="DM118" s="3" t="s">
        <v>202</v>
      </c>
      <c r="DN118" s="3" t="s">
        <v>204</v>
      </c>
      <c r="DO118" s="3"/>
      <c r="DP118" s="3"/>
      <c r="DQ118" s="3"/>
      <c r="DR118" s="3"/>
      <c r="DS118" s="3"/>
      <c r="DT118" s="3"/>
      <c r="DU118" s="3"/>
      <c r="DV118" s="3"/>
      <c r="DW118" s="3" t="s">
        <v>208</v>
      </c>
      <c r="DX118" s="3" t="s">
        <v>246</v>
      </c>
      <c r="DY118" s="3" t="s">
        <v>247</v>
      </c>
      <c r="DZ118" s="3"/>
      <c r="EA118" s="3"/>
      <c r="EB118" s="3"/>
      <c r="EC118" s="3" t="s">
        <v>202</v>
      </c>
      <c r="ED118" s="3" t="s">
        <v>203</v>
      </c>
      <c r="EE118" s="3" t="s">
        <v>203</v>
      </c>
      <c r="EF118" s="3" t="s">
        <v>205</v>
      </c>
      <c r="EG118" s="3" t="s">
        <v>203</v>
      </c>
      <c r="EH118" s="3" t="s">
        <v>203</v>
      </c>
      <c r="EI118" s="3" t="s">
        <v>203</v>
      </c>
      <c r="EJ118" s="3" t="s">
        <v>201</v>
      </c>
      <c r="EK118" s="3" t="s">
        <v>201</v>
      </c>
      <c r="EL118" s="3" t="s">
        <v>202</v>
      </c>
      <c r="EM118" s="3" t="s">
        <v>203</v>
      </c>
      <c r="EN118" s="3" t="s">
        <v>205</v>
      </c>
      <c r="EO118" s="3" t="s">
        <v>203</v>
      </c>
      <c r="EP118" s="3"/>
      <c r="EQ118" s="3" t="s">
        <v>203</v>
      </c>
      <c r="ER118" s="3" t="s">
        <v>203</v>
      </c>
      <c r="ES118" s="3"/>
      <c r="ET118" s="3" t="s">
        <v>203</v>
      </c>
      <c r="EU118" s="3" t="s">
        <v>203</v>
      </c>
      <c r="EV118" s="3" t="s">
        <v>203</v>
      </c>
      <c r="EW118" s="3" t="s">
        <v>204</v>
      </c>
      <c r="EX118" s="3"/>
      <c r="EY118" s="3" t="s">
        <v>203</v>
      </c>
      <c r="EZ118" s="3" t="s">
        <v>205</v>
      </c>
      <c r="FA118" s="3" t="s">
        <v>203</v>
      </c>
      <c r="FB118" s="3" t="s">
        <v>202</v>
      </c>
      <c r="FC118" s="3" t="s">
        <v>202</v>
      </c>
      <c r="FD118" s="3" t="s">
        <v>202</v>
      </c>
      <c r="FE118" s="3" t="s">
        <v>202</v>
      </c>
      <c r="FF118" s="3" t="s">
        <v>203</v>
      </c>
      <c r="FG118" s="3" t="s">
        <v>202</v>
      </c>
      <c r="FH118" s="3" t="s">
        <v>203</v>
      </c>
      <c r="FI118" s="3" t="s">
        <v>203</v>
      </c>
      <c r="FJ118" s="3" t="s">
        <v>203</v>
      </c>
      <c r="FK118" s="3" t="s">
        <v>203</v>
      </c>
      <c r="FL118" s="3" t="s">
        <v>203</v>
      </c>
      <c r="FM118" s="3" t="s">
        <v>203</v>
      </c>
      <c r="FN118" s="3" t="s">
        <v>202</v>
      </c>
      <c r="FO118" s="3" t="s">
        <v>203</v>
      </c>
      <c r="FP118" s="3" t="s">
        <v>203</v>
      </c>
      <c r="FQ118" s="3" t="s">
        <v>202</v>
      </c>
      <c r="FR118" s="3" t="s">
        <v>201</v>
      </c>
      <c r="FS118" s="3" t="s">
        <v>202</v>
      </c>
      <c r="FT118" s="3" t="s">
        <v>202</v>
      </c>
      <c r="FU118" s="3" t="s">
        <v>204</v>
      </c>
      <c r="FV118" s="3"/>
      <c r="FW118" s="3" t="s">
        <v>210</v>
      </c>
      <c r="FX118" s="3"/>
      <c r="FY118" s="3" t="s">
        <v>201</v>
      </c>
      <c r="FZ118" s="3" t="s">
        <v>201</v>
      </c>
      <c r="GA118" s="3" t="s">
        <v>201</v>
      </c>
      <c r="GB118" s="3" t="s">
        <v>202</v>
      </c>
      <c r="GC118" s="3" t="s">
        <v>204</v>
      </c>
      <c r="GD118" s="3"/>
      <c r="GE118" s="3" t="s">
        <v>203</v>
      </c>
      <c r="GF118" s="3" t="s">
        <v>201</v>
      </c>
      <c r="GG118" s="3" t="s">
        <v>201</v>
      </c>
      <c r="GH118" s="3" t="s">
        <v>201</v>
      </c>
      <c r="GI118" s="3" t="s">
        <v>201</v>
      </c>
      <c r="GJ118" s="3" t="s">
        <v>202</v>
      </c>
      <c r="GK118" s="3"/>
      <c r="GL118" s="5">
        <f>DATE(2025,6,13)+TIME(14,9,20)</f>
        <v>45821.589814814812</v>
      </c>
    </row>
    <row r="119" spans="1:194" ht="409.5" x14ac:dyDescent="0.25">
      <c r="A119" s="6" t="s">
        <v>802</v>
      </c>
      <c r="B119" s="6" t="s">
        <v>803</v>
      </c>
      <c r="C119" s="6" t="s">
        <v>804</v>
      </c>
      <c r="D119" s="6" t="s">
        <v>805</v>
      </c>
      <c r="E119" s="6"/>
      <c r="F119" s="6" t="s">
        <v>806</v>
      </c>
      <c r="G119" s="6"/>
      <c r="H119" s="6"/>
      <c r="I119" s="6"/>
      <c r="J119" s="6"/>
      <c r="K119" s="6"/>
      <c r="L119" s="6"/>
      <c r="M119" s="6"/>
      <c r="N119" s="6"/>
      <c r="O119" s="6"/>
      <c r="P119" s="6"/>
      <c r="Q119" s="6" t="s">
        <v>807</v>
      </c>
      <c r="R119" s="6"/>
      <c r="S119" s="6"/>
      <c r="T119" s="6"/>
      <c r="U119" s="6"/>
      <c r="V119" s="6"/>
      <c r="W119" s="6"/>
      <c r="X119" s="6"/>
      <c r="Y119" s="6"/>
      <c r="Z119" s="6"/>
      <c r="AA119" s="6"/>
      <c r="AB119" s="6"/>
      <c r="AC119" s="6"/>
      <c r="AD119" s="6"/>
      <c r="AE119" s="6"/>
      <c r="AF119" s="4" t="s">
        <v>807</v>
      </c>
      <c r="AG119" s="6" t="s">
        <v>235</v>
      </c>
      <c r="AH119" s="6" t="s">
        <v>203</v>
      </c>
      <c r="AI119" s="6" t="s">
        <v>201</v>
      </c>
      <c r="AJ119" s="6" t="s">
        <v>203</v>
      </c>
      <c r="AK119" s="6" t="s">
        <v>201</v>
      </c>
      <c r="AL119" s="6" t="s">
        <v>203</v>
      </c>
      <c r="AM119" s="6" t="s">
        <v>202</v>
      </c>
      <c r="AN119" s="6" t="s">
        <v>202</v>
      </c>
      <c r="AO119" s="6" t="s">
        <v>203</v>
      </c>
      <c r="AP119" s="6" t="s">
        <v>205</v>
      </c>
      <c r="AQ119" s="6" t="s">
        <v>205</v>
      </c>
      <c r="AR119" s="6" t="s">
        <v>201</v>
      </c>
      <c r="AS119" s="6"/>
      <c r="AT119" s="6" t="s">
        <v>202</v>
      </c>
      <c r="AU119" s="6" t="s">
        <v>202</v>
      </c>
      <c r="AV119" s="6" t="s">
        <v>205</v>
      </c>
      <c r="AW119" s="6" t="s">
        <v>202</v>
      </c>
      <c r="AX119" s="6" t="s">
        <v>203</v>
      </c>
      <c r="AY119" s="6" t="s">
        <v>201</v>
      </c>
      <c r="AZ119" s="6" t="s">
        <v>201</v>
      </c>
      <c r="BA119" s="6" t="s">
        <v>205</v>
      </c>
      <c r="BB119" s="6" t="s">
        <v>201</v>
      </c>
      <c r="BC119" s="6" t="s">
        <v>201</v>
      </c>
      <c r="BD119" s="6" t="s">
        <v>201</v>
      </c>
      <c r="BE119" s="6" t="s">
        <v>201</v>
      </c>
      <c r="BF119" s="6" t="s">
        <v>203</v>
      </c>
      <c r="BG119" s="6" t="s">
        <v>202</v>
      </c>
      <c r="BH119" s="6" t="s">
        <v>202</v>
      </c>
      <c r="BI119" s="6" t="s">
        <v>201</v>
      </c>
      <c r="BJ119" s="6" t="s">
        <v>201</v>
      </c>
      <c r="BK119" s="6" t="s">
        <v>205</v>
      </c>
      <c r="BL119" s="6" t="s">
        <v>201</v>
      </c>
      <c r="BM119" s="6" t="s">
        <v>202</v>
      </c>
      <c r="BN119" s="6" t="s">
        <v>201</v>
      </c>
      <c r="BO119" s="6" t="s">
        <v>202</v>
      </c>
      <c r="BP119" s="6" t="s">
        <v>203</v>
      </c>
      <c r="BQ119" s="6" t="s">
        <v>203</v>
      </c>
      <c r="BR119" s="6" t="s">
        <v>203</v>
      </c>
      <c r="BS119" s="6" t="s">
        <v>808</v>
      </c>
      <c r="BT119" s="6" t="s">
        <v>206</v>
      </c>
      <c r="BU119" s="6" t="s">
        <v>201</v>
      </c>
      <c r="BV119" s="6" t="s">
        <v>201</v>
      </c>
      <c r="BW119" s="6" t="s">
        <v>201</v>
      </c>
      <c r="BX119" s="6" t="s">
        <v>201</v>
      </c>
      <c r="BY119" s="6" t="s">
        <v>201</v>
      </c>
      <c r="BZ119" s="6" t="s">
        <v>201</v>
      </c>
      <c r="CA119" s="6" t="s">
        <v>201</v>
      </c>
      <c r="CB119" s="6" t="s">
        <v>201</v>
      </c>
      <c r="CC119" s="6" t="s">
        <v>201</v>
      </c>
      <c r="CD119" s="6" t="s">
        <v>201</v>
      </c>
      <c r="CE119" s="6" t="s">
        <v>201</v>
      </c>
      <c r="CF119" s="6" t="s">
        <v>201</v>
      </c>
      <c r="CG119" s="6"/>
      <c r="CH119" s="6" t="s">
        <v>207</v>
      </c>
      <c r="CI119" s="6" t="s">
        <v>207</v>
      </c>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t="s">
        <v>236</v>
      </c>
      <c r="DQ119" s="6" t="s">
        <v>237</v>
      </c>
      <c r="DR119" s="6"/>
      <c r="DS119" s="6"/>
      <c r="DT119" s="6"/>
      <c r="DU119" s="6"/>
      <c r="DV119" s="6"/>
      <c r="DW119" s="6" t="s">
        <v>208</v>
      </c>
      <c r="DX119" s="6"/>
      <c r="DY119" s="6" t="s">
        <v>247</v>
      </c>
      <c r="DZ119" s="6"/>
      <c r="EA119" s="6" t="s">
        <v>220</v>
      </c>
      <c r="EB119" s="6" t="s">
        <v>437</v>
      </c>
      <c r="EC119" s="6" t="s">
        <v>204</v>
      </c>
      <c r="ED119" s="6" t="s">
        <v>204</v>
      </c>
      <c r="EE119" s="6" t="s">
        <v>204</v>
      </c>
      <c r="EF119" s="6" t="s">
        <v>201</v>
      </c>
      <c r="EG119" s="6" t="s">
        <v>203</v>
      </c>
      <c r="EH119" s="6" t="s">
        <v>202</v>
      </c>
      <c r="EI119" s="6" t="s">
        <v>202</v>
      </c>
      <c r="EJ119" s="6" t="s">
        <v>201</v>
      </c>
      <c r="EK119" s="6" t="s">
        <v>205</v>
      </c>
      <c r="EL119" s="6" t="s">
        <v>201</v>
      </c>
      <c r="EM119" s="6"/>
      <c r="EN119" s="6"/>
      <c r="EO119" s="6"/>
      <c r="EP119" s="6"/>
      <c r="EQ119" s="6" t="s">
        <v>205</v>
      </c>
      <c r="ER119" s="6" t="s">
        <v>205</v>
      </c>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t="s">
        <v>201</v>
      </c>
      <c r="FZ119" s="6" t="s">
        <v>203</v>
      </c>
      <c r="GA119" s="6" t="s">
        <v>201</v>
      </c>
      <c r="GB119" s="6" t="s">
        <v>202</v>
      </c>
      <c r="GC119" s="6"/>
      <c r="GD119" s="6"/>
      <c r="GE119" s="6" t="s">
        <v>203</v>
      </c>
      <c r="GF119" s="6" t="s">
        <v>201</v>
      </c>
      <c r="GG119" s="6" t="s">
        <v>202</v>
      </c>
      <c r="GH119" s="6" t="s">
        <v>201</v>
      </c>
      <c r="GI119" s="6" t="s">
        <v>201</v>
      </c>
      <c r="GJ119" s="6" t="s">
        <v>201</v>
      </c>
      <c r="GK119" s="6" t="s">
        <v>809</v>
      </c>
      <c r="GL119" s="7">
        <f>DATE(2025,6,4)+TIME(9,33,59)</f>
        <v>45812.398599537039</v>
      </c>
    </row>
    <row r="120" spans="1:194" ht="283.5" x14ac:dyDescent="0.25">
      <c r="A120" s="3" t="s">
        <v>810</v>
      </c>
      <c r="B120" s="3" t="s">
        <v>811</v>
      </c>
      <c r="C120" s="3" t="s">
        <v>812</v>
      </c>
      <c r="D120" s="3" t="s">
        <v>813</v>
      </c>
      <c r="E120" s="3"/>
      <c r="F120" s="3" t="s">
        <v>444</v>
      </c>
      <c r="G120" s="3"/>
      <c r="H120" s="3"/>
      <c r="I120" s="3"/>
      <c r="J120" s="3"/>
      <c r="K120" s="3"/>
      <c r="L120" s="3"/>
      <c r="M120" s="3"/>
      <c r="N120" s="3"/>
      <c r="O120" s="3"/>
      <c r="P120" s="3"/>
      <c r="Q120" s="3"/>
      <c r="R120" s="3"/>
      <c r="S120" s="3"/>
      <c r="T120" s="3"/>
      <c r="U120" s="3"/>
      <c r="V120" s="3"/>
      <c r="W120" s="3"/>
      <c r="X120" s="3"/>
      <c r="Y120" s="3" t="s">
        <v>814</v>
      </c>
      <c r="Z120" s="3"/>
      <c r="AA120" s="3"/>
      <c r="AB120" s="3"/>
      <c r="AC120" s="3"/>
      <c r="AD120" s="3"/>
      <c r="AE120" s="3"/>
      <c r="AF120" s="4" t="s">
        <v>814</v>
      </c>
      <c r="AG120" s="3" t="s">
        <v>235</v>
      </c>
      <c r="AH120" s="3" t="s">
        <v>203</v>
      </c>
      <c r="AI120" s="3" t="s">
        <v>203</v>
      </c>
      <c r="AJ120" s="3" t="s">
        <v>204</v>
      </c>
      <c r="AK120" s="3" t="s">
        <v>202</v>
      </c>
      <c r="AL120" s="3" t="s">
        <v>202</v>
      </c>
      <c r="AM120" s="3" t="s">
        <v>204</v>
      </c>
      <c r="AN120" s="3" t="s">
        <v>204</v>
      </c>
      <c r="AO120" s="3" t="s">
        <v>204</v>
      </c>
      <c r="AP120" s="3" t="s">
        <v>204</v>
      </c>
      <c r="AQ120" s="3" t="s">
        <v>203</v>
      </c>
      <c r="AR120" s="3" t="s">
        <v>202</v>
      </c>
      <c r="AS120" s="3"/>
      <c r="AT120" s="3" t="s">
        <v>205</v>
      </c>
      <c r="AU120" s="3" t="s">
        <v>203</v>
      </c>
      <c r="AV120" s="3" t="s">
        <v>205</v>
      </c>
      <c r="AW120" s="3" t="s">
        <v>205</v>
      </c>
      <c r="AX120" s="3" t="s">
        <v>205</v>
      </c>
      <c r="AY120" s="3" t="s">
        <v>201</v>
      </c>
      <c r="AZ120" s="3" t="s">
        <v>203</v>
      </c>
      <c r="BA120" s="3" t="s">
        <v>203</v>
      </c>
      <c r="BB120" s="3" t="s">
        <v>202</v>
      </c>
      <c r="BC120" s="3" t="s">
        <v>205</v>
      </c>
      <c r="BD120" s="3" t="s">
        <v>201</v>
      </c>
      <c r="BE120" s="3" t="s">
        <v>204</v>
      </c>
      <c r="BF120" s="3" t="s">
        <v>204</v>
      </c>
      <c r="BG120" s="3" t="s">
        <v>204</v>
      </c>
      <c r="BH120" s="3" t="s">
        <v>204</v>
      </c>
      <c r="BI120" s="3" t="s">
        <v>204</v>
      </c>
      <c r="BJ120" s="3" t="s">
        <v>202</v>
      </c>
      <c r="BK120" s="3" t="s">
        <v>203</v>
      </c>
      <c r="BL120" s="3" t="s">
        <v>202</v>
      </c>
      <c r="BM120" s="3" t="s">
        <v>205</v>
      </c>
      <c r="BN120" s="3" t="s">
        <v>201</v>
      </c>
      <c r="BO120" s="3" t="s">
        <v>202</v>
      </c>
      <c r="BP120" s="3" t="s">
        <v>204</v>
      </c>
      <c r="BQ120" s="3" t="s">
        <v>204</v>
      </c>
      <c r="BR120" s="3" t="s">
        <v>204</v>
      </c>
      <c r="BS120" s="3"/>
      <c r="BT120" s="3" t="s">
        <v>206</v>
      </c>
      <c r="BU120" s="3" t="s">
        <v>201</v>
      </c>
      <c r="BV120" s="3" t="s">
        <v>201</v>
      </c>
      <c r="BW120" s="3" t="s">
        <v>201</v>
      </c>
      <c r="BX120" s="3" t="s">
        <v>203</v>
      </c>
      <c r="BY120" s="3" t="s">
        <v>201</v>
      </c>
      <c r="BZ120" s="3" t="s">
        <v>202</v>
      </c>
      <c r="CA120" s="3" t="s">
        <v>202</v>
      </c>
      <c r="CB120" s="3" t="s">
        <v>203</v>
      </c>
      <c r="CC120" s="3" t="s">
        <v>202</v>
      </c>
      <c r="CD120" s="3" t="s">
        <v>202</v>
      </c>
      <c r="CE120" s="3" t="s">
        <v>201</v>
      </c>
      <c r="CF120" s="3" t="s">
        <v>202</v>
      </c>
      <c r="CG120" s="3"/>
      <c r="CH120" s="3" t="s">
        <v>207</v>
      </c>
      <c r="CI120" s="3" t="s">
        <v>207</v>
      </c>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t="s">
        <v>236</v>
      </c>
      <c r="DQ120" s="3"/>
      <c r="DR120" s="3"/>
      <c r="DS120" s="3"/>
      <c r="DT120" s="3"/>
      <c r="DU120" s="3"/>
      <c r="DV120" s="3"/>
      <c r="DW120" s="3" t="s">
        <v>207</v>
      </c>
      <c r="DX120" s="3"/>
      <c r="DY120" s="3"/>
      <c r="DZ120" s="3"/>
      <c r="EA120" s="3"/>
      <c r="EB120" s="3"/>
      <c r="EC120" s="3"/>
      <c r="ED120" s="3"/>
      <c r="EE120" s="3"/>
      <c r="EF120" s="3" t="s">
        <v>201</v>
      </c>
      <c r="EG120" s="3" t="s">
        <v>204</v>
      </c>
      <c r="EH120" s="3" t="s">
        <v>204</v>
      </c>
      <c r="EI120" s="3" t="s">
        <v>201</v>
      </c>
      <c r="EJ120" s="3" t="s">
        <v>204</v>
      </c>
      <c r="EK120" s="3" t="s">
        <v>205</v>
      </c>
      <c r="EL120" s="3" t="s">
        <v>203</v>
      </c>
      <c r="EM120" s="3"/>
      <c r="EN120" s="3"/>
      <c r="EO120" s="3"/>
      <c r="EP120" s="3"/>
      <c r="EQ120" s="3" t="s">
        <v>205</v>
      </c>
      <c r="ER120" s="3" t="s">
        <v>205</v>
      </c>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t="s">
        <v>202</v>
      </c>
      <c r="FZ120" s="3" t="s">
        <v>202</v>
      </c>
      <c r="GA120" s="3" t="s">
        <v>201</v>
      </c>
      <c r="GB120" s="3" t="s">
        <v>202</v>
      </c>
      <c r="GC120" s="3" t="s">
        <v>204</v>
      </c>
      <c r="GD120" s="3"/>
      <c r="GE120" s="3" t="s">
        <v>202</v>
      </c>
      <c r="GF120" s="3" t="s">
        <v>201</v>
      </c>
      <c r="GG120" s="3" t="s">
        <v>202</v>
      </c>
      <c r="GH120" s="3" t="s">
        <v>202</v>
      </c>
      <c r="GI120" s="3" t="s">
        <v>201</v>
      </c>
      <c r="GJ120" s="3" t="s">
        <v>202</v>
      </c>
      <c r="GK120" s="3" t="s">
        <v>815</v>
      </c>
      <c r="GL120" s="5">
        <f>DATE(2025,6,2)+TIME(15,8,30)</f>
        <v>45810.630902777775</v>
      </c>
    </row>
    <row r="121" spans="1:194" ht="126" x14ac:dyDescent="0.25">
      <c r="A121" s="6" t="s">
        <v>816</v>
      </c>
      <c r="B121" s="6" t="s">
        <v>817</v>
      </c>
      <c r="C121" s="6" t="s">
        <v>818</v>
      </c>
      <c r="D121" s="6" t="s">
        <v>819</v>
      </c>
      <c r="E121" s="6"/>
      <c r="F121" s="6" t="s">
        <v>423</v>
      </c>
      <c r="G121" s="6"/>
      <c r="H121" s="6"/>
      <c r="I121" s="6"/>
      <c r="J121" s="6"/>
      <c r="K121" s="6"/>
      <c r="L121" s="6"/>
      <c r="M121" s="6"/>
      <c r="N121" s="6"/>
      <c r="O121" s="6"/>
      <c r="P121" s="6"/>
      <c r="Q121" s="6"/>
      <c r="R121" s="6"/>
      <c r="S121" s="6"/>
      <c r="T121" s="6" t="s">
        <v>820</v>
      </c>
      <c r="U121" s="6"/>
      <c r="V121" s="6"/>
      <c r="W121" s="6"/>
      <c r="X121" s="6"/>
      <c r="Y121" s="6"/>
      <c r="Z121" s="6"/>
      <c r="AA121" s="6"/>
      <c r="AB121" s="6"/>
      <c r="AC121" s="6"/>
      <c r="AD121" s="6"/>
      <c r="AE121" s="6"/>
      <c r="AF121" s="4" t="s">
        <v>820</v>
      </c>
      <c r="AG121" s="6" t="s">
        <v>235</v>
      </c>
      <c r="AH121" s="6" t="s">
        <v>203</v>
      </c>
      <c r="AI121" s="6" t="s">
        <v>202</v>
      </c>
      <c r="AJ121" s="6" t="s">
        <v>204</v>
      </c>
      <c r="AK121" s="6" t="s">
        <v>202</v>
      </c>
      <c r="AL121" s="6" t="s">
        <v>202</v>
      </c>
      <c r="AM121" s="6" t="s">
        <v>204</v>
      </c>
      <c r="AN121" s="6" t="s">
        <v>204</v>
      </c>
      <c r="AO121" s="6" t="s">
        <v>203</v>
      </c>
      <c r="AP121" s="6" t="s">
        <v>203</v>
      </c>
      <c r="AQ121" s="6" t="s">
        <v>202</v>
      </c>
      <c r="AR121" s="6" t="s">
        <v>204</v>
      </c>
      <c r="AS121" s="6"/>
      <c r="AT121" s="6" t="s">
        <v>205</v>
      </c>
      <c r="AU121" s="6" t="s">
        <v>203</v>
      </c>
      <c r="AV121" s="6" t="s">
        <v>205</v>
      </c>
      <c r="AW121" s="6" t="s">
        <v>203</v>
      </c>
      <c r="AX121" s="6" t="s">
        <v>205</v>
      </c>
      <c r="AY121" s="6" t="s">
        <v>204</v>
      </c>
      <c r="AZ121" s="6" t="s">
        <v>203</v>
      </c>
      <c r="BA121" s="6" t="s">
        <v>205</v>
      </c>
      <c r="BB121" s="6" t="s">
        <v>203</v>
      </c>
      <c r="BC121" s="6" t="s">
        <v>205</v>
      </c>
      <c r="BD121" s="6" t="s">
        <v>204</v>
      </c>
      <c r="BE121" s="6" t="s">
        <v>205</v>
      </c>
      <c r="BF121" s="6" t="s">
        <v>205</v>
      </c>
      <c r="BG121" s="6" t="s">
        <v>205</v>
      </c>
      <c r="BH121" s="6" t="s">
        <v>205</v>
      </c>
      <c r="BI121" s="6" t="s">
        <v>205</v>
      </c>
      <c r="BJ121" s="6" t="s">
        <v>203</v>
      </c>
      <c r="BK121" s="6" t="s">
        <v>205</v>
      </c>
      <c r="BL121" s="6" t="s">
        <v>202</v>
      </c>
      <c r="BM121" s="6" t="s">
        <v>205</v>
      </c>
      <c r="BN121" s="6" t="s">
        <v>204</v>
      </c>
      <c r="BO121" s="6" t="s">
        <v>205</v>
      </c>
      <c r="BP121" s="6" t="s">
        <v>205</v>
      </c>
      <c r="BQ121" s="6" t="s">
        <v>205</v>
      </c>
      <c r="BR121" s="6" t="s">
        <v>203</v>
      </c>
      <c r="BS121" s="6" t="s">
        <v>821</v>
      </c>
      <c r="BT121" s="6" t="s">
        <v>206</v>
      </c>
      <c r="BU121" s="6" t="s">
        <v>203</v>
      </c>
      <c r="BV121" s="6" t="s">
        <v>203</v>
      </c>
      <c r="BW121" s="6" t="s">
        <v>203</v>
      </c>
      <c r="BX121" s="6" t="s">
        <v>202</v>
      </c>
      <c r="BY121" s="6" t="s">
        <v>202</v>
      </c>
      <c r="BZ121" s="6" t="s">
        <v>202</v>
      </c>
      <c r="CA121" s="6" t="s">
        <v>204</v>
      </c>
      <c r="CB121" s="6" t="s">
        <v>204</v>
      </c>
      <c r="CC121" s="6" t="s">
        <v>204</v>
      </c>
      <c r="CD121" s="6" t="s">
        <v>202</v>
      </c>
      <c r="CE121" s="6" t="s">
        <v>202</v>
      </c>
      <c r="CF121" s="6" t="s">
        <v>202</v>
      </c>
      <c r="CG121" s="6"/>
      <c r="CH121" s="6" t="s">
        <v>207</v>
      </c>
      <c r="CI121" s="6" t="s">
        <v>207</v>
      </c>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t="s">
        <v>822</v>
      </c>
      <c r="DW121" s="6" t="s">
        <v>208</v>
      </c>
      <c r="DX121" s="6"/>
      <c r="DY121" s="6"/>
      <c r="DZ121" s="6"/>
      <c r="EA121" s="6"/>
      <c r="EB121" s="6" t="s">
        <v>437</v>
      </c>
      <c r="EC121" s="6" t="s">
        <v>204</v>
      </c>
      <c r="ED121" s="6" t="s">
        <v>204</v>
      </c>
      <c r="EE121" s="6" t="s">
        <v>204</v>
      </c>
      <c r="EF121" s="6" t="s">
        <v>201</v>
      </c>
      <c r="EG121" s="6" t="s">
        <v>201</v>
      </c>
      <c r="EH121" s="6" t="s">
        <v>201</v>
      </c>
      <c r="EI121" s="6" t="s">
        <v>201</v>
      </c>
      <c r="EJ121" s="6" t="s">
        <v>204</v>
      </c>
      <c r="EK121" s="6" t="s">
        <v>204</v>
      </c>
      <c r="EL121" s="6" t="s">
        <v>204</v>
      </c>
      <c r="EM121" s="6"/>
      <c r="EN121" s="6"/>
      <c r="EO121" s="6"/>
      <c r="EP121" s="6"/>
      <c r="EQ121" s="6" t="s">
        <v>205</v>
      </c>
      <c r="ER121" s="6" t="s">
        <v>205</v>
      </c>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t="s">
        <v>204</v>
      </c>
      <c r="FZ121" s="6" t="s">
        <v>204</v>
      </c>
      <c r="GA121" s="6" t="s">
        <v>204</v>
      </c>
      <c r="GB121" s="6" t="s">
        <v>204</v>
      </c>
      <c r="GC121" s="6" t="s">
        <v>204</v>
      </c>
      <c r="GD121" s="6"/>
      <c r="GE121" s="6" t="s">
        <v>202</v>
      </c>
      <c r="GF121" s="6" t="s">
        <v>202</v>
      </c>
      <c r="GG121" s="6" t="s">
        <v>202</v>
      </c>
      <c r="GH121" s="6" t="s">
        <v>203</v>
      </c>
      <c r="GI121" s="6" t="s">
        <v>202</v>
      </c>
      <c r="GJ121" s="6" t="s">
        <v>202</v>
      </c>
      <c r="GK121" s="6"/>
      <c r="GL121" s="7">
        <f>DATE(2025,6,9)+TIME(9,57,44)</f>
        <v>45817.415092592593</v>
      </c>
    </row>
    <row r="122" spans="1:194" ht="47.25" x14ac:dyDescent="0.25">
      <c r="A122" s="3" t="s">
        <v>823</v>
      </c>
      <c r="B122" s="3" t="s">
        <v>824</v>
      </c>
      <c r="C122" s="3" t="s">
        <v>825</v>
      </c>
      <c r="D122" s="3" t="s">
        <v>826</v>
      </c>
      <c r="E122" s="3"/>
      <c r="F122" s="3" t="s">
        <v>408</v>
      </c>
      <c r="G122" s="3"/>
      <c r="H122" s="3"/>
      <c r="I122" s="3"/>
      <c r="J122" s="3"/>
      <c r="K122" s="3"/>
      <c r="L122" s="3" t="s">
        <v>827</v>
      </c>
      <c r="M122" s="3"/>
      <c r="N122" s="3"/>
      <c r="O122" s="3"/>
      <c r="P122" s="3"/>
      <c r="Q122" s="3"/>
      <c r="R122" s="3"/>
      <c r="S122" s="3"/>
      <c r="T122" s="3"/>
      <c r="U122" s="3"/>
      <c r="V122" s="3"/>
      <c r="W122" s="3"/>
      <c r="X122" s="3"/>
      <c r="Y122" s="3"/>
      <c r="Z122" s="3"/>
      <c r="AA122" s="3"/>
      <c r="AB122" s="3"/>
      <c r="AC122" s="3"/>
      <c r="AD122" s="3"/>
      <c r="AE122" s="3"/>
      <c r="AF122" s="4" t="s">
        <v>827</v>
      </c>
      <c r="AG122" s="3" t="s">
        <v>200</v>
      </c>
      <c r="AH122" s="3" t="s">
        <v>203</v>
      </c>
      <c r="AI122" s="3" t="s">
        <v>205</v>
      </c>
      <c r="AJ122" s="3" t="s">
        <v>205</v>
      </c>
      <c r="AK122" s="3" t="s">
        <v>203</v>
      </c>
      <c r="AL122" s="3" t="s">
        <v>203</v>
      </c>
      <c r="AM122" s="3" t="s">
        <v>205</v>
      </c>
      <c r="AN122" s="3" t="s">
        <v>205</v>
      </c>
      <c r="AO122" s="3" t="s">
        <v>205</v>
      </c>
      <c r="AP122" s="3" t="s">
        <v>205</v>
      </c>
      <c r="AQ122" s="3" t="s">
        <v>205</v>
      </c>
      <c r="AR122" s="3" t="s">
        <v>205</v>
      </c>
      <c r="AS122" s="3"/>
      <c r="AT122" s="3" t="s">
        <v>205</v>
      </c>
      <c r="AU122" s="3" t="s">
        <v>203</v>
      </c>
      <c r="AV122" s="3" t="s">
        <v>202</v>
      </c>
      <c r="AW122" s="3" t="s">
        <v>205</v>
      </c>
      <c r="AX122" s="3" t="s">
        <v>205</v>
      </c>
      <c r="AY122" s="3" t="s">
        <v>205</v>
      </c>
      <c r="AZ122" s="3" t="s">
        <v>202</v>
      </c>
      <c r="BA122" s="3" t="s">
        <v>202</v>
      </c>
      <c r="BB122" s="3" t="s">
        <v>205</v>
      </c>
      <c r="BC122" s="3" t="s">
        <v>205</v>
      </c>
      <c r="BD122" s="3" t="s">
        <v>205</v>
      </c>
      <c r="BE122" s="3" t="s">
        <v>205</v>
      </c>
      <c r="BF122" s="3" t="s">
        <v>202</v>
      </c>
      <c r="BG122" s="3" t="s">
        <v>205</v>
      </c>
      <c r="BH122" s="3" t="s">
        <v>205</v>
      </c>
      <c r="BI122" s="3" t="s">
        <v>205</v>
      </c>
      <c r="BJ122" s="3" t="s">
        <v>203</v>
      </c>
      <c r="BK122" s="3" t="s">
        <v>202</v>
      </c>
      <c r="BL122" s="3" t="s">
        <v>203</v>
      </c>
      <c r="BM122" s="3" t="s">
        <v>205</v>
      </c>
      <c r="BN122" s="3" t="s">
        <v>205</v>
      </c>
      <c r="BO122" s="3" t="s">
        <v>202</v>
      </c>
      <c r="BP122" s="3" t="s">
        <v>202</v>
      </c>
      <c r="BQ122" s="3" t="s">
        <v>203</v>
      </c>
      <c r="BR122" s="3" t="s">
        <v>205</v>
      </c>
      <c r="BS122" s="3"/>
      <c r="BT122" s="3" t="s">
        <v>828</v>
      </c>
      <c r="BU122" s="3" t="s">
        <v>202</v>
      </c>
      <c r="BV122" s="3" t="s">
        <v>202</v>
      </c>
      <c r="BW122" s="3" t="s">
        <v>203</v>
      </c>
      <c r="BX122" s="3" t="s">
        <v>202</v>
      </c>
      <c r="BY122" s="3" t="s">
        <v>202</v>
      </c>
      <c r="BZ122" s="3" t="s">
        <v>202</v>
      </c>
      <c r="CA122" s="3" t="s">
        <v>202</v>
      </c>
      <c r="CB122" s="3" t="s">
        <v>202</v>
      </c>
      <c r="CC122" s="3" t="s">
        <v>202</v>
      </c>
      <c r="CD122" s="3" t="s">
        <v>202</v>
      </c>
      <c r="CE122" s="3" t="s">
        <v>202</v>
      </c>
      <c r="CF122" s="3" t="s">
        <v>202</v>
      </c>
      <c r="CG122" s="3"/>
      <c r="CH122" s="3" t="s">
        <v>207</v>
      </c>
      <c r="CI122" s="3" t="s">
        <v>207</v>
      </c>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t="s">
        <v>829</v>
      </c>
      <c r="DW122" s="3" t="s">
        <v>208</v>
      </c>
      <c r="DX122" s="3" t="s">
        <v>246</v>
      </c>
      <c r="DY122" s="3"/>
      <c r="DZ122" s="3" t="s">
        <v>219</v>
      </c>
      <c r="EA122" s="3"/>
      <c r="EB122" s="3"/>
      <c r="EC122" s="3" t="s">
        <v>205</v>
      </c>
      <c r="ED122" s="3" t="s">
        <v>205</v>
      </c>
      <c r="EE122" s="3" t="s">
        <v>205</v>
      </c>
      <c r="EF122" s="3" t="s">
        <v>205</v>
      </c>
      <c r="EG122" s="3" t="s">
        <v>205</v>
      </c>
      <c r="EH122" s="3" t="s">
        <v>205</v>
      </c>
      <c r="EI122" s="3" t="s">
        <v>205</v>
      </c>
      <c r="EJ122" s="3" t="s">
        <v>201</v>
      </c>
      <c r="EK122" s="3" t="s">
        <v>201</v>
      </c>
      <c r="EL122" s="3" t="s">
        <v>201</v>
      </c>
      <c r="EM122" s="3"/>
      <c r="EN122" s="3"/>
      <c r="EO122" s="3"/>
      <c r="EP122" s="3"/>
      <c r="EQ122" s="3" t="s">
        <v>203</v>
      </c>
      <c r="ER122" s="3" t="s">
        <v>205</v>
      </c>
      <c r="ES122" s="3"/>
      <c r="ET122" s="3" t="s">
        <v>205</v>
      </c>
      <c r="EU122" s="3" t="s">
        <v>205</v>
      </c>
      <c r="EV122" s="3" t="s">
        <v>205</v>
      </c>
      <c r="EW122" s="3" t="s">
        <v>205</v>
      </c>
      <c r="EX122" s="3"/>
      <c r="EY122" s="3" t="s">
        <v>205</v>
      </c>
      <c r="EZ122" s="3" t="s">
        <v>205</v>
      </c>
      <c r="FA122" s="3" t="s">
        <v>205</v>
      </c>
      <c r="FB122" s="3" t="s">
        <v>205</v>
      </c>
      <c r="FC122" s="3" t="s">
        <v>205</v>
      </c>
      <c r="FD122" s="3" t="s">
        <v>205</v>
      </c>
      <c r="FE122" s="3" t="s">
        <v>205</v>
      </c>
      <c r="FF122" s="3" t="s">
        <v>205</v>
      </c>
      <c r="FG122" s="3" t="s">
        <v>205</v>
      </c>
      <c r="FH122" s="3"/>
      <c r="FI122" s="3"/>
      <c r="FJ122" s="3"/>
      <c r="FK122" s="3"/>
      <c r="FL122" s="3"/>
      <c r="FM122" s="3"/>
      <c r="FN122" s="3"/>
      <c r="FO122" s="3"/>
      <c r="FP122" s="3"/>
      <c r="FQ122" s="3"/>
      <c r="FR122" s="3" t="s">
        <v>204</v>
      </c>
      <c r="FS122" s="3" t="s">
        <v>204</v>
      </c>
      <c r="FT122" s="3" t="s">
        <v>204</v>
      </c>
      <c r="FU122" s="3" t="s">
        <v>204</v>
      </c>
      <c r="FV122" s="3"/>
      <c r="FW122" s="3"/>
      <c r="FX122" s="3"/>
      <c r="FY122" s="3" t="s">
        <v>205</v>
      </c>
      <c r="FZ122" s="3" t="s">
        <v>205</v>
      </c>
      <c r="GA122" s="3" t="s">
        <v>205</v>
      </c>
      <c r="GB122" s="3" t="s">
        <v>205</v>
      </c>
      <c r="GC122" s="3" t="s">
        <v>204</v>
      </c>
      <c r="GD122" s="3"/>
      <c r="GE122" s="3" t="s">
        <v>202</v>
      </c>
      <c r="GF122" s="3" t="s">
        <v>205</v>
      </c>
      <c r="GG122" s="3" t="s">
        <v>201</v>
      </c>
      <c r="GH122" s="3" t="s">
        <v>202</v>
      </c>
      <c r="GI122" s="3" t="s">
        <v>202</v>
      </c>
      <c r="GJ122" s="3" t="s">
        <v>201</v>
      </c>
      <c r="GK122" s="3"/>
      <c r="GL122" s="5">
        <f>DATE(2025,5,16)+TIME(11,41,46)</f>
        <v>45793.487337962964</v>
      </c>
    </row>
    <row r="123" spans="1:194" ht="126" x14ac:dyDescent="0.25">
      <c r="A123" s="6" t="s">
        <v>511</v>
      </c>
      <c r="B123" s="6" t="s">
        <v>512</v>
      </c>
      <c r="C123" s="6" t="s">
        <v>513</v>
      </c>
      <c r="D123" s="6" t="s">
        <v>830</v>
      </c>
      <c r="E123" s="6"/>
      <c r="F123" s="6" t="s">
        <v>408</v>
      </c>
      <c r="G123" s="6"/>
      <c r="H123" s="6"/>
      <c r="I123" s="6"/>
      <c r="J123" s="6"/>
      <c r="K123" s="6"/>
      <c r="L123" s="6" t="s">
        <v>831</v>
      </c>
      <c r="M123" s="6"/>
      <c r="N123" s="6"/>
      <c r="O123" s="6"/>
      <c r="P123" s="6"/>
      <c r="Q123" s="6"/>
      <c r="R123" s="6"/>
      <c r="S123" s="6"/>
      <c r="T123" s="6"/>
      <c r="U123" s="6"/>
      <c r="V123" s="6"/>
      <c r="W123" s="6"/>
      <c r="X123" s="6"/>
      <c r="Y123" s="6"/>
      <c r="Z123" s="6"/>
      <c r="AA123" s="6"/>
      <c r="AB123" s="6"/>
      <c r="AC123" s="6"/>
      <c r="AD123" s="6"/>
      <c r="AE123" s="6"/>
      <c r="AF123" s="4" t="s">
        <v>831</v>
      </c>
      <c r="AG123" s="6" t="s">
        <v>213</v>
      </c>
      <c r="AH123" s="6" t="s">
        <v>201</v>
      </c>
      <c r="AI123" s="6" t="s">
        <v>202</v>
      </c>
      <c r="AJ123" s="6" t="s">
        <v>202</v>
      </c>
      <c r="AK123" s="6" t="s">
        <v>203</v>
      </c>
      <c r="AL123" s="6" t="s">
        <v>205</v>
      </c>
      <c r="AM123" s="6" t="s">
        <v>205</v>
      </c>
      <c r="AN123" s="6" t="s">
        <v>205</v>
      </c>
      <c r="AO123" s="6" t="s">
        <v>205</v>
      </c>
      <c r="AP123" s="6" t="s">
        <v>205</v>
      </c>
      <c r="AQ123" s="6" t="s">
        <v>205</v>
      </c>
      <c r="AR123" s="6" t="s">
        <v>205</v>
      </c>
      <c r="AS123" s="6"/>
      <c r="AT123" s="6" t="s">
        <v>203</v>
      </c>
      <c r="AU123" s="6" t="s">
        <v>203</v>
      </c>
      <c r="AV123" s="6" t="s">
        <v>205</v>
      </c>
      <c r="AW123" s="6" t="s">
        <v>203</v>
      </c>
      <c r="AX123" s="6" t="s">
        <v>205</v>
      </c>
      <c r="AY123" s="6" t="s">
        <v>205</v>
      </c>
      <c r="AZ123" s="6" t="s">
        <v>203</v>
      </c>
      <c r="BA123" s="6" t="s">
        <v>205</v>
      </c>
      <c r="BB123" s="6" t="s">
        <v>203</v>
      </c>
      <c r="BC123" s="6" t="s">
        <v>205</v>
      </c>
      <c r="BD123" s="6" t="s">
        <v>205</v>
      </c>
      <c r="BE123" s="6" t="s">
        <v>205</v>
      </c>
      <c r="BF123" s="6" t="s">
        <v>205</v>
      </c>
      <c r="BG123" s="6" t="s">
        <v>205</v>
      </c>
      <c r="BH123" s="6" t="s">
        <v>205</v>
      </c>
      <c r="BI123" s="6" t="s">
        <v>205</v>
      </c>
      <c r="BJ123" s="6" t="s">
        <v>203</v>
      </c>
      <c r="BK123" s="6" t="s">
        <v>205</v>
      </c>
      <c r="BL123" s="6" t="s">
        <v>203</v>
      </c>
      <c r="BM123" s="6" t="s">
        <v>205</v>
      </c>
      <c r="BN123" s="6" t="s">
        <v>205</v>
      </c>
      <c r="BO123" s="6" t="s">
        <v>205</v>
      </c>
      <c r="BP123" s="6" t="s">
        <v>205</v>
      </c>
      <c r="BQ123" s="6" t="s">
        <v>205</v>
      </c>
      <c r="BR123" s="6" t="s">
        <v>203</v>
      </c>
      <c r="BS123" s="6" t="s">
        <v>832</v>
      </c>
      <c r="BT123" s="6" t="s">
        <v>210</v>
      </c>
      <c r="BU123" s="6" t="s">
        <v>201</v>
      </c>
      <c r="BV123" s="6" t="s">
        <v>201</v>
      </c>
      <c r="BW123" s="6" t="s">
        <v>202</v>
      </c>
      <c r="BX123" s="6" t="s">
        <v>202</v>
      </c>
      <c r="BY123" s="6" t="s">
        <v>202</v>
      </c>
      <c r="BZ123" s="6" t="s">
        <v>202</v>
      </c>
      <c r="CA123" s="6" t="s">
        <v>202</v>
      </c>
      <c r="CB123" s="6" t="s">
        <v>202</v>
      </c>
      <c r="CC123" s="6" t="s">
        <v>202</v>
      </c>
      <c r="CD123" s="6" t="s">
        <v>202</v>
      </c>
      <c r="CE123" s="6" t="s">
        <v>202</v>
      </c>
      <c r="CF123" s="6" t="s">
        <v>202</v>
      </c>
      <c r="CG123" s="6"/>
      <c r="CH123" s="6" t="s">
        <v>207</v>
      </c>
      <c r="CI123" s="6" t="s">
        <v>208</v>
      </c>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t="s">
        <v>833</v>
      </c>
      <c r="DW123" s="6" t="s">
        <v>208</v>
      </c>
      <c r="DX123" s="6"/>
      <c r="DY123" s="6"/>
      <c r="DZ123" s="6" t="s">
        <v>219</v>
      </c>
      <c r="EA123" s="6" t="s">
        <v>220</v>
      </c>
      <c r="EB123" s="6"/>
      <c r="EC123" s="6" t="s">
        <v>204</v>
      </c>
      <c r="ED123" s="6" t="s">
        <v>204</v>
      </c>
      <c r="EE123" s="6" t="s">
        <v>204</v>
      </c>
      <c r="EF123" s="6" t="s">
        <v>202</v>
      </c>
      <c r="EG123" s="6" t="s">
        <v>202</v>
      </c>
      <c r="EH123" s="6" t="s">
        <v>204</v>
      </c>
      <c r="EI123" s="6" t="s">
        <v>201</v>
      </c>
      <c r="EJ123" s="6" t="s">
        <v>201</v>
      </c>
      <c r="EK123" s="6" t="s">
        <v>201</v>
      </c>
      <c r="EL123" s="6" t="s">
        <v>201</v>
      </c>
      <c r="EM123" s="6" t="s">
        <v>203</v>
      </c>
      <c r="EN123" s="6" t="s">
        <v>205</v>
      </c>
      <c r="EO123" s="6" t="s">
        <v>202</v>
      </c>
      <c r="EP123" s="6"/>
      <c r="EQ123" s="6" t="s">
        <v>205</v>
      </c>
      <c r="ER123" s="6" t="s">
        <v>205</v>
      </c>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t="s">
        <v>201</v>
      </c>
      <c r="FZ123" s="6" t="s">
        <v>202</v>
      </c>
      <c r="GA123" s="6" t="s">
        <v>201</v>
      </c>
      <c r="GB123" s="6" t="s">
        <v>202</v>
      </c>
      <c r="GC123" s="6" t="s">
        <v>204</v>
      </c>
      <c r="GD123" s="6"/>
      <c r="GE123" s="6" t="s">
        <v>201</v>
      </c>
      <c r="GF123" s="6" t="s">
        <v>201</v>
      </c>
      <c r="GG123" s="6" t="s">
        <v>201</v>
      </c>
      <c r="GH123" s="6" t="s">
        <v>201</v>
      </c>
      <c r="GI123" s="6" t="s">
        <v>201</v>
      </c>
      <c r="GJ123" s="6" t="s">
        <v>201</v>
      </c>
      <c r="GK123" s="6" t="s">
        <v>834</v>
      </c>
      <c r="GL123" s="7">
        <f>DATE(2025,7,11)+TIME(15,21,29)</f>
        <v>45849.639918981484</v>
      </c>
    </row>
    <row r="124" spans="1:194" ht="47.25" x14ac:dyDescent="0.25">
      <c r="A124" s="3" t="s">
        <v>835</v>
      </c>
      <c r="B124" s="3" t="s">
        <v>836</v>
      </c>
      <c r="C124" s="3" t="s">
        <v>837</v>
      </c>
      <c r="D124" s="3" t="s">
        <v>838</v>
      </c>
      <c r="E124" s="3"/>
      <c r="F124" s="3" t="s">
        <v>839</v>
      </c>
      <c r="G124" s="3"/>
      <c r="H124" s="3"/>
      <c r="I124" s="3"/>
      <c r="J124" s="3"/>
      <c r="K124" s="3"/>
      <c r="L124" s="3"/>
      <c r="M124" s="3"/>
      <c r="N124" s="3"/>
      <c r="O124" s="3"/>
      <c r="P124" s="3"/>
      <c r="Q124" s="3"/>
      <c r="R124" s="3"/>
      <c r="S124" s="3"/>
      <c r="T124" s="3"/>
      <c r="U124" s="3" t="s">
        <v>840</v>
      </c>
      <c r="V124" s="3"/>
      <c r="W124" s="3"/>
      <c r="X124" s="3"/>
      <c r="Y124" s="3"/>
      <c r="Z124" s="3"/>
      <c r="AA124" s="3"/>
      <c r="AB124" s="3"/>
      <c r="AC124" s="3"/>
      <c r="AD124" s="3"/>
      <c r="AE124" s="3"/>
      <c r="AF124" s="4" t="s">
        <v>840</v>
      </c>
      <c r="AG124" s="3" t="s">
        <v>200</v>
      </c>
      <c r="AH124" s="3" t="s">
        <v>205</v>
      </c>
      <c r="AI124" s="3" t="s">
        <v>203</v>
      </c>
      <c r="AJ124" s="3" t="s">
        <v>205</v>
      </c>
      <c r="AK124" s="3" t="s">
        <v>205</v>
      </c>
      <c r="AL124" s="3" t="s">
        <v>203</v>
      </c>
      <c r="AM124" s="3" t="s">
        <v>204</v>
      </c>
      <c r="AN124" s="3" t="s">
        <v>205</v>
      </c>
      <c r="AO124" s="3" t="s">
        <v>204</v>
      </c>
      <c r="AP124" s="3" t="s">
        <v>204</v>
      </c>
      <c r="AQ124" s="3" t="s">
        <v>205</v>
      </c>
      <c r="AR124" s="3" t="s">
        <v>205</v>
      </c>
      <c r="AS124" s="3"/>
      <c r="AT124" s="3" t="s">
        <v>205</v>
      </c>
      <c r="AU124" s="3" t="s">
        <v>205</v>
      </c>
      <c r="AV124" s="3" t="s">
        <v>204</v>
      </c>
      <c r="AW124" s="3" t="s">
        <v>205</v>
      </c>
      <c r="AX124" s="3" t="s">
        <v>205</v>
      </c>
      <c r="AY124" s="3" t="s">
        <v>203</v>
      </c>
      <c r="AZ124" s="3" t="s">
        <v>205</v>
      </c>
      <c r="BA124" s="3" t="s">
        <v>201</v>
      </c>
      <c r="BB124" s="3" t="s">
        <v>205</v>
      </c>
      <c r="BC124" s="3" t="s">
        <v>205</v>
      </c>
      <c r="BD124" s="3" t="s">
        <v>203</v>
      </c>
      <c r="BE124" s="3" t="s">
        <v>205</v>
      </c>
      <c r="BF124" s="3" t="s">
        <v>204</v>
      </c>
      <c r="BG124" s="3" t="s">
        <v>205</v>
      </c>
      <c r="BH124" s="3" t="s">
        <v>205</v>
      </c>
      <c r="BI124" s="3" t="s">
        <v>203</v>
      </c>
      <c r="BJ124" s="3" t="s">
        <v>205</v>
      </c>
      <c r="BK124" s="3" t="s">
        <v>201</v>
      </c>
      <c r="BL124" s="3" t="s">
        <v>205</v>
      </c>
      <c r="BM124" s="3" t="s">
        <v>205</v>
      </c>
      <c r="BN124" s="3" t="s">
        <v>204</v>
      </c>
      <c r="BO124" s="3" t="s">
        <v>202</v>
      </c>
      <c r="BP124" s="3" t="s">
        <v>204</v>
      </c>
      <c r="BQ124" s="3" t="s">
        <v>204</v>
      </c>
      <c r="BR124" s="3" t="s">
        <v>204</v>
      </c>
      <c r="BS124" s="3"/>
      <c r="BT124" s="3" t="s">
        <v>271</v>
      </c>
      <c r="BU124" s="3" t="s">
        <v>203</v>
      </c>
      <c r="BV124" s="3" t="s">
        <v>203</v>
      </c>
      <c r="BW124" s="3" t="s">
        <v>203</v>
      </c>
      <c r="BX124" s="3" t="s">
        <v>203</v>
      </c>
      <c r="BY124" s="3" t="s">
        <v>203</v>
      </c>
      <c r="BZ124" s="3" t="s">
        <v>203</v>
      </c>
      <c r="CA124" s="3" t="s">
        <v>203</v>
      </c>
      <c r="CB124" s="3" t="s">
        <v>203</v>
      </c>
      <c r="CC124" s="3" t="s">
        <v>203</v>
      </c>
      <c r="CD124" s="3" t="s">
        <v>205</v>
      </c>
      <c r="CE124" s="3" t="s">
        <v>205</v>
      </c>
      <c r="CF124" s="3" t="s">
        <v>205</v>
      </c>
      <c r="CG124" s="3"/>
      <c r="CH124" s="3" t="s">
        <v>207</v>
      </c>
      <c r="CI124" s="3" t="s">
        <v>207</v>
      </c>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t="s">
        <v>236</v>
      </c>
      <c r="DQ124" s="3"/>
      <c r="DR124" s="3"/>
      <c r="DS124" s="3"/>
      <c r="DT124" s="3"/>
      <c r="DU124" s="3"/>
      <c r="DV124" s="3"/>
      <c r="DW124" s="3" t="s">
        <v>208</v>
      </c>
      <c r="DX124" s="3"/>
      <c r="DY124" s="3"/>
      <c r="DZ124" s="3"/>
      <c r="EA124" s="3" t="s">
        <v>220</v>
      </c>
      <c r="EB124" s="3"/>
      <c r="EC124" s="3" t="s">
        <v>204</v>
      </c>
      <c r="ED124" s="3" t="s">
        <v>204</v>
      </c>
      <c r="EE124" s="3" t="s">
        <v>204</v>
      </c>
      <c r="EF124" s="3" t="s">
        <v>202</v>
      </c>
      <c r="EG124" s="3" t="s">
        <v>205</v>
      </c>
      <c r="EH124" s="3" t="s">
        <v>205</v>
      </c>
      <c r="EI124" s="3" t="s">
        <v>202</v>
      </c>
      <c r="EJ124" s="3" t="s">
        <v>205</v>
      </c>
      <c r="EK124" s="3" t="s">
        <v>205</v>
      </c>
      <c r="EL124" s="3" t="s">
        <v>202</v>
      </c>
      <c r="EM124" s="3"/>
      <c r="EN124" s="3"/>
      <c r="EO124" s="3"/>
      <c r="EP124" s="3"/>
      <c r="EQ124" s="3" t="s">
        <v>205</v>
      </c>
      <c r="ER124" s="3" t="s">
        <v>205</v>
      </c>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t="s">
        <v>203</v>
      </c>
      <c r="FZ124" s="3" t="s">
        <v>205</v>
      </c>
      <c r="GA124" s="3" t="s">
        <v>203</v>
      </c>
      <c r="GB124" s="3" t="s">
        <v>205</v>
      </c>
      <c r="GC124" s="3" t="s">
        <v>204</v>
      </c>
      <c r="GD124" s="3"/>
      <c r="GE124" s="3" t="s">
        <v>203</v>
      </c>
      <c r="GF124" s="3" t="s">
        <v>205</v>
      </c>
      <c r="GG124" s="3" t="s">
        <v>202</v>
      </c>
      <c r="GH124" s="3" t="s">
        <v>205</v>
      </c>
      <c r="GI124" s="3" t="s">
        <v>203</v>
      </c>
      <c r="GJ124" s="3" t="s">
        <v>205</v>
      </c>
      <c r="GK124" s="3"/>
      <c r="GL124" s="5">
        <f>DATE(2025,5,16)+TIME(15,20,48)</f>
        <v>45793.639444444445</v>
      </c>
    </row>
    <row r="125" spans="1:194" ht="110.25" x14ac:dyDescent="0.25">
      <c r="A125" s="6" t="s">
        <v>841</v>
      </c>
      <c r="B125" s="6" t="s">
        <v>842</v>
      </c>
      <c r="C125" s="6" t="s">
        <v>843</v>
      </c>
      <c r="D125" s="6" t="s">
        <v>844</v>
      </c>
      <c r="E125" s="6"/>
      <c r="F125" s="6" t="s">
        <v>225</v>
      </c>
      <c r="G125" s="6"/>
      <c r="H125" s="6"/>
      <c r="I125" s="6"/>
      <c r="J125" s="6"/>
      <c r="K125" s="6"/>
      <c r="L125" s="6"/>
      <c r="M125" s="6"/>
      <c r="N125" s="6"/>
      <c r="O125" s="6"/>
      <c r="P125" s="6"/>
      <c r="Q125" s="6"/>
      <c r="R125" s="6"/>
      <c r="S125" s="6"/>
      <c r="T125" s="6"/>
      <c r="U125" s="6"/>
      <c r="V125" s="6"/>
      <c r="W125" s="6"/>
      <c r="X125" s="6"/>
      <c r="Y125" s="6"/>
      <c r="Z125" s="6"/>
      <c r="AA125" s="6"/>
      <c r="AB125" s="6"/>
      <c r="AC125" s="6" t="s">
        <v>845</v>
      </c>
      <c r="AD125" s="6"/>
      <c r="AE125" s="6"/>
      <c r="AF125" s="4" t="s">
        <v>845</v>
      </c>
      <c r="AG125" s="6" t="s">
        <v>235</v>
      </c>
      <c r="AH125" s="6" t="s">
        <v>203</v>
      </c>
      <c r="AI125" s="6" t="s">
        <v>204</v>
      </c>
      <c r="AJ125" s="6" t="s">
        <v>205</v>
      </c>
      <c r="AK125" s="6" t="s">
        <v>201</v>
      </c>
      <c r="AL125" s="6" t="s">
        <v>202</v>
      </c>
      <c r="AM125" s="6" t="s">
        <v>205</v>
      </c>
      <c r="AN125" s="6" t="s">
        <v>203</v>
      </c>
      <c r="AO125" s="6" t="s">
        <v>201</v>
      </c>
      <c r="AP125" s="6" t="s">
        <v>201</v>
      </c>
      <c r="AQ125" s="6" t="s">
        <v>204</v>
      </c>
      <c r="AR125" s="6" t="s">
        <v>204</v>
      </c>
      <c r="AS125" s="6"/>
      <c r="AT125" s="6" t="s">
        <v>205</v>
      </c>
      <c r="AU125" s="6" t="s">
        <v>203</v>
      </c>
      <c r="AV125" s="6" t="s">
        <v>205</v>
      </c>
      <c r="AW125" s="6" t="s">
        <v>203</v>
      </c>
      <c r="AX125" s="6" t="s">
        <v>204</v>
      </c>
      <c r="AY125" s="6" t="s">
        <v>201</v>
      </c>
      <c r="AZ125" s="6" t="s">
        <v>202</v>
      </c>
      <c r="BA125" s="6" t="s">
        <v>205</v>
      </c>
      <c r="BB125" s="6" t="s">
        <v>202</v>
      </c>
      <c r="BC125" s="6" t="s">
        <v>204</v>
      </c>
      <c r="BD125" s="6" t="s">
        <v>201</v>
      </c>
      <c r="BE125" s="6" t="s">
        <v>201</v>
      </c>
      <c r="BF125" s="6" t="s">
        <v>205</v>
      </c>
      <c r="BG125" s="6" t="s">
        <v>202</v>
      </c>
      <c r="BH125" s="6" t="s">
        <v>203</v>
      </c>
      <c r="BI125" s="6" t="s">
        <v>201</v>
      </c>
      <c r="BJ125" s="6" t="s">
        <v>202</v>
      </c>
      <c r="BK125" s="6" t="s">
        <v>205</v>
      </c>
      <c r="BL125" s="6" t="s">
        <v>202</v>
      </c>
      <c r="BM125" s="6" t="s">
        <v>204</v>
      </c>
      <c r="BN125" s="6" t="s">
        <v>201</v>
      </c>
      <c r="BO125" s="6" t="s">
        <v>203</v>
      </c>
      <c r="BP125" s="6" t="s">
        <v>204</v>
      </c>
      <c r="BQ125" s="6" t="s">
        <v>204</v>
      </c>
      <c r="BR125" s="6" t="s">
        <v>204</v>
      </c>
      <c r="BS125" s="6"/>
      <c r="BT125" s="6" t="s">
        <v>206</v>
      </c>
      <c r="BU125" s="6" t="s">
        <v>202</v>
      </c>
      <c r="BV125" s="6" t="s">
        <v>202</v>
      </c>
      <c r="BW125" s="6" t="s">
        <v>202</v>
      </c>
      <c r="BX125" s="6" t="s">
        <v>202</v>
      </c>
      <c r="BY125" s="6" t="s">
        <v>202</v>
      </c>
      <c r="BZ125" s="6" t="s">
        <v>202</v>
      </c>
      <c r="CA125" s="6" t="s">
        <v>202</v>
      </c>
      <c r="CB125" s="6" t="s">
        <v>202</v>
      </c>
      <c r="CC125" s="6" t="s">
        <v>202</v>
      </c>
      <c r="CD125" s="6" t="s">
        <v>202</v>
      </c>
      <c r="CE125" s="6" t="s">
        <v>202</v>
      </c>
      <c r="CF125" s="6" t="s">
        <v>202</v>
      </c>
      <c r="CG125" s="6"/>
      <c r="CH125" s="6" t="s">
        <v>207</v>
      </c>
      <c r="CI125" s="6" t="s">
        <v>207</v>
      </c>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t="s">
        <v>236</v>
      </c>
      <c r="DQ125" s="6" t="s">
        <v>237</v>
      </c>
      <c r="DR125" s="6"/>
      <c r="DS125" s="6" t="s">
        <v>288</v>
      </c>
      <c r="DT125" s="6"/>
      <c r="DU125" s="6" t="s">
        <v>294</v>
      </c>
      <c r="DV125" s="6"/>
      <c r="DW125" s="6" t="s">
        <v>208</v>
      </c>
      <c r="DX125" s="6"/>
      <c r="DY125" s="6" t="s">
        <v>247</v>
      </c>
      <c r="DZ125" s="6"/>
      <c r="EA125" s="6"/>
      <c r="EB125" s="6"/>
      <c r="EC125" s="6" t="s">
        <v>204</v>
      </c>
      <c r="ED125" s="6" t="s">
        <v>205</v>
      </c>
      <c r="EE125" s="6" t="s">
        <v>204</v>
      </c>
      <c r="EF125" s="6" t="s">
        <v>204</v>
      </c>
      <c r="EG125" s="6" t="s">
        <v>204</v>
      </c>
      <c r="EH125" s="6" t="s">
        <v>204</v>
      </c>
      <c r="EI125" s="6" t="s">
        <v>204</v>
      </c>
      <c r="EJ125" s="6" t="s">
        <v>205</v>
      </c>
      <c r="EK125" s="6" t="s">
        <v>202</v>
      </c>
      <c r="EL125" s="6" t="s">
        <v>202</v>
      </c>
      <c r="EM125" s="6"/>
      <c r="EN125" s="6"/>
      <c r="EO125" s="6"/>
      <c r="EP125" s="6"/>
      <c r="EQ125" s="6" t="s">
        <v>201</v>
      </c>
      <c r="ER125" s="6" t="s">
        <v>202</v>
      </c>
      <c r="ES125" s="6"/>
      <c r="ET125" s="6" t="s">
        <v>201</v>
      </c>
      <c r="EU125" s="6" t="s">
        <v>202</v>
      </c>
      <c r="EV125" s="6" t="s">
        <v>201</v>
      </c>
      <c r="EW125" s="6"/>
      <c r="EX125" s="6"/>
      <c r="EY125" s="6" t="s">
        <v>202</v>
      </c>
      <c r="EZ125" s="6" t="s">
        <v>205</v>
      </c>
      <c r="FA125" s="6" t="s">
        <v>202</v>
      </c>
      <c r="FB125" s="6" t="s">
        <v>202</v>
      </c>
      <c r="FC125" s="6" t="s">
        <v>202</v>
      </c>
      <c r="FD125" s="6" t="s">
        <v>204</v>
      </c>
      <c r="FE125" s="6" t="s">
        <v>203</v>
      </c>
      <c r="FF125" s="6" t="s">
        <v>205</v>
      </c>
      <c r="FG125" s="6" t="s">
        <v>202</v>
      </c>
      <c r="FH125" s="6" t="s">
        <v>202</v>
      </c>
      <c r="FI125" s="6" t="s">
        <v>202</v>
      </c>
      <c r="FJ125" s="6" t="s">
        <v>205</v>
      </c>
      <c r="FK125" s="6" t="s">
        <v>201</v>
      </c>
      <c r="FL125" s="6" t="s">
        <v>202</v>
      </c>
      <c r="FM125" s="6" t="s">
        <v>202</v>
      </c>
      <c r="FN125" s="6" t="s">
        <v>204</v>
      </c>
      <c r="FO125" s="6" t="s">
        <v>203</v>
      </c>
      <c r="FP125" s="6" t="s">
        <v>205</v>
      </c>
      <c r="FQ125" s="6" t="s">
        <v>202</v>
      </c>
      <c r="FR125" s="6" t="s">
        <v>202</v>
      </c>
      <c r="FS125" s="6" t="s">
        <v>203</v>
      </c>
      <c r="FT125" s="6" t="s">
        <v>204</v>
      </c>
      <c r="FU125" s="6" t="s">
        <v>204</v>
      </c>
      <c r="FV125" s="6"/>
      <c r="FW125" s="6" t="s">
        <v>238</v>
      </c>
      <c r="FX125" s="6"/>
      <c r="FY125" s="6" t="s">
        <v>202</v>
      </c>
      <c r="FZ125" s="6" t="s">
        <v>202</v>
      </c>
      <c r="GA125" s="6" t="s">
        <v>201</v>
      </c>
      <c r="GB125" s="6" t="s">
        <v>203</v>
      </c>
      <c r="GC125" s="6" t="s">
        <v>204</v>
      </c>
      <c r="GD125" s="6"/>
      <c r="GE125" s="6" t="s">
        <v>203</v>
      </c>
      <c r="GF125" s="6" t="s">
        <v>203</v>
      </c>
      <c r="GG125" s="6" t="s">
        <v>203</v>
      </c>
      <c r="GH125" s="6" t="s">
        <v>203</v>
      </c>
      <c r="GI125" s="6" t="s">
        <v>203</v>
      </c>
      <c r="GJ125" s="6" t="s">
        <v>203</v>
      </c>
      <c r="GK125" s="6"/>
      <c r="GL125" s="7">
        <f>DATE(2025,5,21)+TIME(12,38,42)</f>
        <v>45798.526875000003</v>
      </c>
    </row>
    <row r="126" spans="1:194" ht="236.25" x14ac:dyDescent="0.25">
      <c r="A126" s="3" t="s">
        <v>846</v>
      </c>
      <c r="B126" s="3" t="s">
        <v>847</v>
      </c>
      <c r="C126" s="3" t="s">
        <v>848</v>
      </c>
      <c r="D126" s="3" t="s">
        <v>849</v>
      </c>
      <c r="E126" s="3"/>
      <c r="F126" s="3" t="s">
        <v>335</v>
      </c>
      <c r="G126" s="3"/>
      <c r="H126" s="3"/>
      <c r="I126" s="3"/>
      <c r="J126" s="3"/>
      <c r="K126" s="3"/>
      <c r="L126" s="3"/>
      <c r="M126" s="3"/>
      <c r="N126" s="3"/>
      <c r="O126" s="3" t="s">
        <v>850</v>
      </c>
      <c r="P126" s="3"/>
      <c r="Q126" s="3"/>
      <c r="R126" s="3"/>
      <c r="S126" s="3"/>
      <c r="T126" s="3"/>
      <c r="U126" s="3"/>
      <c r="V126" s="3"/>
      <c r="W126" s="3"/>
      <c r="X126" s="3"/>
      <c r="Y126" s="3"/>
      <c r="Z126" s="3"/>
      <c r="AA126" s="3"/>
      <c r="AB126" s="3"/>
      <c r="AC126" s="3"/>
      <c r="AD126" s="3"/>
      <c r="AE126" s="3"/>
      <c r="AF126" s="4" t="s">
        <v>850</v>
      </c>
      <c r="AG126" s="3" t="s">
        <v>235</v>
      </c>
      <c r="AH126" s="3" t="s">
        <v>202</v>
      </c>
      <c r="AI126" s="3" t="s">
        <v>201</v>
      </c>
      <c r="AJ126" s="3" t="s">
        <v>201</v>
      </c>
      <c r="AK126" s="3" t="s">
        <v>201</v>
      </c>
      <c r="AL126" s="3" t="s">
        <v>201</v>
      </c>
      <c r="AM126" s="3" t="s">
        <v>204</v>
      </c>
      <c r="AN126" s="3" t="s">
        <v>204</v>
      </c>
      <c r="AO126" s="3" t="s">
        <v>204</v>
      </c>
      <c r="AP126" s="3" t="s">
        <v>204</v>
      </c>
      <c r="AQ126" s="3" t="s">
        <v>201</v>
      </c>
      <c r="AR126" s="3" t="s">
        <v>201</v>
      </c>
      <c r="AS126" s="3"/>
      <c r="AT126" s="3" t="s">
        <v>202</v>
      </c>
      <c r="AU126" s="3" t="s">
        <v>202</v>
      </c>
      <c r="AV126" s="3" t="s">
        <v>205</v>
      </c>
      <c r="AW126" s="3" t="s">
        <v>201</v>
      </c>
      <c r="AX126" s="3" t="s">
        <v>201</v>
      </c>
      <c r="AY126" s="3" t="s">
        <v>202</v>
      </c>
      <c r="AZ126" s="3" t="s">
        <v>201</v>
      </c>
      <c r="BA126" s="3" t="s">
        <v>205</v>
      </c>
      <c r="BB126" s="3" t="s">
        <v>201</v>
      </c>
      <c r="BC126" s="3" t="s">
        <v>201</v>
      </c>
      <c r="BD126" s="3" t="s">
        <v>202</v>
      </c>
      <c r="BE126" s="3" t="s">
        <v>202</v>
      </c>
      <c r="BF126" s="3" t="s">
        <v>205</v>
      </c>
      <c r="BG126" s="3" t="s">
        <v>201</v>
      </c>
      <c r="BH126" s="3" t="s">
        <v>201</v>
      </c>
      <c r="BI126" s="3" t="s">
        <v>202</v>
      </c>
      <c r="BJ126" s="3" t="s">
        <v>202</v>
      </c>
      <c r="BK126" s="3" t="s">
        <v>205</v>
      </c>
      <c r="BL126" s="3" t="s">
        <v>201</v>
      </c>
      <c r="BM126" s="3" t="s">
        <v>201</v>
      </c>
      <c r="BN126" s="3" t="s">
        <v>202</v>
      </c>
      <c r="BO126" s="3" t="s">
        <v>204</v>
      </c>
      <c r="BP126" s="3" t="s">
        <v>204</v>
      </c>
      <c r="BQ126" s="3" t="s">
        <v>204</v>
      </c>
      <c r="BR126" s="3" t="s">
        <v>204</v>
      </c>
      <c r="BS126" s="3"/>
      <c r="BT126" s="3" t="s">
        <v>206</v>
      </c>
      <c r="BU126" s="3" t="s">
        <v>201</v>
      </c>
      <c r="BV126" s="3" t="s">
        <v>202</v>
      </c>
      <c r="BW126" s="3" t="s">
        <v>202</v>
      </c>
      <c r="BX126" s="3" t="s">
        <v>201</v>
      </c>
      <c r="BY126" s="3" t="s">
        <v>202</v>
      </c>
      <c r="BZ126" s="3" t="s">
        <v>202</v>
      </c>
      <c r="CA126" s="3" t="s">
        <v>201</v>
      </c>
      <c r="CB126" s="3" t="s">
        <v>202</v>
      </c>
      <c r="CC126" s="3" t="s">
        <v>201</v>
      </c>
      <c r="CD126" s="3" t="s">
        <v>201</v>
      </c>
      <c r="CE126" s="3" t="s">
        <v>202</v>
      </c>
      <c r="CF126" s="3" t="s">
        <v>201</v>
      </c>
      <c r="CG126" s="3"/>
      <c r="CH126" s="3" t="s">
        <v>207</v>
      </c>
      <c r="CI126" s="3" t="s">
        <v>207</v>
      </c>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t="s">
        <v>236</v>
      </c>
      <c r="DQ126" s="3" t="s">
        <v>237</v>
      </c>
      <c r="DR126" s="3"/>
      <c r="DS126" s="3"/>
      <c r="DT126" s="3"/>
      <c r="DU126" s="3"/>
      <c r="DV126" s="3"/>
      <c r="DW126" s="3" t="s">
        <v>207</v>
      </c>
      <c r="DX126" s="3"/>
      <c r="DY126" s="3"/>
      <c r="DZ126" s="3"/>
      <c r="EA126" s="3"/>
      <c r="EB126" s="3"/>
      <c r="EC126" s="3"/>
      <c r="ED126" s="3"/>
      <c r="EE126" s="3"/>
      <c r="EF126" s="3" t="s">
        <v>202</v>
      </c>
      <c r="EG126" s="3" t="s">
        <v>202</v>
      </c>
      <c r="EH126" s="3" t="s">
        <v>202</v>
      </c>
      <c r="EI126" s="3" t="s">
        <v>201</v>
      </c>
      <c r="EJ126" s="3" t="s">
        <v>202</v>
      </c>
      <c r="EK126" s="3" t="s">
        <v>205</v>
      </c>
      <c r="EL126" s="3" t="s">
        <v>202</v>
      </c>
      <c r="EM126" s="3"/>
      <c r="EN126" s="3"/>
      <c r="EO126" s="3"/>
      <c r="EP126" s="3"/>
      <c r="EQ126" s="3" t="s">
        <v>205</v>
      </c>
      <c r="ER126" s="3" t="s">
        <v>203</v>
      </c>
      <c r="ES126" s="3"/>
      <c r="ET126" s="3"/>
      <c r="EU126" s="3"/>
      <c r="EV126" s="3"/>
      <c r="EW126" s="3"/>
      <c r="EX126" s="3"/>
      <c r="EY126" s="3"/>
      <c r="EZ126" s="3"/>
      <c r="FA126" s="3"/>
      <c r="FB126" s="3"/>
      <c r="FC126" s="3"/>
      <c r="FD126" s="3"/>
      <c r="FE126" s="3"/>
      <c r="FF126" s="3"/>
      <c r="FG126" s="3"/>
      <c r="FH126" s="3" t="s">
        <v>203</v>
      </c>
      <c r="FI126" s="3" t="s">
        <v>204</v>
      </c>
      <c r="FJ126" s="3" t="s">
        <v>204</v>
      </c>
      <c r="FK126" s="3" t="s">
        <v>204</v>
      </c>
      <c r="FL126" s="3" t="s">
        <v>203</v>
      </c>
      <c r="FM126" s="3" t="s">
        <v>204</v>
      </c>
      <c r="FN126" s="3" t="s">
        <v>204</v>
      </c>
      <c r="FO126" s="3" t="s">
        <v>204</v>
      </c>
      <c r="FP126" s="3" t="s">
        <v>204</v>
      </c>
      <c r="FQ126" s="3" t="s">
        <v>203</v>
      </c>
      <c r="FR126" s="3" t="s">
        <v>203</v>
      </c>
      <c r="FS126" s="3" t="s">
        <v>204</v>
      </c>
      <c r="FT126" s="3" t="s">
        <v>204</v>
      </c>
      <c r="FU126" s="3"/>
      <c r="FV126" s="3"/>
      <c r="FW126" s="3" t="s">
        <v>238</v>
      </c>
      <c r="FX126" s="3"/>
      <c r="FY126" s="3" t="s">
        <v>202</v>
      </c>
      <c r="FZ126" s="3" t="s">
        <v>202</v>
      </c>
      <c r="GA126" s="3" t="s">
        <v>201</v>
      </c>
      <c r="GB126" s="3" t="s">
        <v>203</v>
      </c>
      <c r="GC126" s="3"/>
      <c r="GD126" s="3"/>
      <c r="GE126" s="3" t="s">
        <v>202</v>
      </c>
      <c r="GF126" s="3" t="s">
        <v>201</v>
      </c>
      <c r="GG126" s="3" t="s">
        <v>202</v>
      </c>
      <c r="GH126" s="3" t="s">
        <v>201</v>
      </c>
      <c r="GI126" s="3" t="s">
        <v>201</v>
      </c>
      <c r="GJ126" s="3" t="s">
        <v>201</v>
      </c>
      <c r="GK126" s="3" t="s">
        <v>851</v>
      </c>
      <c r="GL126" s="5">
        <f>DATE(2025,6,9)+TIME(16,28,56)</f>
        <v>45817.686759259261</v>
      </c>
    </row>
    <row r="127" spans="1:194" ht="299.25" x14ac:dyDescent="0.25">
      <c r="A127" s="6" t="s">
        <v>852</v>
      </c>
      <c r="B127" s="6"/>
      <c r="C127" s="6" t="s">
        <v>853</v>
      </c>
      <c r="D127" s="6" t="s">
        <v>854</v>
      </c>
      <c r="E127" s="6"/>
      <c r="F127" s="6" t="s">
        <v>416</v>
      </c>
      <c r="G127" s="6"/>
      <c r="H127" s="6"/>
      <c r="I127" s="6"/>
      <c r="J127" s="6"/>
      <c r="K127" s="6"/>
      <c r="L127" s="6"/>
      <c r="M127" s="6"/>
      <c r="N127" s="6"/>
      <c r="O127" s="6"/>
      <c r="P127" s="6" t="s">
        <v>855</v>
      </c>
      <c r="Q127" s="6"/>
      <c r="R127" s="6"/>
      <c r="S127" s="6"/>
      <c r="T127" s="6"/>
      <c r="U127" s="6"/>
      <c r="V127" s="6"/>
      <c r="W127" s="6"/>
      <c r="X127" s="6"/>
      <c r="Y127" s="6"/>
      <c r="Z127" s="6"/>
      <c r="AA127" s="6"/>
      <c r="AB127" s="6"/>
      <c r="AC127" s="6"/>
      <c r="AD127" s="6"/>
      <c r="AE127" s="6"/>
      <c r="AF127" s="4" t="s">
        <v>855</v>
      </c>
      <c r="AG127" s="6" t="s">
        <v>200</v>
      </c>
      <c r="AH127" s="6" t="s">
        <v>205</v>
      </c>
      <c r="AI127" s="6" t="s">
        <v>205</v>
      </c>
      <c r="AJ127" s="6" t="s">
        <v>204</v>
      </c>
      <c r="AK127" s="6" t="s">
        <v>205</v>
      </c>
      <c r="AL127" s="6" t="s">
        <v>205</v>
      </c>
      <c r="AM127" s="6" t="s">
        <v>205</v>
      </c>
      <c r="AN127" s="6" t="s">
        <v>205</v>
      </c>
      <c r="AO127" s="6" t="s">
        <v>205</v>
      </c>
      <c r="AP127" s="6" t="s">
        <v>205</v>
      </c>
      <c r="AQ127" s="6" t="s">
        <v>203</v>
      </c>
      <c r="AR127" s="6" t="s">
        <v>205</v>
      </c>
      <c r="AS127" s="6"/>
      <c r="AT127" s="6" t="s">
        <v>205</v>
      </c>
      <c r="AU127" s="6" t="s">
        <v>203</v>
      </c>
      <c r="AV127" s="6" t="s">
        <v>203</v>
      </c>
      <c r="AW127" s="6" t="s">
        <v>205</v>
      </c>
      <c r="AX127" s="6" t="s">
        <v>205</v>
      </c>
      <c r="AY127" s="6" t="s">
        <v>203</v>
      </c>
      <c r="AZ127" s="6" t="s">
        <v>202</v>
      </c>
      <c r="BA127" s="6" t="s">
        <v>202</v>
      </c>
      <c r="BB127" s="6" t="s">
        <v>205</v>
      </c>
      <c r="BC127" s="6" t="s">
        <v>205</v>
      </c>
      <c r="BD127" s="6" t="s">
        <v>203</v>
      </c>
      <c r="BE127" s="6" t="s">
        <v>204</v>
      </c>
      <c r="BF127" s="6" t="s">
        <v>204</v>
      </c>
      <c r="BG127" s="6" t="s">
        <v>204</v>
      </c>
      <c r="BH127" s="6" t="s">
        <v>204</v>
      </c>
      <c r="BI127" s="6" t="s">
        <v>204</v>
      </c>
      <c r="BJ127" s="6" t="s">
        <v>202</v>
      </c>
      <c r="BK127" s="6" t="s">
        <v>201</v>
      </c>
      <c r="BL127" s="6" t="s">
        <v>205</v>
      </c>
      <c r="BM127" s="6" t="s">
        <v>205</v>
      </c>
      <c r="BN127" s="6" t="s">
        <v>203</v>
      </c>
      <c r="BO127" s="6" t="s">
        <v>205</v>
      </c>
      <c r="BP127" s="6" t="s">
        <v>205</v>
      </c>
      <c r="BQ127" s="6" t="s">
        <v>205</v>
      </c>
      <c r="BR127" s="6"/>
      <c r="BS127" s="6"/>
      <c r="BT127" s="6" t="s">
        <v>271</v>
      </c>
      <c r="BU127" s="6" t="s">
        <v>203</v>
      </c>
      <c r="BV127" s="6" t="s">
        <v>203</v>
      </c>
      <c r="BW127" s="6" t="s">
        <v>203</v>
      </c>
      <c r="BX127" s="6" t="s">
        <v>203</v>
      </c>
      <c r="BY127" s="6" t="s">
        <v>203</v>
      </c>
      <c r="BZ127" s="6" t="s">
        <v>203</v>
      </c>
      <c r="CA127" s="6" t="s">
        <v>203</v>
      </c>
      <c r="CB127" s="6" t="s">
        <v>203</v>
      </c>
      <c r="CC127" s="6" t="s">
        <v>203</v>
      </c>
      <c r="CD127" s="6" t="s">
        <v>203</v>
      </c>
      <c r="CE127" s="6" t="s">
        <v>203</v>
      </c>
      <c r="CF127" s="6" t="s">
        <v>203</v>
      </c>
      <c r="CG127" s="6"/>
      <c r="CH127" s="6" t="s">
        <v>207</v>
      </c>
      <c r="CI127" s="6" t="s">
        <v>207</v>
      </c>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t="s">
        <v>236</v>
      </c>
      <c r="DQ127" s="6" t="s">
        <v>237</v>
      </c>
      <c r="DR127" s="6"/>
      <c r="DS127" s="6"/>
      <c r="DT127" s="6"/>
      <c r="DU127" s="6"/>
      <c r="DV127" s="6"/>
      <c r="DW127" s="6" t="s">
        <v>207</v>
      </c>
      <c r="DX127" s="6"/>
      <c r="DY127" s="6"/>
      <c r="DZ127" s="6"/>
      <c r="EA127" s="6"/>
      <c r="EB127" s="6"/>
      <c r="EC127" s="6"/>
      <c r="ED127" s="6"/>
      <c r="EE127" s="6"/>
      <c r="EF127" s="6" t="s">
        <v>201</v>
      </c>
      <c r="EG127" s="6" t="s">
        <v>202</v>
      </c>
      <c r="EH127" s="6" t="s">
        <v>202</v>
      </c>
      <c r="EI127" s="6" t="s">
        <v>204</v>
      </c>
      <c r="EJ127" s="6" t="s">
        <v>205</v>
      </c>
      <c r="EK127" s="6" t="s">
        <v>205</v>
      </c>
      <c r="EL127" s="6" t="s">
        <v>205</v>
      </c>
      <c r="EM127" s="6"/>
      <c r="EN127" s="6"/>
      <c r="EO127" s="6"/>
      <c r="EP127" s="6"/>
      <c r="EQ127" s="6" t="s">
        <v>205</v>
      </c>
      <c r="ER127" s="6" t="s">
        <v>205</v>
      </c>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t="s">
        <v>205</v>
      </c>
      <c r="FZ127" s="6" t="s">
        <v>205</v>
      </c>
      <c r="GA127" s="6" t="s">
        <v>205</v>
      </c>
      <c r="GB127" s="6" t="s">
        <v>205</v>
      </c>
      <c r="GC127" s="6"/>
      <c r="GD127" s="6"/>
      <c r="GE127" s="6" t="s">
        <v>205</v>
      </c>
      <c r="GF127" s="6" t="s">
        <v>205</v>
      </c>
      <c r="GG127" s="6" t="s">
        <v>205</v>
      </c>
      <c r="GH127" s="6" t="s">
        <v>205</v>
      </c>
      <c r="GI127" s="6" t="s">
        <v>205</v>
      </c>
      <c r="GJ127" s="6" t="s">
        <v>205</v>
      </c>
      <c r="GK127" s="6" t="s">
        <v>856</v>
      </c>
      <c r="GL127" s="7">
        <f>DATE(2025,6,5)+TIME(15,26,39)</f>
        <v>45813.643506944441</v>
      </c>
    </row>
    <row r="128" spans="1:194" s="9" customFormat="1" ht="78.75" x14ac:dyDescent="0.25">
      <c r="A128" s="8"/>
      <c r="B128" s="8"/>
      <c r="C128" s="8" t="s">
        <v>857</v>
      </c>
      <c r="D128" s="8" t="s">
        <v>858</v>
      </c>
      <c r="E128" s="8"/>
      <c r="F128" s="8" t="s">
        <v>416</v>
      </c>
      <c r="G128" s="3"/>
      <c r="H128" s="3"/>
      <c r="I128" s="3"/>
      <c r="J128" s="3"/>
      <c r="K128" s="3"/>
      <c r="L128" s="3"/>
      <c r="M128" s="3"/>
      <c r="N128" s="3"/>
      <c r="O128" s="3"/>
      <c r="P128" s="3" t="s">
        <v>788</v>
      </c>
      <c r="Q128" s="3"/>
      <c r="R128" s="3"/>
      <c r="S128" s="3"/>
      <c r="T128" s="3"/>
      <c r="U128" s="3"/>
      <c r="V128" s="3"/>
      <c r="W128" s="3"/>
      <c r="X128" s="3"/>
      <c r="Y128" s="3"/>
      <c r="Z128" s="3"/>
      <c r="AA128" s="3"/>
      <c r="AB128" s="3"/>
      <c r="AC128" s="3"/>
      <c r="AD128" s="3"/>
      <c r="AE128" s="3"/>
      <c r="AF128" s="9" t="s">
        <v>788</v>
      </c>
      <c r="AG128" s="8" t="s">
        <v>235</v>
      </c>
      <c r="AH128" s="8" t="s">
        <v>202</v>
      </c>
      <c r="AI128" s="8" t="s">
        <v>201</v>
      </c>
      <c r="AJ128" s="8" t="s">
        <v>202</v>
      </c>
      <c r="AK128" s="8" t="s">
        <v>202</v>
      </c>
      <c r="AL128" s="8" t="s">
        <v>201</v>
      </c>
      <c r="AM128" s="8" t="s">
        <v>204</v>
      </c>
      <c r="AN128" s="8" t="s">
        <v>205</v>
      </c>
      <c r="AO128" s="8" t="s">
        <v>203</v>
      </c>
      <c r="AP128" s="8" t="s">
        <v>203</v>
      </c>
      <c r="AQ128" s="8" t="s">
        <v>202</v>
      </c>
      <c r="AR128" s="8" t="s">
        <v>204</v>
      </c>
      <c r="AS128" s="8"/>
      <c r="AT128" s="8" t="s">
        <v>205</v>
      </c>
      <c r="AU128" s="8" t="s">
        <v>203</v>
      </c>
      <c r="AV128" s="8" t="s">
        <v>205</v>
      </c>
      <c r="AW128" s="8" t="s">
        <v>203</v>
      </c>
      <c r="AX128" s="8" t="s">
        <v>203</v>
      </c>
      <c r="AY128" s="8" t="s">
        <v>201</v>
      </c>
      <c r="AZ128" s="8" t="s">
        <v>202</v>
      </c>
      <c r="BA128" s="8" t="s">
        <v>205</v>
      </c>
      <c r="BB128" s="8" t="s">
        <v>202</v>
      </c>
      <c r="BC128" s="8" t="s">
        <v>205</v>
      </c>
      <c r="BD128" s="8" t="s">
        <v>201</v>
      </c>
      <c r="BE128" s="8" t="s">
        <v>205</v>
      </c>
      <c r="BF128" s="8" t="s">
        <v>205</v>
      </c>
      <c r="BG128" s="8" t="s">
        <v>203</v>
      </c>
      <c r="BH128" s="8" t="s">
        <v>203</v>
      </c>
      <c r="BI128" s="8" t="s">
        <v>201</v>
      </c>
      <c r="BJ128" s="8" t="s">
        <v>202</v>
      </c>
      <c r="BK128" s="8" t="s">
        <v>205</v>
      </c>
      <c r="BL128" s="8" t="s">
        <v>205</v>
      </c>
      <c r="BM128" s="8" t="s">
        <v>205</v>
      </c>
      <c r="BN128" s="8" t="s">
        <v>201</v>
      </c>
      <c r="BO128" s="8" t="s">
        <v>203</v>
      </c>
      <c r="BP128" s="8" t="s">
        <v>205</v>
      </c>
      <c r="BQ128" s="8" t="s">
        <v>205</v>
      </c>
      <c r="BR128" s="8" t="s">
        <v>205</v>
      </c>
      <c r="BS128" s="8"/>
      <c r="BT128" s="8" t="s">
        <v>206</v>
      </c>
      <c r="BU128" s="8" t="s">
        <v>202</v>
      </c>
      <c r="BV128" s="8" t="s">
        <v>202</v>
      </c>
      <c r="BW128" s="8" t="s">
        <v>202</v>
      </c>
      <c r="BX128" s="8" t="s">
        <v>202</v>
      </c>
      <c r="BY128" s="8" t="s">
        <v>202</v>
      </c>
      <c r="BZ128" s="8" t="s">
        <v>202</v>
      </c>
      <c r="CA128" s="8" t="s">
        <v>202</v>
      </c>
      <c r="CB128" s="8" t="s">
        <v>202</v>
      </c>
      <c r="CC128" s="8" t="s">
        <v>202</v>
      </c>
      <c r="CD128" s="8" t="s">
        <v>202</v>
      </c>
      <c r="CE128" s="8" t="s">
        <v>202</v>
      </c>
      <c r="CF128" s="8" t="s">
        <v>202</v>
      </c>
      <c r="CG128" s="8"/>
      <c r="CH128" s="8" t="s">
        <v>207</v>
      </c>
      <c r="CI128" s="8" t="s">
        <v>207</v>
      </c>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t="s">
        <v>859</v>
      </c>
      <c r="DW128" s="8" t="s">
        <v>208</v>
      </c>
      <c r="DX128" s="8" t="s">
        <v>246</v>
      </c>
      <c r="DY128" s="8" t="s">
        <v>247</v>
      </c>
      <c r="DZ128" s="8"/>
      <c r="EA128" s="8" t="s">
        <v>220</v>
      </c>
      <c r="EB128" s="8"/>
      <c r="EC128" s="8" t="s">
        <v>204</v>
      </c>
      <c r="ED128" s="8" t="s">
        <v>204</v>
      </c>
      <c r="EE128" s="8" t="s">
        <v>204</v>
      </c>
      <c r="EF128" s="8" t="s">
        <v>205</v>
      </c>
      <c r="EG128" s="8" t="s">
        <v>203</v>
      </c>
      <c r="EH128" s="8" t="s">
        <v>205</v>
      </c>
      <c r="EI128" s="8" t="s">
        <v>201</v>
      </c>
      <c r="EJ128" s="8" t="s">
        <v>205</v>
      </c>
      <c r="EK128" s="8" t="s">
        <v>205</v>
      </c>
      <c r="EL128" s="8" t="s">
        <v>203</v>
      </c>
      <c r="EM128" s="8"/>
      <c r="EN128" s="8"/>
      <c r="EO128" s="8"/>
      <c r="EP128" s="8"/>
      <c r="EQ128" s="8" t="s">
        <v>205</v>
      </c>
      <c r="ER128" s="8" t="s">
        <v>203</v>
      </c>
      <c r="ES128" s="8"/>
      <c r="ET128" s="8"/>
      <c r="EU128" s="8"/>
      <c r="EV128" s="8"/>
      <c r="EW128" s="8"/>
      <c r="EX128" s="8"/>
      <c r="EY128" s="8"/>
      <c r="EZ128" s="8"/>
      <c r="FA128" s="8"/>
      <c r="FB128" s="8"/>
      <c r="FC128" s="8"/>
      <c r="FD128" s="8"/>
      <c r="FE128" s="8"/>
      <c r="FF128" s="8"/>
      <c r="FG128" s="8"/>
      <c r="FH128" s="8" t="s">
        <v>201</v>
      </c>
      <c r="FI128" s="8" t="s">
        <v>201</v>
      </c>
      <c r="FJ128" s="8" t="s">
        <v>205</v>
      </c>
      <c r="FK128" s="8" t="s">
        <v>205</v>
      </c>
      <c r="FL128" s="8" t="s">
        <v>203</v>
      </c>
      <c r="FM128" s="8" t="s">
        <v>202</v>
      </c>
      <c r="FN128" s="8" t="s">
        <v>205</v>
      </c>
      <c r="FO128" s="8" t="s">
        <v>205</v>
      </c>
      <c r="FP128" s="8" t="s">
        <v>205</v>
      </c>
      <c r="FQ128" s="8" t="s">
        <v>205</v>
      </c>
      <c r="FR128" s="8" t="s">
        <v>205</v>
      </c>
      <c r="FS128" s="8" t="s">
        <v>205</v>
      </c>
      <c r="FT128" s="8" t="s">
        <v>205</v>
      </c>
      <c r="FU128" s="8" t="s">
        <v>205</v>
      </c>
      <c r="FV128" s="8"/>
      <c r="FW128" s="8" t="s">
        <v>238</v>
      </c>
      <c r="FX128" s="8"/>
      <c r="FY128" s="8" t="s">
        <v>201</v>
      </c>
      <c r="FZ128" s="8" t="s">
        <v>201</v>
      </c>
      <c r="GA128" s="8" t="s">
        <v>201</v>
      </c>
      <c r="GB128" s="8" t="s">
        <v>201</v>
      </c>
      <c r="GC128" s="8"/>
      <c r="GD128" s="8"/>
      <c r="GE128" s="8" t="s">
        <v>203</v>
      </c>
      <c r="GF128" s="8" t="s">
        <v>202</v>
      </c>
      <c r="GG128" s="8" t="s">
        <v>202</v>
      </c>
      <c r="GH128" s="8" t="s">
        <v>203</v>
      </c>
      <c r="GI128" s="8" t="s">
        <v>201</v>
      </c>
      <c r="GJ128" s="8" t="s">
        <v>201</v>
      </c>
      <c r="GK128" s="8"/>
      <c r="GL128" s="10">
        <f>DATE(2025,6,9)+TIME(13,20,51)</f>
        <v>45817.556145833332</v>
      </c>
    </row>
    <row r="129" spans="1:194" s="9" customFormat="1" ht="409.5" x14ac:dyDescent="0.25">
      <c r="A129" s="8" t="s">
        <v>860</v>
      </c>
      <c r="B129" s="8" t="s">
        <v>861</v>
      </c>
      <c r="C129" s="8" t="s">
        <v>862</v>
      </c>
      <c r="D129" s="8" t="s">
        <v>863</v>
      </c>
      <c r="E129" s="8"/>
      <c r="F129" s="8" t="s">
        <v>545</v>
      </c>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t="s">
        <v>546</v>
      </c>
      <c r="AF129" s="9" t="s">
        <v>546</v>
      </c>
      <c r="AG129" s="8" t="s">
        <v>200</v>
      </c>
      <c r="AH129" s="8" t="s">
        <v>205</v>
      </c>
      <c r="AI129" s="8" t="s">
        <v>205</v>
      </c>
      <c r="AJ129" s="8" t="s">
        <v>205</v>
      </c>
      <c r="AK129" s="8" t="s">
        <v>203</v>
      </c>
      <c r="AL129" s="8" t="s">
        <v>205</v>
      </c>
      <c r="AM129" s="8" t="s">
        <v>205</v>
      </c>
      <c r="AN129" s="8" t="s">
        <v>205</v>
      </c>
      <c r="AO129" s="8" t="s">
        <v>203</v>
      </c>
      <c r="AP129" s="8" t="s">
        <v>203</v>
      </c>
      <c r="AQ129" s="8" t="s">
        <v>205</v>
      </c>
      <c r="AR129" s="8" t="s">
        <v>205</v>
      </c>
      <c r="AS129" s="8"/>
      <c r="AT129" s="8" t="s">
        <v>205</v>
      </c>
      <c r="AU129" s="8" t="s">
        <v>203</v>
      </c>
      <c r="AV129" s="8" t="s">
        <v>201</v>
      </c>
      <c r="AW129" s="8" t="s">
        <v>205</v>
      </c>
      <c r="AX129" s="8" t="s">
        <v>205</v>
      </c>
      <c r="AY129" s="8" t="s">
        <v>203</v>
      </c>
      <c r="AZ129" s="8" t="s">
        <v>203</v>
      </c>
      <c r="BA129" s="8" t="s">
        <v>201</v>
      </c>
      <c r="BB129" s="8" t="s">
        <v>205</v>
      </c>
      <c r="BC129" s="8" t="s">
        <v>205</v>
      </c>
      <c r="BD129" s="8" t="s">
        <v>203</v>
      </c>
      <c r="BE129" s="8" t="s">
        <v>204</v>
      </c>
      <c r="BF129" s="8" t="s">
        <v>204</v>
      </c>
      <c r="BG129" s="8" t="s">
        <v>204</v>
      </c>
      <c r="BH129" s="8" t="s">
        <v>204</v>
      </c>
      <c r="BI129" s="8" t="s">
        <v>204</v>
      </c>
      <c r="BJ129" s="8" t="s">
        <v>203</v>
      </c>
      <c r="BK129" s="8" t="s">
        <v>201</v>
      </c>
      <c r="BL129" s="8" t="s">
        <v>205</v>
      </c>
      <c r="BM129" s="8" t="s">
        <v>205</v>
      </c>
      <c r="BN129" s="8" t="s">
        <v>203</v>
      </c>
      <c r="BO129" s="8" t="s">
        <v>201</v>
      </c>
      <c r="BP129" s="8" t="s">
        <v>203</v>
      </c>
      <c r="BQ129" s="8" t="s">
        <v>202</v>
      </c>
      <c r="BR129" s="8" t="s">
        <v>204</v>
      </c>
      <c r="BS129" s="8"/>
      <c r="BT129" s="8" t="s">
        <v>271</v>
      </c>
      <c r="BU129" s="8" t="s">
        <v>203</v>
      </c>
      <c r="BV129" s="8" t="s">
        <v>205</v>
      </c>
      <c r="BW129" s="8" t="s">
        <v>205</v>
      </c>
      <c r="BX129" s="8" t="s">
        <v>203</v>
      </c>
      <c r="BY129" s="8" t="s">
        <v>205</v>
      </c>
      <c r="BZ129" s="8" t="s">
        <v>205</v>
      </c>
      <c r="CA129" s="8" t="s">
        <v>203</v>
      </c>
      <c r="CB129" s="8" t="s">
        <v>205</v>
      </c>
      <c r="CC129" s="8" t="s">
        <v>205</v>
      </c>
      <c r="CD129" s="8" t="s">
        <v>203</v>
      </c>
      <c r="CE129" s="8" t="s">
        <v>205</v>
      </c>
      <c r="CF129" s="8" t="s">
        <v>205</v>
      </c>
      <c r="CG129" s="8"/>
      <c r="CH129" s="8" t="s">
        <v>207</v>
      </c>
      <c r="CI129" s="8" t="s">
        <v>207</v>
      </c>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t="s">
        <v>236</v>
      </c>
      <c r="DQ129" s="8" t="s">
        <v>237</v>
      </c>
      <c r="DR129" s="8"/>
      <c r="DS129" s="8"/>
      <c r="DT129" s="8"/>
      <c r="DU129" s="8"/>
      <c r="DV129" s="8"/>
      <c r="DW129" s="8" t="s">
        <v>207</v>
      </c>
      <c r="DX129" s="8"/>
      <c r="DY129" s="8"/>
      <c r="DZ129" s="8"/>
      <c r="EA129" s="8"/>
      <c r="EB129" s="8"/>
      <c r="EC129" s="8"/>
      <c r="ED129" s="8"/>
      <c r="EE129" s="8"/>
      <c r="EF129" s="8" t="s">
        <v>201</v>
      </c>
      <c r="EG129" s="8" t="s">
        <v>205</v>
      </c>
      <c r="EH129" s="8" t="s">
        <v>205</v>
      </c>
      <c r="EI129" s="8" t="s">
        <v>201</v>
      </c>
      <c r="EJ129" s="8" t="s">
        <v>205</v>
      </c>
      <c r="EK129" s="8" t="s">
        <v>205</v>
      </c>
      <c r="EL129" s="8" t="s">
        <v>205</v>
      </c>
      <c r="EM129" s="8"/>
      <c r="EN129" s="8"/>
      <c r="EO129" s="8"/>
      <c r="EP129" s="8"/>
      <c r="EQ129" s="8" t="s">
        <v>205</v>
      </c>
      <c r="ER129" s="8" t="s">
        <v>205</v>
      </c>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t="s">
        <v>205</v>
      </c>
      <c r="FZ129" s="8" t="s">
        <v>205</v>
      </c>
      <c r="GA129" s="8" t="s">
        <v>205</v>
      </c>
      <c r="GB129" s="8" t="s">
        <v>205</v>
      </c>
      <c r="GC129" s="8" t="s">
        <v>204</v>
      </c>
      <c r="GD129" s="8"/>
      <c r="GE129" s="8" t="s">
        <v>205</v>
      </c>
      <c r="GF129" s="8" t="s">
        <v>205</v>
      </c>
      <c r="GG129" s="8" t="s">
        <v>205</v>
      </c>
      <c r="GH129" s="8" t="s">
        <v>203</v>
      </c>
      <c r="GI129" s="8" t="s">
        <v>202</v>
      </c>
      <c r="GJ129" s="8" t="s">
        <v>201</v>
      </c>
      <c r="GK129" s="8" t="s">
        <v>864</v>
      </c>
      <c r="GL129" s="10">
        <f>DATE(2025,5,20)+TIME(15,13,45)</f>
        <v>45797.634548611109</v>
      </c>
    </row>
    <row r="130" spans="1:194" ht="78.75" x14ac:dyDescent="0.25">
      <c r="A130" s="3" t="s">
        <v>350</v>
      </c>
      <c r="B130" s="3" t="s">
        <v>351</v>
      </c>
      <c r="C130" s="3" t="s">
        <v>352</v>
      </c>
      <c r="D130" s="3" t="s">
        <v>865</v>
      </c>
      <c r="E130" s="3"/>
      <c r="F130" s="3" t="s">
        <v>198</v>
      </c>
      <c r="G130" s="3"/>
      <c r="H130" s="3"/>
      <c r="I130" s="3"/>
      <c r="J130" s="3"/>
      <c r="K130" s="3" t="s">
        <v>866</v>
      </c>
      <c r="L130" s="3"/>
      <c r="M130" s="3"/>
      <c r="N130" s="3"/>
      <c r="O130" s="3"/>
      <c r="P130" s="3"/>
      <c r="Q130" s="3"/>
      <c r="R130" s="3"/>
      <c r="S130" s="3"/>
      <c r="T130" s="3"/>
      <c r="U130" s="3"/>
      <c r="V130" s="3"/>
      <c r="W130" s="3"/>
      <c r="X130" s="3"/>
      <c r="Y130" s="3"/>
      <c r="Z130" s="3"/>
      <c r="AA130" s="3"/>
      <c r="AB130" s="3"/>
      <c r="AC130" s="3"/>
      <c r="AD130" s="3"/>
      <c r="AE130" s="3"/>
      <c r="AF130" s="4" t="s">
        <v>866</v>
      </c>
      <c r="AG130" s="3" t="s">
        <v>213</v>
      </c>
      <c r="AH130" s="3" t="s">
        <v>201</v>
      </c>
      <c r="AI130" s="3" t="s">
        <v>201</v>
      </c>
      <c r="AJ130" s="3" t="s">
        <v>204</v>
      </c>
      <c r="AK130" s="3" t="s">
        <v>201</v>
      </c>
      <c r="AL130" s="3" t="s">
        <v>201</v>
      </c>
      <c r="AM130" s="3" t="s">
        <v>204</v>
      </c>
      <c r="AN130" s="3" t="s">
        <v>204</v>
      </c>
      <c r="AO130" s="3" t="s">
        <v>201</v>
      </c>
      <c r="AP130" s="3" t="s">
        <v>204</v>
      </c>
      <c r="AQ130" s="3" t="s">
        <v>201</v>
      </c>
      <c r="AR130" s="3" t="s">
        <v>201</v>
      </c>
      <c r="AS130" s="3"/>
      <c r="AT130" s="3" t="s">
        <v>201</v>
      </c>
      <c r="AU130" s="3" t="s">
        <v>204</v>
      </c>
      <c r="AV130" s="3" t="s">
        <v>204</v>
      </c>
      <c r="AW130" s="3" t="s">
        <v>204</v>
      </c>
      <c r="AX130" s="3" t="s">
        <v>204</v>
      </c>
      <c r="AY130" s="3" t="s">
        <v>204</v>
      </c>
      <c r="AZ130" s="3" t="s">
        <v>204</v>
      </c>
      <c r="BA130" s="3" t="s">
        <v>204</v>
      </c>
      <c r="BB130" s="3" t="s">
        <v>204</v>
      </c>
      <c r="BC130" s="3" t="s">
        <v>204</v>
      </c>
      <c r="BD130" s="3" t="s">
        <v>204</v>
      </c>
      <c r="BE130" s="3" t="s">
        <v>204</v>
      </c>
      <c r="BF130" s="3" t="s">
        <v>204</v>
      </c>
      <c r="BG130" s="3" t="s">
        <v>204</v>
      </c>
      <c r="BH130" s="3" t="s">
        <v>204</v>
      </c>
      <c r="BI130" s="3" t="s">
        <v>204</v>
      </c>
      <c r="BJ130" s="3" t="s">
        <v>201</v>
      </c>
      <c r="BK130" s="3" t="s">
        <v>204</v>
      </c>
      <c r="BL130" s="3" t="s">
        <v>201</v>
      </c>
      <c r="BM130" s="3" t="s">
        <v>204</v>
      </c>
      <c r="BN130" s="3" t="s">
        <v>204</v>
      </c>
      <c r="BO130" s="3" t="s">
        <v>201</v>
      </c>
      <c r="BP130" s="3" t="s">
        <v>204</v>
      </c>
      <c r="BQ130" s="3" t="s">
        <v>204</v>
      </c>
      <c r="BR130" s="3" t="s">
        <v>204</v>
      </c>
      <c r="BS130" s="3"/>
      <c r="BT130" s="3" t="s">
        <v>210</v>
      </c>
      <c r="BU130" s="3" t="s">
        <v>201</v>
      </c>
      <c r="BV130" s="3" t="s">
        <v>201</v>
      </c>
      <c r="BW130" s="3" t="s">
        <v>201</v>
      </c>
      <c r="BX130" s="3" t="s">
        <v>201</v>
      </c>
      <c r="BY130" s="3" t="s">
        <v>201</v>
      </c>
      <c r="BZ130" s="3" t="s">
        <v>201</v>
      </c>
      <c r="CA130" s="3" t="s">
        <v>201</v>
      </c>
      <c r="CB130" s="3" t="s">
        <v>201</v>
      </c>
      <c r="CC130" s="3" t="s">
        <v>201</v>
      </c>
      <c r="CD130" s="3" t="s">
        <v>201</v>
      </c>
      <c r="CE130" s="3" t="s">
        <v>201</v>
      </c>
      <c r="CF130" s="3" t="s">
        <v>201</v>
      </c>
      <c r="CG130" s="3"/>
      <c r="CH130" s="3" t="s">
        <v>207</v>
      </c>
      <c r="CI130" s="3" t="s">
        <v>208</v>
      </c>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t="s">
        <v>214</v>
      </c>
      <c r="DU130" s="3"/>
      <c r="DV130" s="3"/>
      <c r="DW130" s="3" t="s">
        <v>207</v>
      </c>
      <c r="DX130" s="3"/>
      <c r="DY130" s="3"/>
      <c r="DZ130" s="3"/>
      <c r="EA130" s="3"/>
      <c r="EB130" s="3"/>
      <c r="EC130" s="3"/>
      <c r="ED130" s="3"/>
      <c r="EE130" s="3"/>
      <c r="EF130" s="3" t="s">
        <v>202</v>
      </c>
      <c r="EG130" s="3" t="s">
        <v>202</v>
      </c>
      <c r="EH130" s="3" t="s">
        <v>204</v>
      </c>
      <c r="EI130" s="3" t="s">
        <v>201</v>
      </c>
      <c r="EJ130" s="3" t="s">
        <v>201</v>
      </c>
      <c r="EK130" s="3" t="s">
        <v>201</v>
      </c>
      <c r="EL130" s="3" t="s">
        <v>201</v>
      </c>
      <c r="EM130" s="3" t="s">
        <v>201</v>
      </c>
      <c r="EN130" s="3" t="s">
        <v>202</v>
      </c>
      <c r="EO130" s="3" t="s">
        <v>205</v>
      </c>
      <c r="EP130" s="3"/>
      <c r="EQ130" s="3" t="s">
        <v>202</v>
      </c>
      <c r="ER130" s="3" t="s">
        <v>202</v>
      </c>
      <c r="ES130" s="3"/>
      <c r="ET130" s="3" t="s">
        <v>201</v>
      </c>
      <c r="EU130" s="3" t="s">
        <v>201</v>
      </c>
      <c r="EV130" s="3" t="s">
        <v>201</v>
      </c>
      <c r="EW130" s="3" t="s">
        <v>204</v>
      </c>
      <c r="EX130" s="3"/>
      <c r="EY130" s="3" t="s">
        <v>201</v>
      </c>
      <c r="EZ130" s="3" t="s">
        <v>202</v>
      </c>
      <c r="FA130" s="3" t="s">
        <v>204</v>
      </c>
      <c r="FB130" s="3" t="s">
        <v>204</v>
      </c>
      <c r="FC130" s="3" t="s">
        <v>201</v>
      </c>
      <c r="FD130" s="3" t="s">
        <v>204</v>
      </c>
      <c r="FE130" s="3" t="s">
        <v>204</v>
      </c>
      <c r="FF130" s="3" t="s">
        <v>204</v>
      </c>
      <c r="FG130" s="3" t="s">
        <v>204</v>
      </c>
      <c r="FH130" s="3" t="s">
        <v>201</v>
      </c>
      <c r="FI130" s="3" t="s">
        <v>201</v>
      </c>
      <c r="FJ130" s="3" t="s">
        <v>204</v>
      </c>
      <c r="FK130" s="3" t="s">
        <v>201</v>
      </c>
      <c r="FL130" s="3" t="s">
        <v>204</v>
      </c>
      <c r="FM130" s="3" t="s">
        <v>204</v>
      </c>
      <c r="FN130" s="3" t="s">
        <v>204</v>
      </c>
      <c r="FO130" s="3" t="s">
        <v>204</v>
      </c>
      <c r="FP130" s="3" t="s">
        <v>204</v>
      </c>
      <c r="FQ130" s="3" t="s">
        <v>204</v>
      </c>
      <c r="FR130" s="3" t="s">
        <v>201</v>
      </c>
      <c r="FS130" s="3" t="s">
        <v>204</v>
      </c>
      <c r="FT130" s="3" t="s">
        <v>204</v>
      </c>
      <c r="FU130" s="3" t="s">
        <v>204</v>
      </c>
      <c r="FV130" s="3"/>
      <c r="FW130" s="3" t="s">
        <v>210</v>
      </c>
      <c r="FX130" s="3"/>
      <c r="FY130" s="3" t="s">
        <v>201</v>
      </c>
      <c r="FZ130" s="3" t="s">
        <v>201</v>
      </c>
      <c r="GA130" s="3" t="s">
        <v>201</v>
      </c>
      <c r="GB130" s="3" t="s">
        <v>201</v>
      </c>
      <c r="GC130" s="3" t="s">
        <v>204</v>
      </c>
      <c r="GD130" s="3"/>
      <c r="GE130" s="3" t="s">
        <v>201</v>
      </c>
      <c r="GF130" s="3" t="s">
        <v>201</v>
      </c>
      <c r="GG130" s="3" t="s">
        <v>201</v>
      </c>
      <c r="GH130" s="3" t="s">
        <v>202</v>
      </c>
      <c r="GI130" s="3" t="s">
        <v>202</v>
      </c>
      <c r="GJ130" s="3" t="s">
        <v>201</v>
      </c>
      <c r="GK130" s="3"/>
      <c r="GL130" s="5">
        <f>DATE(2025,5,21)+TIME(10,8,48)</f>
        <v>45798.422777777778</v>
      </c>
    </row>
    <row r="131" spans="1:194" ht="63" x14ac:dyDescent="0.25">
      <c r="A131" s="6" t="s">
        <v>867</v>
      </c>
      <c r="B131" s="6" t="s">
        <v>868</v>
      </c>
      <c r="C131" s="6" t="s">
        <v>869</v>
      </c>
      <c r="D131" s="6" t="s">
        <v>870</v>
      </c>
      <c r="E131" s="6"/>
      <c r="F131" s="6" t="s">
        <v>416</v>
      </c>
      <c r="G131" s="6"/>
      <c r="H131" s="6"/>
      <c r="I131" s="6"/>
      <c r="J131" s="6"/>
      <c r="K131" s="6"/>
      <c r="L131" s="6"/>
      <c r="M131" s="6"/>
      <c r="N131" s="6"/>
      <c r="O131" s="6"/>
      <c r="P131" s="6" t="s">
        <v>871</v>
      </c>
      <c r="Q131" s="6"/>
      <c r="R131" s="6"/>
      <c r="S131" s="6"/>
      <c r="T131" s="6"/>
      <c r="U131" s="6"/>
      <c r="V131" s="6"/>
      <c r="W131" s="6"/>
      <c r="X131" s="6"/>
      <c r="Y131" s="6"/>
      <c r="Z131" s="6"/>
      <c r="AA131" s="6"/>
      <c r="AB131" s="6"/>
      <c r="AC131" s="6"/>
      <c r="AD131" s="6"/>
      <c r="AE131" s="6"/>
      <c r="AF131" s="4" t="s">
        <v>871</v>
      </c>
      <c r="AG131" s="6" t="s">
        <v>200</v>
      </c>
      <c r="AH131" s="6" t="s">
        <v>203</v>
      </c>
      <c r="AI131" s="6" t="s">
        <v>202</v>
      </c>
      <c r="AJ131" s="6" t="s">
        <v>203</v>
      </c>
      <c r="AK131" s="6" t="s">
        <v>202</v>
      </c>
      <c r="AL131" s="6" t="s">
        <v>202</v>
      </c>
      <c r="AM131" s="6" t="s">
        <v>204</v>
      </c>
      <c r="AN131" s="6" t="s">
        <v>204</v>
      </c>
      <c r="AO131" s="6" t="s">
        <v>204</v>
      </c>
      <c r="AP131" s="6" t="s">
        <v>202</v>
      </c>
      <c r="AQ131" s="6" t="s">
        <v>202</v>
      </c>
      <c r="AR131" s="6" t="s">
        <v>202</v>
      </c>
      <c r="AS131" s="6"/>
      <c r="AT131" s="6" t="s">
        <v>205</v>
      </c>
      <c r="AU131" s="6" t="s">
        <v>203</v>
      </c>
      <c r="AV131" s="6" t="s">
        <v>202</v>
      </c>
      <c r="AW131" s="6" t="s">
        <v>203</v>
      </c>
      <c r="AX131" s="6" t="s">
        <v>203</v>
      </c>
      <c r="AY131" s="6" t="s">
        <v>201</v>
      </c>
      <c r="AZ131" s="6" t="s">
        <v>202</v>
      </c>
      <c r="BA131" s="6" t="s">
        <v>202</v>
      </c>
      <c r="BB131" s="6" t="s">
        <v>202</v>
      </c>
      <c r="BC131" s="6" t="s">
        <v>203</v>
      </c>
      <c r="BD131" s="6" t="s">
        <v>201</v>
      </c>
      <c r="BE131" s="6" t="s">
        <v>205</v>
      </c>
      <c r="BF131" s="6" t="s">
        <v>205</v>
      </c>
      <c r="BG131" s="6" t="s">
        <v>203</v>
      </c>
      <c r="BH131" s="6" t="s">
        <v>204</v>
      </c>
      <c r="BI131" s="6" t="s">
        <v>201</v>
      </c>
      <c r="BJ131" s="6" t="s">
        <v>202</v>
      </c>
      <c r="BK131" s="6" t="s">
        <v>202</v>
      </c>
      <c r="BL131" s="6" t="s">
        <v>203</v>
      </c>
      <c r="BM131" s="6" t="s">
        <v>203</v>
      </c>
      <c r="BN131" s="6" t="s">
        <v>202</v>
      </c>
      <c r="BO131" s="6" t="s">
        <v>204</v>
      </c>
      <c r="BP131" s="6" t="s">
        <v>204</v>
      </c>
      <c r="BQ131" s="6" t="s">
        <v>204</v>
      </c>
      <c r="BR131" s="6" t="s">
        <v>204</v>
      </c>
      <c r="BS131" s="6"/>
      <c r="BT131" s="6" t="s">
        <v>271</v>
      </c>
      <c r="BU131" s="6" t="s">
        <v>201</v>
      </c>
      <c r="BV131" s="6" t="s">
        <v>203</v>
      </c>
      <c r="BW131" s="6" t="s">
        <v>202</v>
      </c>
      <c r="BX131" s="6" t="s">
        <v>201</v>
      </c>
      <c r="BY131" s="6" t="s">
        <v>203</v>
      </c>
      <c r="BZ131" s="6" t="s">
        <v>202</v>
      </c>
      <c r="CA131" s="6" t="s">
        <v>201</v>
      </c>
      <c r="CB131" s="6" t="s">
        <v>203</v>
      </c>
      <c r="CC131" s="6" t="s">
        <v>202</v>
      </c>
      <c r="CD131" s="6" t="s">
        <v>201</v>
      </c>
      <c r="CE131" s="6" t="s">
        <v>203</v>
      </c>
      <c r="CF131" s="6" t="s">
        <v>202</v>
      </c>
      <c r="CG131" s="6"/>
      <c r="CH131" s="6" t="s">
        <v>207</v>
      </c>
      <c r="CI131" s="6" t="s">
        <v>207</v>
      </c>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t="s">
        <v>236</v>
      </c>
      <c r="DQ131" s="6" t="s">
        <v>237</v>
      </c>
      <c r="DR131" s="6"/>
      <c r="DS131" s="6" t="s">
        <v>288</v>
      </c>
      <c r="DT131" s="6"/>
      <c r="DU131" s="6"/>
      <c r="DV131" s="6"/>
      <c r="DW131" s="6" t="s">
        <v>208</v>
      </c>
      <c r="DX131" s="6"/>
      <c r="DY131" s="6"/>
      <c r="DZ131" s="6"/>
      <c r="EA131" s="6"/>
      <c r="EB131" s="6" t="s">
        <v>872</v>
      </c>
      <c r="EC131" s="6" t="s">
        <v>204</v>
      </c>
      <c r="ED131" s="6" t="s">
        <v>204</v>
      </c>
      <c r="EE131" s="6" t="s">
        <v>204</v>
      </c>
      <c r="EF131" s="6" t="s">
        <v>201</v>
      </c>
      <c r="EG131" s="6" t="s">
        <v>203</v>
      </c>
      <c r="EH131" s="6" t="s">
        <v>205</v>
      </c>
      <c r="EI131" s="6" t="s">
        <v>202</v>
      </c>
      <c r="EJ131" s="6" t="s">
        <v>205</v>
      </c>
      <c r="EK131" s="6" t="s">
        <v>205</v>
      </c>
      <c r="EL131" s="6" t="s">
        <v>205</v>
      </c>
      <c r="EM131" s="6"/>
      <c r="EN131" s="6"/>
      <c r="EO131" s="6"/>
      <c r="EP131" s="6"/>
      <c r="EQ131" s="6" t="s">
        <v>205</v>
      </c>
      <c r="ER131" s="6" t="s">
        <v>203</v>
      </c>
      <c r="ES131" s="6"/>
      <c r="ET131" s="6"/>
      <c r="EU131" s="6"/>
      <c r="EV131" s="6"/>
      <c r="EW131" s="6"/>
      <c r="EX131" s="6"/>
      <c r="EY131" s="6"/>
      <c r="EZ131" s="6"/>
      <c r="FA131" s="6"/>
      <c r="FB131" s="6"/>
      <c r="FC131" s="6"/>
      <c r="FD131" s="6"/>
      <c r="FE131" s="6"/>
      <c r="FF131" s="6"/>
      <c r="FG131" s="6"/>
      <c r="FH131" s="6" t="s">
        <v>203</v>
      </c>
      <c r="FI131" s="6" t="s">
        <v>202</v>
      </c>
      <c r="FJ131" s="6" t="s">
        <v>203</v>
      </c>
      <c r="FK131" s="6" t="s">
        <v>203</v>
      </c>
      <c r="FL131" s="6" t="s">
        <v>203</v>
      </c>
      <c r="FM131" s="6" t="s">
        <v>203</v>
      </c>
      <c r="FN131" s="6" t="s">
        <v>204</v>
      </c>
      <c r="FO131" s="6" t="s">
        <v>204</v>
      </c>
      <c r="FP131" s="6" t="s">
        <v>204</v>
      </c>
      <c r="FQ131" s="6" t="s">
        <v>204</v>
      </c>
      <c r="FR131" s="6" t="s">
        <v>204</v>
      </c>
      <c r="FS131" s="6" t="s">
        <v>204</v>
      </c>
      <c r="FT131" s="6" t="s">
        <v>204</v>
      </c>
      <c r="FU131" s="6" t="s">
        <v>204</v>
      </c>
      <c r="FV131" s="6"/>
      <c r="FW131" s="6" t="s">
        <v>271</v>
      </c>
      <c r="FX131" s="6"/>
      <c r="FY131" s="6" t="s">
        <v>202</v>
      </c>
      <c r="FZ131" s="6" t="s">
        <v>203</v>
      </c>
      <c r="GA131" s="6" t="s">
        <v>201</v>
      </c>
      <c r="GB131" s="6" t="s">
        <v>202</v>
      </c>
      <c r="GC131" s="6" t="s">
        <v>204</v>
      </c>
      <c r="GD131" s="6"/>
      <c r="GE131" s="6" t="s">
        <v>202</v>
      </c>
      <c r="GF131" s="6" t="s">
        <v>202</v>
      </c>
      <c r="GG131" s="6" t="s">
        <v>202</v>
      </c>
      <c r="GH131" s="6" t="s">
        <v>203</v>
      </c>
      <c r="GI131" s="6" t="s">
        <v>203</v>
      </c>
      <c r="GJ131" s="6" t="s">
        <v>203</v>
      </c>
      <c r="GK131" s="6"/>
      <c r="GL131" s="7">
        <f>DATE(2025,6,13)+TIME(10,6,40)</f>
        <v>45821.421296296299</v>
      </c>
    </row>
    <row r="132" spans="1:194" ht="47.25" x14ac:dyDescent="0.25">
      <c r="A132" s="3" t="s">
        <v>273</v>
      </c>
      <c r="B132" s="3" t="s">
        <v>274</v>
      </c>
      <c r="C132" s="3" t="s">
        <v>275</v>
      </c>
      <c r="D132" s="3" t="s">
        <v>873</v>
      </c>
      <c r="E132" s="3"/>
      <c r="F132" s="3" t="s">
        <v>277</v>
      </c>
      <c r="G132" s="3"/>
      <c r="H132" s="3"/>
      <c r="I132" s="3"/>
      <c r="J132" s="3"/>
      <c r="K132" s="3"/>
      <c r="L132" s="3"/>
      <c r="M132" s="3"/>
      <c r="N132" s="3" t="s">
        <v>874</v>
      </c>
      <c r="O132" s="3"/>
      <c r="P132" s="3"/>
      <c r="Q132" s="3"/>
      <c r="R132" s="3"/>
      <c r="S132" s="3"/>
      <c r="T132" s="3"/>
      <c r="U132" s="3"/>
      <c r="V132" s="3"/>
      <c r="W132" s="3"/>
      <c r="X132" s="3"/>
      <c r="Y132" s="3"/>
      <c r="Z132" s="3"/>
      <c r="AA132" s="3"/>
      <c r="AB132" s="3"/>
      <c r="AC132" s="3"/>
      <c r="AD132" s="3"/>
      <c r="AE132" s="3"/>
      <c r="AF132" s="4" t="s">
        <v>874</v>
      </c>
      <c r="AG132" s="3" t="s">
        <v>235</v>
      </c>
      <c r="AH132" s="3" t="s">
        <v>202</v>
      </c>
      <c r="AI132" s="3" t="s">
        <v>205</v>
      </c>
      <c r="AJ132" s="3" t="s">
        <v>203</v>
      </c>
      <c r="AK132" s="3" t="s">
        <v>203</v>
      </c>
      <c r="AL132" s="3" t="s">
        <v>202</v>
      </c>
      <c r="AM132" s="3" t="s">
        <v>201</v>
      </c>
      <c r="AN132" s="3" t="s">
        <v>203</v>
      </c>
      <c r="AO132" s="3" t="s">
        <v>202</v>
      </c>
      <c r="AP132" s="3" t="s">
        <v>203</v>
      </c>
      <c r="AQ132" s="3" t="s">
        <v>203</v>
      </c>
      <c r="AR132" s="3" t="s">
        <v>202</v>
      </c>
      <c r="AS132" s="3"/>
      <c r="AT132" s="3" t="s">
        <v>205</v>
      </c>
      <c r="AU132" s="3" t="s">
        <v>203</v>
      </c>
      <c r="AV132" s="3" t="s">
        <v>203</v>
      </c>
      <c r="AW132" s="3" t="s">
        <v>203</v>
      </c>
      <c r="AX132" s="3" t="s">
        <v>203</v>
      </c>
      <c r="AY132" s="3" t="s">
        <v>203</v>
      </c>
      <c r="AZ132" s="3" t="s">
        <v>203</v>
      </c>
      <c r="BA132" s="3" t="s">
        <v>203</v>
      </c>
      <c r="BB132" s="3" t="s">
        <v>203</v>
      </c>
      <c r="BC132" s="3" t="s">
        <v>203</v>
      </c>
      <c r="BD132" s="3" t="s">
        <v>203</v>
      </c>
      <c r="BE132" s="3" t="s">
        <v>203</v>
      </c>
      <c r="BF132" s="3" t="s">
        <v>203</v>
      </c>
      <c r="BG132" s="3" t="s">
        <v>203</v>
      </c>
      <c r="BH132" s="3" t="s">
        <v>203</v>
      </c>
      <c r="BI132" s="3" t="s">
        <v>203</v>
      </c>
      <c r="BJ132" s="3" t="s">
        <v>203</v>
      </c>
      <c r="BK132" s="3" t="s">
        <v>203</v>
      </c>
      <c r="BL132" s="3" t="s">
        <v>203</v>
      </c>
      <c r="BM132" s="3" t="s">
        <v>203</v>
      </c>
      <c r="BN132" s="3" t="s">
        <v>203</v>
      </c>
      <c r="BO132" s="3" t="s">
        <v>203</v>
      </c>
      <c r="BP132" s="3" t="s">
        <v>203</v>
      </c>
      <c r="BQ132" s="3" t="s">
        <v>204</v>
      </c>
      <c r="BR132" s="3" t="s">
        <v>204</v>
      </c>
      <c r="BS132" s="3"/>
      <c r="BT132" s="3" t="s">
        <v>206</v>
      </c>
      <c r="BU132" s="3" t="s">
        <v>202</v>
      </c>
      <c r="BV132" s="3" t="s">
        <v>203</v>
      </c>
      <c r="BW132" s="3" t="s">
        <v>202</v>
      </c>
      <c r="BX132" s="3" t="s">
        <v>202</v>
      </c>
      <c r="BY132" s="3" t="s">
        <v>203</v>
      </c>
      <c r="BZ132" s="3" t="s">
        <v>202</v>
      </c>
      <c r="CA132" s="3" t="s">
        <v>203</v>
      </c>
      <c r="CB132" s="3" t="s">
        <v>203</v>
      </c>
      <c r="CC132" s="3" t="s">
        <v>203</v>
      </c>
      <c r="CD132" s="3" t="s">
        <v>202</v>
      </c>
      <c r="CE132" s="3" t="s">
        <v>202</v>
      </c>
      <c r="CF132" s="3" t="s">
        <v>202</v>
      </c>
      <c r="CG132" s="3"/>
      <c r="CH132" s="3" t="s">
        <v>207</v>
      </c>
      <c r="CI132" s="3" t="s">
        <v>207</v>
      </c>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t="s">
        <v>236</v>
      </c>
      <c r="DQ132" s="3"/>
      <c r="DR132" s="3"/>
      <c r="DS132" s="3"/>
      <c r="DT132" s="3"/>
      <c r="DU132" s="3"/>
      <c r="DV132" s="3"/>
      <c r="DW132" s="3" t="s">
        <v>207</v>
      </c>
      <c r="DX132" s="3"/>
      <c r="DY132" s="3"/>
      <c r="DZ132" s="3"/>
      <c r="EA132" s="3"/>
      <c r="EB132" s="3"/>
      <c r="EC132" s="3"/>
      <c r="ED132" s="3"/>
      <c r="EE132" s="3"/>
      <c r="EF132" s="3" t="s">
        <v>205</v>
      </c>
      <c r="EG132" s="3" t="s">
        <v>202</v>
      </c>
      <c r="EH132" s="3" t="s">
        <v>201</v>
      </c>
      <c r="EI132" s="3" t="s">
        <v>201</v>
      </c>
      <c r="EJ132" s="3" t="s">
        <v>202</v>
      </c>
      <c r="EK132" s="3" t="s">
        <v>201</v>
      </c>
      <c r="EL132" s="3" t="s">
        <v>203</v>
      </c>
      <c r="EM132" s="3"/>
      <c r="EN132" s="3"/>
      <c r="EO132" s="3"/>
      <c r="EP132" s="3"/>
      <c r="EQ132" s="3" t="s">
        <v>205</v>
      </c>
      <c r="ER132" s="3" t="s">
        <v>205</v>
      </c>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t="s">
        <v>202</v>
      </c>
      <c r="FZ132" s="3" t="s">
        <v>202</v>
      </c>
      <c r="GA132" s="3" t="s">
        <v>201</v>
      </c>
      <c r="GB132" s="3" t="s">
        <v>203</v>
      </c>
      <c r="GC132" s="3" t="s">
        <v>204</v>
      </c>
      <c r="GD132" s="3"/>
      <c r="GE132" s="3" t="s">
        <v>202</v>
      </c>
      <c r="GF132" s="3" t="s">
        <v>202</v>
      </c>
      <c r="GG132" s="3" t="s">
        <v>202</v>
      </c>
      <c r="GH132" s="3" t="s">
        <v>201</v>
      </c>
      <c r="GI132" s="3" t="s">
        <v>201</v>
      </c>
      <c r="GJ132" s="3" t="s">
        <v>201</v>
      </c>
      <c r="GK132" s="3"/>
      <c r="GL132" s="5">
        <f>DATE(2025,6,5)+TIME(8,24,37)</f>
        <v>45813.350428240738</v>
      </c>
    </row>
    <row r="133" spans="1:194" ht="47.25" x14ac:dyDescent="0.25">
      <c r="A133" s="6" t="s">
        <v>311</v>
      </c>
      <c r="B133" s="6" t="s">
        <v>312</v>
      </c>
      <c r="C133" s="6" t="s">
        <v>313</v>
      </c>
      <c r="D133" s="6" t="s">
        <v>875</v>
      </c>
      <c r="E133" s="6"/>
      <c r="F133" s="6" t="s">
        <v>250</v>
      </c>
      <c r="G133" s="6"/>
      <c r="H133" s="6"/>
      <c r="I133" s="6"/>
      <c r="J133" s="6"/>
      <c r="K133" s="6"/>
      <c r="L133" s="6"/>
      <c r="M133" s="6"/>
      <c r="N133" s="6"/>
      <c r="O133" s="6"/>
      <c r="P133" s="6"/>
      <c r="Q133" s="6"/>
      <c r="R133" s="6"/>
      <c r="S133" s="6"/>
      <c r="T133" s="6"/>
      <c r="U133" s="6"/>
      <c r="V133" s="6"/>
      <c r="W133" s="6"/>
      <c r="X133" s="6" t="s">
        <v>876</v>
      </c>
      <c r="Y133" s="6"/>
      <c r="Z133" s="6"/>
      <c r="AA133" s="6"/>
      <c r="AB133" s="6"/>
      <c r="AC133" s="6"/>
      <c r="AD133" s="6"/>
      <c r="AE133" s="6"/>
      <c r="AF133" s="4" t="s">
        <v>876</v>
      </c>
      <c r="AG133" s="6" t="s">
        <v>235</v>
      </c>
      <c r="AH133" s="6" t="s">
        <v>202</v>
      </c>
      <c r="AI133" s="6" t="s">
        <v>201</v>
      </c>
      <c r="AJ133" s="6" t="s">
        <v>203</v>
      </c>
      <c r="AK133" s="6" t="s">
        <v>201</v>
      </c>
      <c r="AL133" s="6" t="s">
        <v>205</v>
      </c>
      <c r="AM133" s="6" t="s">
        <v>204</v>
      </c>
      <c r="AN133" s="6" t="s">
        <v>204</v>
      </c>
      <c r="AO133" s="6" t="s">
        <v>204</v>
      </c>
      <c r="AP133" s="6" t="s">
        <v>205</v>
      </c>
      <c r="AQ133" s="6" t="s">
        <v>205</v>
      </c>
      <c r="AR133" s="6" t="s">
        <v>201</v>
      </c>
      <c r="AS133" s="6"/>
      <c r="AT133" s="6" t="s">
        <v>205</v>
      </c>
      <c r="AU133" s="6" t="s">
        <v>203</v>
      </c>
      <c r="AV133" s="6" t="s">
        <v>205</v>
      </c>
      <c r="AW133" s="6" t="s">
        <v>203</v>
      </c>
      <c r="AX133" s="6" t="s">
        <v>205</v>
      </c>
      <c r="AY133" s="6" t="s">
        <v>201</v>
      </c>
      <c r="AZ133" s="6" t="s">
        <v>202</v>
      </c>
      <c r="BA133" s="6" t="s">
        <v>203</v>
      </c>
      <c r="BB133" s="6" t="s">
        <v>203</v>
      </c>
      <c r="BC133" s="6" t="s">
        <v>203</v>
      </c>
      <c r="BD133" s="6" t="s">
        <v>201</v>
      </c>
      <c r="BE133" s="6" t="s">
        <v>205</v>
      </c>
      <c r="BF133" s="6" t="s">
        <v>205</v>
      </c>
      <c r="BG133" s="6" t="s">
        <v>205</v>
      </c>
      <c r="BH133" s="6" t="s">
        <v>205</v>
      </c>
      <c r="BI133" s="6" t="s">
        <v>201</v>
      </c>
      <c r="BJ133" s="6" t="s">
        <v>202</v>
      </c>
      <c r="BK133" s="6" t="s">
        <v>203</v>
      </c>
      <c r="BL133" s="6" t="s">
        <v>203</v>
      </c>
      <c r="BM133" s="6" t="s">
        <v>203</v>
      </c>
      <c r="BN133" s="6" t="s">
        <v>201</v>
      </c>
      <c r="BO133" s="6" t="s">
        <v>202</v>
      </c>
      <c r="BP133" s="6" t="s">
        <v>205</v>
      </c>
      <c r="BQ133" s="6" t="s">
        <v>205</v>
      </c>
      <c r="BR133" s="6" t="s">
        <v>204</v>
      </c>
      <c r="BS133" s="6"/>
      <c r="BT133" s="6" t="s">
        <v>206</v>
      </c>
      <c r="BU133" s="6" t="s">
        <v>203</v>
      </c>
      <c r="BV133" s="6" t="s">
        <v>202</v>
      </c>
      <c r="BW133" s="6" t="s">
        <v>202</v>
      </c>
      <c r="BX133" s="6" t="s">
        <v>202</v>
      </c>
      <c r="BY133" s="6" t="s">
        <v>201</v>
      </c>
      <c r="BZ133" s="6" t="s">
        <v>202</v>
      </c>
      <c r="CA133" s="6" t="s">
        <v>203</v>
      </c>
      <c r="CB133" s="6" t="s">
        <v>202</v>
      </c>
      <c r="CC133" s="6" t="s">
        <v>202</v>
      </c>
      <c r="CD133" s="6" t="s">
        <v>202</v>
      </c>
      <c r="CE133" s="6" t="s">
        <v>201</v>
      </c>
      <c r="CF133" s="6" t="s">
        <v>202</v>
      </c>
      <c r="CG133" s="6"/>
      <c r="CH133" s="6" t="s">
        <v>207</v>
      </c>
      <c r="CI133" s="6" t="s">
        <v>207</v>
      </c>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t="s">
        <v>236</v>
      </c>
      <c r="DQ133" s="6"/>
      <c r="DR133" s="6"/>
      <c r="DS133" s="6"/>
      <c r="DT133" s="6"/>
      <c r="DU133" s="6"/>
      <c r="DV133" s="6"/>
      <c r="DW133" s="6" t="s">
        <v>208</v>
      </c>
      <c r="DX133" s="6" t="s">
        <v>246</v>
      </c>
      <c r="DY133" s="6"/>
      <c r="DZ133" s="6"/>
      <c r="EA133" s="6"/>
      <c r="EB133" s="6"/>
      <c r="EC133" s="6" t="s">
        <v>204</v>
      </c>
      <c r="ED133" s="6" t="s">
        <v>204</v>
      </c>
      <c r="EE133" s="6" t="s">
        <v>204</v>
      </c>
      <c r="EF133" s="6" t="s">
        <v>201</v>
      </c>
      <c r="EG133" s="6" t="s">
        <v>202</v>
      </c>
      <c r="EH133" s="6" t="s">
        <v>201</v>
      </c>
      <c r="EI133" s="6" t="s">
        <v>202</v>
      </c>
      <c r="EJ133" s="6" t="s">
        <v>202</v>
      </c>
      <c r="EK133" s="6" t="s">
        <v>205</v>
      </c>
      <c r="EL133" s="6" t="s">
        <v>203</v>
      </c>
      <c r="EM133" s="6"/>
      <c r="EN133" s="6"/>
      <c r="EO133" s="6"/>
      <c r="EP133" s="6"/>
      <c r="EQ133" s="6" t="s">
        <v>205</v>
      </c>
      <c r="ER133" s="6" t="s">
        <v>205</v>
      </c>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t="s">
        <v>201</v>
      </c>
      <c r="FZ133" s="6" t="s">
        <v>202</v>
      </c>
      <c r="GA133" s="6" t="s">
        <v>201</v>
      </c>
      <c r="GB133" s="6" t="s">
        <v>202</v>
      </c>
      <c r="GC133" s="6" t="s">
        <v>204</v>
      </c>
      <c r="GD133" s="6"/>
      <c r="GE133" s="6" t="s">
        <v>201</v>
      </c>
      <c r="GF133" s="6" t="s">
        <v>201</v>
      </c>
      <c r="GG133" s="6" t="s">
        <v>201</v>
      </c>
      <c r="GH133" s="6" t="s">
        <v>203</v>
      </c>
      <c r="GI133" s="6" t="s">
        <v>201</v>
      </c>
      <c r="GJ133" s="6" t="s">
        <v>202</v>
      </c>
      <c r="GK133" s="6"/>
      <c r="GL133" s="7">
        <f>DATE(2025,6,5)+TIME(10,50,57)</f>
        <v>45813.452048611114</v>
      </c>
    </row>
    <row r="134" spans="1:194" ht="409.5" x14ac:dyDescent="0.25">
      <c r="A134" s="3" t="s">
        <v>877</v>
      </c>
      <c r="B134" s="3" t="s">
        <v>878</v>
      </c>
      <c r="C134" s="3" t="s">
        <v>879</v>
      </c>
      <c r="D134" s="3" t="s">
        <v>880</v>
      </c>
      <c r="E134" s="3"/>
      <c r="F134" s="3" t="s">
        <v>881</v>
      </c>
      <c r="G134" s="3"/>
      <c r="H134" s="3"/>
      <c r="I134" s="3"/>
      <c r="J134" s="3"/>
      <c r="K134" s="3"/>
      <c r="L134" s="3"/>
      <c r="M134" s="3"/>
      <c r="N134" s="3"/>
      <c r="O134" s="3"/>
      <c r="P134" s="3"/>
      <c r="Q134" s="3"/>
      <c r="R134" s="3"/>
      <c r="S134" s="3"/>
      <c r="T134" s="3"/>
      <c r="U134" s="3"/>
      <c r="V134" s="3"/>
      <c r="W134" s="3"/>
      <c r="X134" s="3"/>
      <c r="Y134" s="3"/>
      <c r="Z134" s="3" t="s">
        <v>882</v>
      </c>
      <c r="AA134" s="3"/>
      <c r="AB134" s="3"/>
      <c r="AC134" s="3"/>
      <c r="AD134" s="3"/>
      <c r="AE134" s="3"/>
      <c r="AF134" s="4" t="s">
        <v>882</v>
      </c>
      <c r="AG134" s="3" t="s">
        <v>235</v>
      </c>
      <c r="AH134" s="3" t="s">
        <v>204</v>
      </c>
      <c r="AI134" s="3" t="s">
        <v>202</v>
      </c>
      <c r="AJ134" s="3" t="s">
        <v>201</v>
      </c>
      <c r="AK134" s="3" t="s">
        <v>202</v>
      </c>
      <c r="AL134" s="3" t="s">
        <v>202</v>
      </c>
      <c r="AM134" s="3" t="s">
        <v>204</v>
      </c>
      <c r="AN134" s="3" t="s">
        <v>204</v>
      </c>
      <c r="AO134" s="3" t="s">
        <v>204</v>
      </c>
      <c r="AP134" s="3" t="s">
        <v>204</v>
      </c>
      <c r="AQ134" s="3" t="s">
        <v>202</v>
      </c>
      <c r="AR134" s="3" t="s">
        <v>204</v>
      </c>
      <c r="AS134" s="3"/>
      <c r="AT134" s="3" t="s">
        <v>204</v>
      </c>
      <c r="AU134" s="3" t="s">
        <v>204</v>
      </c>
      <c r="AV134" s="3" t="s">
        <v>204</v>
      </c>
      <c r="AW134" s="3" t="s">
        <v>204</v>
      </c>
      <c r="AX134" s="3" t="s">
        <v>204</v>
      </c>
      <c r="AY134" s="3" t="s">
        <v>204</v>
      </c>
      <c r="AZ134" s="3" t="s">
        <v>202</v>
      </c>
      <c r="BA134" s="3" t="s">
        <v>203</v>
      </c>
      <c r="BB134" s="3" t="s">
        <v>202</v>
      </c>
      <c r="BC134" s="3" t="s">
        <v>203</v>
      </c>
      <c r="BD134" s="3" t="s">
        <v>203</v>
      </c>
      <c r="BE134" s="3" t="s">
        <v>203</v>
      </c>
      <c r="BF134" s="3" t="s">
        <v>205</v>
      </c>
      <c r="BG134" s="3" t="s">
        <v>201</v>
      </c>
      <c r="BH134" s="3" t="s">
        <v>203</v>
      </c>
      <c r="BI134" s="3" t="s">
        <v>204</v>
      </c>
      <c r="BJ134" s="3" t="s">
        <v>202</v>
      </c>
      <c r="BK134" s="3" t="s">
        <v>203</v>
      </c>
      <c r="BL134" s="3" t="s">
        <v>201</v>
      </c>
      <c r="BM134" s="3" t="s">
        <v>203</v>
      </c>
      <c r="BN134" s="3" t="s">
        <v>203</v>
      </c>
      <c r="BO134" s="3" t="s">
        <v>201</v>
      </c>
      <c r="BP134" s="3" t="s">
        <v>205</v>
      </c>
      <c r="BQ134" s="3" t="s">
        <v>203</v>
      </c>
      <c r="BR134" s="3" t="s">
        <v>205</v>
      </c>
      <c r="BS134" s="3"/>
      <c r="BT134" s="3" t="s">
        <v>206</v>
      </c>
      <c r="BU134" s="3" t="s">
        <v>202</v>
      </c>
      <c r="BV134" s="3" t="s">
        <v>203</v>
      </c>
      <c r="BW134" s="3" t="s">
        <v>202</v>
      </c>
      <c r="BX134" s="3" t="s">
        <v>202</v>
      </c>
      <c r="BY134" s="3" t="s">
        <v>202</v>
      </c>
      <c r="BZ134" s="3" t="s">
        <v>202</v>
      </c>
      <c r="CA134" s="3" t="s">
        <v>202</v>
      </c>
      <c r="CB134" s="3" t="s">
        <v>202</v>
      </c>
      <c r="CC134" s="3" t="s">
        <v>202</v>
      </c>
      <c r="CD134" s="3" t="s">
        <v>202</v>
      </c>
      <c r="CE134" s="3" t="s">
        <v>202</v>
      </c>
      <c r="CF134" s="3" t="s">
        <v>202</v>
      </c>
      <c r="CG134" s="3"/>
      <c r="CH134" s="3" t="s">
        <v>207</v>
      </c>
      <c r="CI134" s="3" t="s">
        <v>207</v>
      </c>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t="s">
        <v>237</v>
      </c>
      <c r="DR134" s="3"/>
      <c r="DS134" s="3"/>
      <c r="DT134" s="3"/>
      <c r="DU134" s="3" t="s">
        <v>294</v>
      </c>
      <c r="DV134" s="3"/>
      <c r="DW134" s="3" t="s">
        <v>207</v>
      </c>
      <c r="DX134" s="3"/>
      <c r="DY134" s="3"/>
      <c r="DZ134" s="3"/>
      <c r="EA134" s="3"/>
      <c r="EB134" s="3"/>
      <c r="EC134" s="3"/>
      <c r="ED134" s="3"/>
      <c r="EE134" s="3"/>
      <c r="EF134" s="3" t="s">
        <v>201</v>
      </c>
      <c r="EG134" s="3" t="s">
        <v>202</v>
      </c>
      <c r="EH134" s="3" t="s">
        <v>203</v>
      </c>
      <c r="EI134" s="3" t="s">
        <v>203</v>
      </c>
      <c r="EJ134" s="3" t="s">
        <v>205</v>
      </c>
      <c r="EK134" s="3" t="s">
        <v>205</v>
      </c>
      <c r="EL134" s="3" t="s">
        <v>205</v>
      </c>
      <c r="EM134" s="3"/>
      <c r="EN134" s="3"/>
      <c r="EO134" s="3"/>
      <c r="EP134" s="3"/>
      <c r="EQ134" s="3" t="s">
        <v>205</v>
      </c>
      <c r="ER134" s="3" t="s">
        <v>205</v>
      </c>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t="s">
        <v>203</v>
      </c>
      <c r="FZ134" s="3" t="s">
        <v>201</v>
      </c>
      <c r="GA134" s="3" t="s">
        <v>201</v>
      </c>
      <c r="GB134" s="3" t="s">
        <v>203</v>
      </c>
      <c r="GC134" s="3" t="s">
        <v>201</v>
      </c>
      <c r="GD134" s="3" t="s">
        <v>883</v>
      </c>
      <c r="GE134" s="3" t="s">
        <v>201</v>
      </c>
      <c r="GF134" s="3" t="s">
        <v>202</v>
      </c>
      <c r="GG134" s="3" t="s">
        <v>201</v>
      </c>
      <c r="GH134" s="3" t="s">
        <v>203</v>
      </c>
      <c r="GI134" s="3" t="s">
        <v>203</v>
      </c>
      <c r="GJ134" s="3" t="s">
        <v>201</v>
      </c>
      <c r="GK134" s="3" t="s">
        <v>884</v>
      </c>
      <c r="GL134" s="5">
        <f>DATE(2025,5,30)+TIME(16,37,18)</f>
        <v>45807.692569444444</v>
      </c>
    </row>
    <row r="135" spans="1:194" ht="110.25" x14ac:dyDescent="0.25">
      <c r="A135" s="6" t="s">
        <v>885</v>
      </c>
      <c r="B135" s="6" t="s">
        <v>886</v>
      </c>
      <c r="C135" s="6" t="s">
        <v>887</v>
      </c>
      <c r="D135" s="6" t="s">
        <v>888</v>
      </c>
      <c r="E135" s="6"/>
      <c r="F135" s="6" t="s">
        <v>225</v>
      </c>
      <c r="G135" s="6"/>
      <c r="H135" s="6"/>
      <c r="I135" s="6"/>
      <c r="J135" s="6"/>
      <c r="K135" s="6"/>
      <c r="L135" s="6"/>
      <c r="M135" s="6"/>
      <c r="N135" s="6"/>
      <c r="O135" s="6"/>
      <c r="P135" s="6"/>
      <c r="Q135" s="6"/>
      <c r="R135" s="6"/>
      <c r="S135" s="6"/>
      <c r="T135" s="6"/>
      <c r="U135" s="6"/>
      <c r="V135" s="6"/>
      <c r="W135" s="6"/>
      <c r="X135" s="6"/>
      <c r="Y135" s="6"/>
      <c r="Z135" s="6"/>
      <c r="AA135" s="6"/>
      <c r="AB135" s="6"/>
      <c r="AC135" s="6" t="s">
        <v>889</v>
      </c>
      <c r="AD135" s="6"/>
      <c r="AE135" s="6"/>
      <c r="AF135" s="4" t="s">
        <v>889</v>
      </c>
      <c r="AG135" s="6" t="s">
        <v>213</v>
      </c>
      <c r="AH135" s="6" t="s">
        <v>202</v>
      </c>
      <c r="AI135" s="6" t="s">
        <v>203</v>
      </c>
      <c r="AJ135" s="6" t="s">
        <v>204</v>
      </c>
      <c r="AK135" s="6" t="s">
        <v>202</v>
      </c>
      <c r="AL135" s="6" t="s">
        <v>204</v>
      </c>
      <c r="AM135" s="6" t="s">
        <v>204</v>
      </c>
      <c r="AN135" s="6" t="s">
        <v>204</v>
      </c>
      <c r="AO135" s="6" t="s">
        <v>204</v>
      </c>
      <c r="AP135" s="6" t="s">
        <v>202</v>
      </c>
      <c r="AQ135" s="6" t="s">
        <v>202</v>
      </c>
      <c r="AR135" s="6" t="s">
        <v>202</v>
      </c>
      <c r="AS135" s="6"/>
      <c r="AT135" s="6" t="s">
        <v>203</v>
      </c>
      <c r="AU135" s="6" t="s">
        <v>203</v>
      </c>
      <c r="AV135" s="6" t="s">
        <v>205</v>
      </c>
      <c r="AW135" s="6" t="s">
        <v>203</v>
      </c>
      <c r="AX135" s="6" t="s">
        <v>203</v>
      </c>
      <c r="AY135" s="6" t="s">
        <v>201</v>
      </c>
      <c r="AZ135" s="6" t="s">
        <v>202</v>
      </c>
      <c r="BA135" s="6" t="s">
        <v>205</v>
      </c>
      <c r="BB135" s="6" t="s">
        <v>202</v>
      </c>
      <c r="BC135" s="6" t="s">
        <v>203</v>
      </c>
      <c r="BD135" s="6" t="s">
        <v>201</v>
      </c>
      <c r="BE135" s="6" t="s">
        <v>204</v>
      </c>
      <c r="BF135" s="6" t="s">
        <v>204</v>
      </c>
      <c r="BG135" s="6" t="s">
        <v>204</v>
      </c>
      <c r="BH135" s="6" t="s">
        <v>204</v>
      </c>
      <c r="BI135" s="6" t="s">
        <v>204</v>
      </c>
      <c r="BJ135" s="6" t="s">
        <v>203</v>
      </c>
      <c r="BK135" s="6" t="s">
        <v>205</v>
      </c>
      <c r="BL135" s="6" t="s">
        <v>203</v>
      </c>
      <c r="BM135" s="6" t="s">
        <v>203</v>
      </c>
      <c r="BN135" s="6" t="s">
        <v>204</v>
      </c>
      <c r="BO135" s="6" t="s">
        <v>201</v>
      </c>
      <c r="BP135" s="6" t="s">
        <v>201</v>
      </c>
      <c r="BQ135" s="6" t="s">
        <v>201</v>
      </c>
      <c r="BR135" s="6" t="s">
        <v>204</v>
      </c>
      <c r="BS135" s="6"/>
      <c r="BT135" s="6" t="s">
        <v>210</v>
      </c>
      <c r="BU135" s="6" t="s">
        <v>201</v>
      </c>
      <c r="BV135" s="6" t="s">
        <v>201</v>
      </c>
      <c r="BW135" s="6" t="s">
        <v>201</v>
      </c>
      <c r="BX135" s="6" t="s">
        <v>201</v>
      </c>
      <c r="BY135" s="6" t="s">
        <v>201</v>
      </c>
      <c r="BZ135" s="6" t="s">
        <v>201</v>
      </c>
      <c r="CA135" s="6" t="s">
        <v>202</v>
      </c>
      <c r="CB135" s="6" t="s">
        <v>202</v>
      </c>
      <c r="CC135" s="6" t="s">
        <v>202</v>
      </c>
      <c r="CD135" s="6" t="s">
        <v>201</v>
      </c>
      <c r="CE135" s="6" t="s">
        <v>201</v>
      </c>
      <c r="CF135" s="6" t="s">
        <v>201</v>
      </c>
      <c r="CG135" s="6"/>
      <c r="CH135" s="6" t="s">
        <v>207</v>
      </c>
      <c r="CI135" s="6" t="s">
        <v>207</v>
      </c>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t="s">
        <v>294</v>
      </c>
      <c r="DV135" s="6"/>
      <c r="DW135" s="6" t="s">
        <v>208</v>
      </c>
      <c r="DX135" s="6" t="s">
        <v>246</v>
      </c>
      <c r="DY135" s="6" t="s">
        <v>247</v>
      </c>
      <c r="DZ135" s="6"/>
      <c r="EA135" s="6"/>
      <c r="EB135" s="6"/>
      <c r="EC135" s="6" t="s">
        <v>204</v>
      </c>
      <c r="ED135" s="6" t="s">
        <v>205</v>
      </c>
      <c r="EE135" s="6" t="s">
        <v>203</v>
      </c>
      <c r="EF135" s="6" t="s">
        <v>202</v>
      </c>
      <c r="EG135" s="6" t="s">
        <v>202</v>
      </c>
      <c r="EH135" s="6" t="s">
        <v>204</v>
      </c>
      <c r="EI135" s="6" t="s">
        <v>204</v>
      </c>
      <c r="EJ135" s="6" t="s">
        <v>202</v>
      </c>
      <c r="EK135" s="6" t="s">
        <v>202</v>
      </c>
      <c r="EL135" s="6" t="s">
        <v>202</v>
      </c>
      <c r="EM135" s="6"/>
      <c r="EN135" s="6"/>
      <c r="EO135" s="6"/>
      <c r="EP135" s="6"/>
      <c r="EQ135" s="6" t="s">
        <v>203</v>
      </c>
      <c r="ER135" s="6" t="s">
        <v>202</v>
      </c>
      <c r="ES135" s="6"/>
      <c r="ET135" s="6" t="s">
        <v>203</v>
      </c>
      <c r="EU135" s="6" t="s">
        <v>202</v>
      </c>
      <c r="EV135" s="6" t="s">
        <v>203</v>
      </c>
      <c r="EW135" s="6" t="s">
        <v>204</v>
      </c>
      <c r="EX135" s="6"/>
      <c r="EY135" s="6" t="s">
        <v>203</v>
      </c>
      <c r="EZ135" s="6" t="s">
        <v>205</v>
      </c>
      <c r="FA135" s="6" t="s">
        <v>202</v>
      </c>
      <c r="FB135" s="6" t="s">
        <v>203</v>
      </c>
      <c r="FC135" s="6" t="s">
        <v>202</v>
      </c>
      <c r="FD135" s="6" t="s">
        <v>204</v>
      </c>
      <c r="FE135" s="6" t="s">
        <v>203</v>
      </c>
      <c r="FF135" s="6" t="s">
        <v>203</v>
      </c>
      <c r="FG135" s="6" t="s">
        <v>204</v>
      </c>
      <c r="FH135" s="6" t="s">
        <v>202</v>
      </c>
      <c r="FI135" s="6" t="s">
        <v>203</v>
      </c>
      <c r="FJ135" s="6" t="s">
        <v>205</v>
      </c>
      <c r="FK135" s="6" t="s">
        <v>202</v>
      </c>
      <c r="FL135" s="6" t="s">
        <v>203</v>
      </c>
      <c r="FM135" s="6" t="s">
        <v>203</v>
      </c>
      <c r="FN135" s="6" t="s">
        <v>204</v>
      </c>
      <c r="FO135" s="6" t="s">
        <v>204</v>
      </c>
      <c r="FP135" s="6" t="s">
        <v>204</v>
      </c>
      <c r="FQ135" s="6" t="s">
        <v>204</v>
      </c>
      <c r="FR135" s="6" t="s">
        <v>201</v>
      </c>
      <c r="FS135" s="6" t="s">
        <v>202</v>
      </c>
      <c r="FT135" s="6" t="s">
        <v>201</v>
      </c>
      <c r="FU135" s="6" t="s">
        <v>204</v>
      </c>
      <c r="FV135" s="6"/>
      <c r="FW135" s="6" t="s">
        <v>210</v>
      </c>
      <c r="FX135" s="6"/>
      <c r="FY135" s="6" t="s">
        <v>201</v>
      </c>
      <c r="FZ135" s="6" t="s">
        <v>201</v>
      </c>
      <c r="GA135" s="6" t="s">
        <v>201</v>
      </c>
      <c r="GB135" s="6" t="s">
        <v>201</v>
      </c>
      <c r="GC135" s="6" t="s">
        <v>204</v>
      </c>
      <c r="GD135" s="6"/>
      <c r="GE135" s="6" t="s">
        <v>202</v>
      </c>
      <c r="GF135" s="6" t="s">
        <v>201</v>
      </c>
      <c r="GG135" s="6" t="s">
        <v>201</v>
      </c>
      <c r="GH135" s="6" t="s">
        <v>203</v>
      </c>
      <c r="GI135" s="6" t="s">
        <v>201</v>
      </c>
      <c r="GJ135" s="6" t="s">
        <v>202</v>
      </c>
      <c r="GK135" s="6"/>
      <c r="GL135" s="7">
        <f>DATE(2025,6,13)+TIME(8,53,56)</f>
        <v>45821.370787037034</v>
      </c>
    </row>
    <row r="136" spans="1:194" ht="157.5" x14ac:dyDescent="0.25">
      <c r="A136" s="3" t="s">
        <v>296</v>
      </c>
      <c r="B136" s="3" t="s">
        <v>297</v>
      </c>
      <c r="C136" s="3" t="s">
        <v>298</v>
      </c>
      <c r="D136" s="3" t="s">
        <v>890</v>
      </c>
      <c r="E136" s="3"/>
      <c r="F136" s="3" t="s">
        <v>250</v>
      </c>
      <c r="G136" s="3"/>
      <c r="H136" s="3"/>
      <c r="I136" s="3"/>
      <c r="J136" s="3"/>
      <c r="K136" s="3"/>
      <c r="L136" s="3"/>
      <c r="M136" s="3"/>
      <c r="N136" s="3"/>
      <c r="O136" s="3"/>
      <c r="P136" s="3"/>
      <c r="Q136" s="3"/>
      <c r="R136" s="3"/>
      <c r="S136" s="3"/>
      <c r="T136" s="3"/>
      <c r="U136" s="3"/>
      <c r="V136" s="3"/>
      <c r="W136" s="3"/>
      <c r="X136" s="3" t="s">
        <v>891</v>
      </c>
      <c r="Y136" s="3"/>
      <c r="Z136" s="3"/>
      <c r="AA136" s="3"/>
      <c r="AB136" s="3"/>
      <c r="AC136" s="3"/>
      <c r="AD136" s="3"/>
      <c r="AE136" s="3"/>
      <c r="AF136" s="4" t="s">
        <v>891</v>
      </c>
      <c r="AG136" s="3" t="s">
        <v>235</v>
      </c>
      <c r="AH136" s="3" t="s">
        <v>202</v>
      </c>
      <c r="AI136" s="3" t="s">
        <v>201</v>
      </c>
      <c r="AJ136" s="3" t="s">
        <v>203</v>
      </c>
      <c r="AK136" s="3" t="s">
        <v>203</v>
      </c>
      <c r="AL136" s="3" t="s">
        <v>203</v>
      </c>
      <c r="AM136" s="3" t="s">
        <v>204</v>
      </c>
      <c r="AN136" s="3" t="s">
        <v>204</v>
      </c>
      <c r="AO136" s="3" t="s">
        <v>204</v>
      </c>
      <c r="AP136" s="3" t="s">
        <v>205</v>
      </c>
      <c r="AQ136" s="3" t="s">
        <v>203</v>
      </c>
      <c r="AR136" s="3" t="s">
        <v>205</v>
      </c>
      <c r="AS136" s="3"/>
      <c r="AT136" s="3" t="s">
        <v>202</v>
      </c>
      <c r="AU136" s="3" t="s">
        <v>202</v>
      </c>
      <c r="AV136" s="3" t="s">
        <v>205</v>
      </c>
      <c r="AW136" s="3" t="s">
        <v>202</v>
      </c>
      <c r="AX136" s="3" t="s">
        <v>203</v>
      </c>
      <c r="AY136" s="3" t="s">
        <v>201</v>
      </c>
      <c r="AZ136" s="3" t="s">
        <v>203</v>
      </c>
      <c r="BA136" s="3" t="s">
        <v>203</v>
      </c>
      <c r="BB136" s="3" t="s">
        <v>203</v>
      </c>
      <c r="BC136" s="3" t="s">
        <v>203</v>
      </c>
      <c r="BD136" s="3" t="s">
        <v>202</v>
      </c>
      <c r="BE136" s="3" t="s">
        <v>203</v>
      </c>
      <c r="BF136" s="3" t="s">
        <v>205</v>
      </c>
      <c r="BG136" s="3" t="s">
        <v>203</v>
      </c>
      <c r="BH136" s="3" t="s">
        <v>203</v>
      </c>
      <c r="BI136" s="3" t="s">
        <v>201</v>
      </c>
      <c r="BJ136" s="3" t="s">
        <v>203</v>
      </c>
      <c r="BK136" s="3" t="s">
        <v>202</v>
      </c>
      <c r="BL136" s="3" t="s">
        <v>203</v>
      </c>
      <c r="BM136" s="3" t="s">
        <v>205</v>
      </c>
      <c r="BN136" s="3" t="s">
        <v>202</v>
      </c>
      <c r="BO136" s="3" t="s">
        <v>203</v>
      </c>
      <c r="BP136" s="3" t="s">
        <v>204</v>
      </c>
      <c r="BQ136" s="3" t="s">
        <v>204</v>
      </c>
      <c r="BR136" s="3"/>
      <c r="BS136" s="3"/>
      <c r="BT136" s="3" t="s">
        <v>206</v>
      </c>
      <c r="BU136" s="3" t="s">
        <v>202</v>
      </c>
      <c r="BV136" s="3" t="s">
        <v>201</v>
      </c>
      <c r="BW136" s="3" t="s">
        <v>202</v>
      </c>
      <c r="BX136" s="3" t="s">
        <v>202</v>
      </c>
      <c r="BY136" s="3" t="s">
        <v>201</v>
      </c>
      <c r="BZ136" s="3" t="s">
        <v>201</v>
      </c>
      <c r="CA136" s="3" t="s">
        <v>202</v>
      </c>
      <c r="CB136" s="3" t="s">
        <v>202</v>
      </c>
      <c r="CC136" s="3" t="s">
        <v>202</v>
      </c>
      <c r="CD136" s="3" t="s">
        <v>202</v>
      </c>
      <c r="CE136" s="3" t="s">
        <v>201</v>
      </c>
      <c r="CF136" s="3" t="s">
        <v>202</v>
      </c>
      <c r="CG136" s="3"/>
      <c r="CH136" s="3" t="s">
        <v>207</v>
      </c>
      <c r="CI136" s="3" t="s">
        <v>207</v>
      </c>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t="s">
        <v>236</v>
      </c>
      <c r="DQ136" s="3" t="s">
        <v>237</v>
      </c>
      <c r="DR136" s="3"/>
      <c r="DS136" s="3"/>
      <c r="DT136" s="3"/>
      <c r="DU136" s="3"/>
      <c r="DV136" s="3"/>
      <c r="DW136" s="3" t="s">
        <v>207</v>
      </c>
      <c r="DX136" s="3"/>
      <c r="DY136" s="3"/>
      <c r="DZ136" s="3"/>
      <c r="EA136" s="3"/>
      <c r="EB136" s="3"/>
      <c r="EC136" s="3"/>
      <c r="ED136" s="3"/>
      <c r="EE136" s="3"/>
      <c r="EF136" s="3" t="s">
        <v>201</v>
      </c>
      <c r="EG136" s="3" t="s">
        <v>202</v>
      </c>
      <c r="EH136" s="3" t="s">
        <v>203</v>
      </c>
      <c r="EI136" s="3" t="s">
        <v>201</v>
      </c>
      <c r="EJ136" s="3" t="s">
        <v>205</v>
      </c>
      <c r="EK136" s="3" t="s">
        <v>205</v>
      </c>
      <c r="EL136" s="3" t="s">
        <v>202</v>
      </c>
      <c r="EM136" s="3"/>
      <c r="EN136" s="3"/>
      <c r="EO136" s="3"/>
      <c r="EP136" s="3"/>
      <c r="EQ136" s="3" t="s">
        <v>205</v>
      </c>
      <c r="ER136" s="3" t="s">
        <v>205</v>
      </c>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t="s">
        <v>202</v>
      </c>
      <c r="FZ136" s="3" t="s">
        <v>202</v>
      </c>
      <c r="GA136" s="3" t="s">
        <v>201</v>
      </c>
      <c r="GB136" s="3" t="s">
        <v>203</v>
      </c>
      <c r="GC136" s="3"/>
      <c r="GD136" s="3"/>
      <c r="GE136" s="3" t="s">
        <v>202</v>
      </c>
      <c r="GF136" s="3" t="s">
        <v>201</v>
      </c>
      <c r="GG136" s="3" t="s">
        <v>202</v>
      </c>
      <c r="GH136" s="3" t="s">
        <v>203</v>
      </c>
      <c r="GI136" s="3" t="s">
        <v>201</v>
      </c>
      <c r="GJ136" s="3" t="s">
        <v>203</v>
      </c>
      <c r="GK136" s="3" t="s">
        <v>892</v>
      </c>
      <c r="GL136" s="5">
        <f>DATE(2025,6,10)+TIME(4,5,25)</f>
        <v>45818.170428240737</v>
      </c>
    </row>
    <row r="137" spans="1:194" ht="393.75" x14ac:dyDescent="0.25">
      <c r="A137" s="6" t="s">
        <v>265</v>
      </c>
      <c r="B137" s="6" t="s">
        <v>266</v>
      </c>
      <c r="C137" s="6" t="s">
        <v>267</v>
      </c>
      <c r="D137" s="6" t="s">
        <v>893</v>
      </c>
      <c r="E137" s="6"/>
      <c r="F137" s="6" t="s">
        <v>269</v>
      </c>
      <c r="G137" s="6"/>
      <c r="H137" s="6"/>
      <c r="I137" s="6"/>
      <c r="J137" s="6"/>
      <c r="K137" s="6"/>
      <c r="L137" s="6"/>
      <c r="M137" s="6"/>
      <c r="N137" s="6"/>
      <c r="O137" s="6"/>
      <c r="P137" s="6"/>
      <c r="Q137" s="6"/>
      <c r="R137" s="6"/>
      <c r="S137" s="6"/>
      <c r="T137" s="6"/>
      <c r="U137" s="6"/>
      <c r="V137" s="6"/>
      <c r="W137" s="6" t="s">
        <v>894</v>
      </c>
      <c r="X137" s="6"/>
      <c r="Y137" s="6"/>
      <c r="Z137" s="6"/>
      <c r="AA137" s="6"/>
      <c r="AB137" s="6"/>
      <c r="AC137" s="6"/>
      <c r="AD137" s="6"/>
      <c r="AE137" s="6"/>
      <c r="AF137" s="4" t="s">
        <v>894</v>
      </c>
      <c r="AG137" s="6" t="s">
        <v>200</v>
      </c>
      <c r="AH137" s="6" t="s">
        <v>202</v>
      </c>
      <c r="AI137" s="6" t="s">
        <v>202</v>
      </c>
      <c r="AJ137" s="6" t="s">
        <v>204</v>
      </c>
      <c r="AK137" s="6" t="s">
        <v>202</v>
      </c>
      <c r="AL137" s="6" t="s">
        <v>202</v>
      </c>
      <c r="AM137" s="6" t="s">
        <v>201</v>
      </c>
      <c r="AN137" s="6" t="s">
        <v>202</v>
      </c>
      <c r="AO137" s="6" t="s">
        <v>201</v>
      </c>
      <c r="AP137" s="6" t="s">
        <v>202</v>
      </c>
      <c r="AQ137" s="6" t="s">
        <v>204</v>
      </c>
      <c r="AR137" s="6" t="s">
        <v>202</v>
      </c>
      <c r="AS137" s="6"/>
      <c r="AT137" s="6" t="s">
        <v>205</v>
      </c>
      <c r="AU137" s="6" t="s">
        <v>202</v>
      </c>
      <c r="AV137" s="6" t="s">
        <v>202</v>
      </c>
      <c r="AW137" s="6" t="s">
        <v>203</v>
      </c>
      <c r="AX137" s="6" t="s">
        <v>203</v>
      </c>
      <c r="AY137" s="6" t="s">
        <v>202</v>
      </c>
      <c r="AZ137" s="6" t="s">
        <v>203</v>
      </c>
      <c r="BA137" s="6" t="s">
        <v>201</v>
      </c>
      <c r="BB137" s="6" t="s">
        <v>201</v>
      </c>
      <c r="BC137" s="6" t="s">
        <v>202</v>
      </c>
      <c r="BD137" s="6" t="s">
        <v>203</v>
      </c>
      <c r="BE137" s="6" t="s">
        <v>204</v>
      </c>
      <c r="BF137" s="6" t="s">
        <v>204</v>
      </c>
      <c r="BG137" s="6" t="s">
        <v>204</v>
      </c>
      <c r="BH137" s="6" t="s">
        <v>204</v>
      </c>
      <c r="BI137" s="6" t="s">
        <v>204</v>
      </c>
      <c r="BJ137" s="6" t="s">
        <v>203</v>
      </c>
      <c r="BK137" s="6" t="s">
        <v>201</v>
      </c>
      <c r="BL137" s="6" t="s">
        <v>202</v>
      </c>
      <c r="BM137" s="6" t="s">
        <v>202</v>
      </c>
      <c r="BN137" s="6" t="s">
        <v>203</v>
      </c>
      <c r="BO137" s="6" t="s">
        <v>201</v>
      </c>
      <c r="BP137" s="6" t="s">
        <v>204</v>
      </c>
      <c r="BQ137" s="6" t="s">
        <v>201</v>
      </c>
      <c r="BR137" s="6" t="s">
        <v>204</v>
      </c>
      <c r="BS137" s="6"/>
      <c r="BT137" s="6" t="s">
        <v>271</v>
      </c>
      <c r="BU137" s="6" t="s">
        <v>201</v>
      </c>
      <c r="BV137" s="6" t="s">
        <v>203</v>
      </c>
      <c r="BW137" s="6" t="s">
        <v>201</v>
      </c>
      <c r="BX137" s="6" t="s">
        <v>201</v>
      </c>
      <c r="BY137" s="6" t="s">
        <v>203</v>
      </c>
      <c r="BZ137" s="6" t="s">
        <v>201</v>
      </c>
      <c r="CA137" s="6" t="s">
        <v>201</v>
      </c>
      <c r="CB137" s="6" t="s">
        <v>203</v>
      </c>
      <c r="CC137" s="6" t="s">
        <v>201</v>
      </c>
      <c r="CD137" s="6" t="s">
        <v>201</v>
      </c>
      <c r="CE137" s="6" t="s">
        <v>203</v>
      </c>
      <c r="CF137" s="6" t="s">
        <v>201</v>
      </c>
      <c r="CG137" s="6"/>
      <c r="CH137" s="6" t="s">
        <v>208</v>
      </c>
      <c r="CI137" s="6" t="s">
        <v>208</v>
      </c>
      <c r="CJ137" s="6" t="s">
        <v>201</v>
      </c>
      <c r="CK137" s="6" t="s">
        <v>201</v>
      </c>
      <c r="CL137" s="6" t="s">
        <v>201</v>
      </c>
      <c r="CM137" s="6" t="s">
        <v>201</v>
      </c>
      <c r="CN137" s="6" t="s">
        <v>201</v>
      </c>
      <c r="CO137" s="6" t="s">
        <v>201</v>
      </c>
      <c r="CP137" s="6" t="s">
        <v>201</v>
      </c>
      <c r="CQ137" s="6" t="s">
        <v>201</v>
      </c>
      <c r="CR137" s="6" t="s">
        <v>201</v>
      </c>
      <c r="CS137" s="6" t="s">
        <v>201</v>
      </c>
      <c r="CT137" s="6" t="s">
        <v>201</v>
      </c>
      <c r="CU137" s="6" t="s">
        <v>202</v>
      </c>
      <c r="CV137" s="6" t="s">
        <v>202</v>
      </c>
      <c r="CW137" s="6" t="s">
        <v>204</v>
      </c>
      <c r="CX137" s="6" t="s">
        <v>204</v>
      </c>
      <c r="CY137" s="6" t="s">
        <v>204</v>
      </c>
      <c r="CZ137" s="6" t="s">
        <v>201</v>
      </c>
      <c r="DA137" s="6" t="s">
        <v>204</v>
      </c>
      <c r="DB137" s="6"/>
      <c r="DC137" s="6"/>
      <c r="DD137" s="6" t="s">
        <v>259</v>
      </c>
      <c r="DE137" s="6"/>
      <c r="DF137" s="6"/>
      <c r="DG137" s="6"/>
      <c r="DH137" s="6" t="s">
        <v>205</v>
      </c>
      <c r="DI137" s="6" t="s">
        <v>202</v>
      </c>
      <c r="DJ137" s="6" t="s">
        <v>203</v>
      </c>
      <c r="DK137" s="6" t="s">
        <v>201</v>
      </c>
      <c r="DL137" s="6" t="s">
        <v>204</v>
      </c>
      <c r="DM137" s="6" t="s">
        <v>201</v>
      </c>
      <c r="DN137" s="6" t="s">
        <v>204</v>
      </c>
      <c r="DO137" s="6"/>
      <c r="DP137" s="6"/>
      <c r="DQ137" s="6"/>
      <c r="DR137" s="6"/>
      <c r="DS137" s="6"/>
      <c r="DT137" s="6"/>
      <c r="DU137" s="6"/>
      <c r="DV137" s="6"/>
      <c r="DW137" s="6" t="s">
        <v>208</v>
      </c>
      <c r="DX137" s="6" t="s">
        <v>246</v>
      </c>
      <c r="DY137" s="6"/>
      <c r="DZ137" s="6" t="s">
        <v>219</v>
      </c>
      <c r="EA137" s="6"/>
      <c r="EB137" s="6" t="s">
        <v>895</v>
      </c>
      <c r="EC137" s="6" t="s">
        <v>201</v>
      </c>
      <c r="ED137" s="6" t="s">
        <v>203</v>
      </c>
      <c r="EE137" s="6" t="s">
        <v>202</v>
      </c>
      <c r="EF137" s="6" t="s">
        <v>201</v>
      </c>
      <c r="EG137" s="6" t="s">
        <v>203</v>
      </c>
      <c r="EH137" s="6" t="s">
        <v>203</v>
      </c>
      <c r="EI137" s="6" t="s">
        <v>201</v>
      </c>
      <c r="EJ137" s="6" t="s">
        <v>201</v>
      </c>
      <c r="EK137" s="6" t="s">
        <v>201</v>
      </c>
      <c r="EL137" s="6" t="s">
        <v>202</v>
      </c>
      <c r="EM137" s="6" t="s">
        <v>202</v>
      </c>
      <c r="EN137" s="6" t="s">
        <v>202</v>
      </c>
      <c r="EO137" s="6" t="s">
        <v>202</v>
      </c>
      <c r="EP137" s="6"/>
      <c r="EQ137" s="6" t="s">
        <v>202</v>
      </c>
      <c r="ER137" s="6" t="s">
        <v>202</v>
      </c>
      <c r="ES137" s="6"/>
      <c r="ET137" s="6" t="s">
        <v>202</v>
      </c>
      <c r="EU137" s="6" t="s">
        <v>202</v>
      </c>
      <c r="EV137" s="6" t="s">
        <v>202</v>
      </c>
      <c r="EW137" s="6" t="s">
        <v>204</v>
      </c>
      <c r="EX137" s="6"/>
      <c r="EY137" s="6" t="s">
        <v>202</v>
      </c>
      <c r="EZ137" s="6" t="s">
        <v>205</v>
      </c>
      <c r="FA137" s="6" t="s">
        <v>202</v>
      </c>
      <c r="FB137" s="6" t="s">
        <v>202</v>
      </c>
      <c r="FC137" s="6" t="s">
        <v>202</v>
      </c>
      <c r="FD137" s="6" t="s">
        <v>202</v>
      </c>
      <c r="FE137" s="6" t="s">
        <v>202</v>
      </c>
      <c r="FF137" s="6" t="s">
        <v>202</v>
      </c>
      <c r="FG137" s="6" t="s">
        <v>202</v>
      </c>
      <c r="FH137" s="6" t="s">
        <v>202</v>
      </c>
      <c r="FI137" s="6" t="s">
        <v>202</v>
      </c>
      <c r="FJ137" s="6" t="s">
        <v>203</v>
      </c>
      <c r="FK137" s="6" t="s">
        <v>202</v>
      </c>
      <c r="FL137" s="6" t="s">
        <v>202</v>
      </c>
      <c r="FM137" s="6" t="s">
        <v>202</v>
      </c>
      <c r="FN137" s="6" t="s">
        <v>202</v>
      </c>
      <c r="FO137" s="6" t="s">
        <v>202</v>
      </c>
      <c r="FP137" s="6" t="s">
        <v>202</v>
      </c>
      <c r="FQ137" s="6" t="s">
        <v>202</v>
      </c>
      <c r="FR137" s="6" t="s">
        <v>201</v>
      </c>
      <c r="FS137" s="6" t="s">
        <v>202</v>
      </c>
      <c r="FT137" s="6" t="s">
        <v>204</v>
      </c>
      <c r="FU137" s="6" t="s">
        <v>204</v>
      </c>
      <c r="FV137" s="6"/>
      <c r="FW137" s="6" t="s">
        <v>271</v>
      </c>
      <c r="FX137" s="6"/>
      <c r="FY137" s="6" t="s">
        <v>201</v>
      </c>
      <c r="FZ137" s="6" t="s">
        <v>203</v>
      </c>
      <c r="GA137" s="6" t="s">
        <v>202</v>
      </c>
      <c r="GB137" s="6" t="s">
        <v>203</v>
      </c>
      <c r="GC137" s="6" t="s">
        <v>204</v>
      </c>
      <c r="GD137" s="6"/>
      <c r="GE137" s="6" t="s">
        <v>202</v>
      </c>
      <c r="GF137" s="6" t="s">
        <v>203</v>
      </c>
      <c r="GG137" s="6" t="s">
        <v>203</v>
      </c>
      <c r="GH137" s="6" t="s">
        <v>203</v>
      </c>
      <c r="GI137" s="6" t="s">
        <v>202</v>
      </c>
      <c r="GJ137" s="6" t="s">
        <v>202</v>
      </c>
      <c r="GK137" s="6" t="s">
        <v>272</v>
      </c>
      <c r="GL137" s="7">
        <f>DATE(2025,6,12)+TIME(21,59,3)</f>
        <v>45820.916006944448</v>
      </c>
    </row>
    <row r="138" spans="1:194" ht="47.25" x14ac:dyDescent="0.25">
      <c r="A138" s="3" t="s">
        <v>896</v>
      </c>
      <c r="B138" s="3" t="s">
        <v>897</v>
      </c>
      <c r="C138" s="3" t="s">
        <v>898</v>
      </c>
      <c r="D138" s="3" t="s">
        <v>899</v>
      </c>
      <c r="E138" s="3"/>
      <c r="F138" s="3" t="s">
        <v>444</v>
      </c>
      <c r="G138" s="3"/>
      <c r="H138" s="3"/>
      <c r="I138" s="3"/>
      <c r="J138" s="3"/>
      <c r="K138" s="3"/>
      <c r="L138" s="3"/>
      <c r="M138" s="3"/>
      <c r="N138" s="3"/>
      <c r="O138" s="3"/>
      <c r="P138" s="3"/>
      <c r="Q138" s="3"/>
      <c r="R138" s="3"/>
      <c r="S138" s="3"/>
      <c r="T138" s="3"/>
      <c r="U138" s="3"/>
      <c r="V138" s="3"/>
      <c r="W138" s="3"/>
      <c r="X138" s="3"/>
      <c r="Y138" s="3" t="s">
        <v>900</v>
      </c>
      <c r="Z138" s="3"/>
      <c r="AA138" s="3"/>
      <c r="AB138" s="3"/>
      <c r="AC138" s="3"/>
      <c r="AD138" s="3"/>
      <c r="AE138" s="3"/>
      <c r="AF138" s="4" t="s">
        <v>900</v>
      </c>
      <c r="AG138" s="3" t="s">
        <v>235</v>
      </c>
      <c r="AH138" s="3" t="s">
        <v>202</v>
      </c>
      <c r="AI138" s="3" t="s">
        <v>203</v>
      </c>
      <c r="AJ138" s="3" t="s">
        <v>203</v>
      </c>
      <c r="AK138" s="3" t="s">
        <v>203</v>
      </c>
      <c r="AL138" s="3" t="s">
        <v>203</v>
      </c>
      <c r="AM138" s="3" t="s">
        <v>204</v>
      </c>
      <c r="AN138" s="3" t="s">
        <v>203</v>
      </c>
      <c r="AO138" s="3" t="s">
        <v>205</v>
      </c>
      <c r="AP138" s="3" t="s">
        <v>203</v>
      </c>
      <c r="AQ138" s="3" t="s">
        <v>202</v>
      </c>
      <c r="AR138" s="3" t="s">
        <v>202</v>
      </c>
      <c r="AS138" s="3"/>
      <c r="AT138" s="3" t="s">
        <v>203</v>
      </c>
      <c r="AU138" s="3" t="s">
        <v>201</v>
      </c>
      <c r="AV138" s="3" t="s">
        <v>205</v>
      </c>
      <c r="AW138" s="3" t="s">
        <v>202</v>
      </c>
      <c r="AX138" s="3" t="s">
        <v>203</v>
      </c>
      <c r="AY138" s="3" t="s">
        <v>204</v>
      </c>
      <c r="AZ138" s="3" t="s">
        <v>201</v>
      </c>
      <c r="BA138" s="3" t="s">
        <v>205</v>
      </c>
      <c r="BB138" s="3" t="s">
        <v>202</v>
      </c>
      <c r="BC138" s="3" t="s">
        <v>203</v>
      </c>
      <c r="BD138" s="3" t="s">
        <v>201</v>
      </c>
      <c r="BE138" s="3" t="s">
        <v>204</v>
      </c>
      <c r="BF138" s="3" t="s">
        <v>204</v>
      </c>
      <c r="BG138" s="3" t="s">
        <v>204</v>
      </c>
      <c r="BH138" s="3" t="s">
        <v>204</v>
      </c>
      <c r="BI138" s="3" t="s">
        <v>204</v>
      </c>
      <c r="BJ138" s="3" t="s">
        <v>201</v>
      </c>
      <c r="BK138" s="3" t="s">
        <v>203</v>
      </c>
      <c r="BL138" s="3" t="s">
        <v>202</v>
      </c>
      <c r="BM138" s="3" t="s">
        <v>203</v>
      </c>
      <c r="BN138" s="3" t="s">
        <v>204</v>
      </c>
      <c r="BO138" s="3" t="s">
        <v>202</v>
      </c>
      <c r="BP138" s="3" t="s">
        <v>203</v>
      </c>
      <c r="BQ138" s="3" t="s">
        <v>203</v>
      </c>
      <c r="BR138" s="3" t="s">
        <v>204</v>
      </c>
      <c r="BS138" s="3"/>
      <c r="BT138" s="3" t="s">
        <v>206</v>
      </c>
      <c r="BU138" s="3" t="s">
        <v>201</v>
      </c>
      <c r="BV138" s="3" t="s">
        <v>201</v>
      </c>
      <c r="BW138" s="3" t="s">
        <v>201</v>
      </c>
      <c r="BX138" s="3" t="s">
        <v>201</v>
      </c>
      <c r="BY138" s="3" t="s">
        <v>201</v>
      </c>
      <c r="BZ138" s="3" t="s">
        <v>201</v>
      </c>
      <c r="CA138" s="3" t="s">
        <v>201</v>
      </c>
      <c r="CB138" s="3" t="s">
        <v>201</v>
      </c>
      <c r="CC138" s="3" t="s">
        <v>201</v>
      </c>
      <c r="CD138" s="3" t="s">
        <v>201</v>
      </c>
      <c r="CE138" s="3" t="s">
        <v>201</v>
      </c>
      <c r="CF138" s="3" t="s">
        <v>201</v>
      </c>
      <c r="CG138" s="3"/>
      <c r="CH138" s="3" t="s">
        <v>207</v>
      </c>
      <c r="CI138" s="3" t="s">
        <v>207</v>
      </c>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t="s">
        <v>236</v>
      </c>
      <c r="DQ138" s="3"/>
      <c r="DR138" s="3"/>
      <c r="DS138" s="3"/>
      <c r="DT138" s="3"/>
      <c r="DU138" s="3"/>
      <c r="DV138" s="3"/>
      <c r="DW138" s="3" t="s">
        <v>208</v>
      </c>
      <c r="DX138" s="3"/>
      <c r="DY138" s="3" t="s">
        <v>247</v>
      </c>
      <c r="DZ138" s="3"/>
      <c r="EA138" s="3"/>
      <c r="EB138" s="3" t="s">
        <v>901</v>
      </c>
      <c r="EC138" s="3" t="s">
        <v>204</v>
      </c>
      <c r="ED138" s="3" t="s">
        <v>204</v>
      </c>
      <c r="EE138" s="3" t="s">
        <v>204</v>
      </c>
      <c r="EF138" s="3" t="s">
        <v>201</v>
      </c>
      <c r="EG138" s="3" t="s">
        <v>201</v>
      </c>
      <c r="EH138" s="3" t="s">
        <v>204</v>
      </c>
      <c r="EI138" s="3" t="s">
        <v>201</v>
      </c>
      <c r="EJ138" s="3" t="s">
        <v>205</v>
      </c>
      <c r="EK138" s="3" t="s">
        <v>205</v>
      </c>
      <c r="EL138" s="3" t="s">
        <v>205</v>
      </c>
      <c r="EM138" s="3"/>
      <c r="EN138" s="3"/>
      <c r="EO138" s="3"/>
      <c r="EP138" s="3"/>
      <c r="EQ138" s="3" t="s">
        <v>205</v>
      </c>
      <c r="ER138" s="3" t="s">
        <v>205</v>
      </c>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t="s">
        <v>202</v>
      </c>
      <c r="FZ138" s="3" t="s">
        <v>203</v>
      </c>
      <c r="GA138" s="3" t="s">
        <v>201</v>
      </c>
      <c r="GB138" s="3" t="s">
        <v>205</v>
      </c>
      <c r="GC138" s="3"/>
      <c r="GD138" s="3"/>
      <c r="GE138" s="3" t="s">
        <v>202</v>
      </c>
      <c r="GF138" s="3" t="s">
        <v>202</v>
      </c>
      <c r="GG138" s="3" t="s">
        <v>201</v>
      </c>
      <c r="GH138" s="3" t="s">
        <v>202</v>
      </c>
      <c r="GI138" s="3" t="s">
        <v>201</v>
      </c>
      <c r="GJ138" s="3" t="s">
        <v>203</v>
      </c>
      <c r="GK138" s="3"/>
      <c r="GL138" s="5">
        <f>DATE(2025,5,30)+TIME(8,42,23)</f>
        <v>45807.362766203703</v>
      </c>
    </row>
    <row r="139" spans="1:194" ht="409.5" x14ac:dyDescent="0.25">
      <c r="A139" s="6" t="s">
        <v>344</v>
      </c>
      <c r="B139" s="6" t="s">
        <v>345</v>
      </c>
      <c r="C139" s="6" t="s">
        <v>346</v>
      </c>
      <c r="D139" s="6" t="s">
        <v>902</v>
      </c>
      <c r="E139" s="6"/>
      <c r="F139" s="6" t="s">
        <v>335</v>
      </c>
      <c r="G139" s="6"/>
      <c r="H139" s="6"/>
      <c r="I139" s="6"/>
      <c r="J139" s="6"/>
      <c r="K139" s="6"/>
      <c r="L139" s="6"/>
      <c r="M139" s="6"/>
      <c r="N139" s="6"/>
      <c r="O139" s="6" t="s">
        <v>903</v>
      </c>
      <c r="P139" s="6"/>
      <c r="Q139" s="6"/>
      <c r="R139" s="6"/>
      <c r="S139" s="6"/>
      <c r="T139" s="6"/>
      <c r="U139" s="6"/>
      <c r="V139" s="6"/>
      <c r="W139" s="6"/>
      <c r="X139" s="6"/>
      <c r="Y139" s="6"/>
      <c r="Z139" s="6"/>
      <c r="AA139" s="6"/>
      <c r="AB139" s="6"/>
      <c r="AC139" s="6"/>
      <c r="AD139" s="6"/>
      <c r="AE139" s="6"/>
      <c r="AF139" s="4" t="s">
        <v>903</v>
      </c>
      <c r="AG139" s="6" t="s">
        <v>213</v>
      </c>
      <c r="AH139" s="6" t="s">
        <v>202</v>
      </c>
      <c r="AI139" s="6" t="s">
        <v>203</v>
      </c>
      <c r="AJ139" s="6" t="s">
        <v>203</v>
      </c>
      <c r="AK139" s="6" t="s">
        <v>202</v>
      </c>
      <c r="AL139" s="6" t="s">
        <v>205</v>
      </c>
      <c r="AM139" s="6" t="s">
        <v>205</v>
      </c>
      <c r="AN139" s="6" t="s">
        <v>205</v>
      </c>
      <c r="AO139" s="6" t="s">
        <v>205</v>
      </c>
      <c r="AP139" s="6" t="s">
        <v>203</v>
      </c>
      <c r="AQ139" s="6" t="s">
        <v>205</v>
      </c>
      <c r="AR139" s="6" t="s">
        <v>202</v>
      </c>
      <c r="AS139" s="6"/>
      <c r="AT139" s="6" t="s">
        <v>202</v>
      </c>
      <c r="AU139" s="6" t="s">
        <v>202</v>
      </c>
      <c r="AV139" s="6" t="s">
        <v>205</v>
      </c>
      <c r="AW139" s="6" t="s">
        <v>202</v>
      </c>
      <c r="AX139" s="6" t="s">
        <v>202</v>
      </c>
      <c r="AY139" s="6" t="s">
        <v>202</v>
      </c>
      <c r="AZ139" s="6" t="s">
        <v>202</v>
      </c>
      <c r="BA139" s="6" t="s">
        <v>205</v>
      </c>
      <c r="BB139" s="6" t="s">
        <v>202</v>
      </c>
      <c r="BC139" s="6" t="s">
        <v>202</v>
      </c>
      <c r="BD139" s="6" t="s">
        <v>202</v>
      </c>
      <c r="BE139" s="6" t="s">
        <v>203</v>
      </c>
      <c r="BF139" s="6" t="s">
        <v>205</v>
      </c>
      <c r="BG139" s="6" t="s">
        <v>203</v>
      </c>
      <c r="BH139" s="6" t="s">
        <v>203</v>
      </c>
      <c r="BI139" s="6" t="s">
        <v>202</v>
      </c>
      <c r="BJ139" s="6" t="s">
        <v>202</v>
      </c>
      <c r="BK139" s="6" t="s">
        <v>205</v>
      </c>
      <c r="BL139" s="6" t="s">
        <v>202</v>
      </c>
      <c r="BM139" s="6" t="s">
        <v>202</v>
      </c>
      <c r="BN139" s="6" t="s">
        <v>202</v>
      </c>
      <c r="BO139" s="6" t="s">
        <v>204</v>
      </c>
      <c r="BP139" s="6" t="s">
        <v>204</v>
      </c>
      <c r="BQ139" s="6" t="s">
        <v>204</v>
      </c>
      <c r="BR139" s="6" t="s">
        <v>204</v>
      </c>
      <c r="BS139" s="6"/>
      <c r="BT139" s="6" t="s">
        <v>210</v>
      </c>
      <c r="BU139" s="6" t="s">
        <v>201</v>
      </c>
      <c r="BV139" s="6" t="s">
        <v>203</v>
      </c>
      <c r="BW139" s="6" t="s">
        <v>201</v>
      </c>
      <c r="BX139" s="6" t="s">
        <v>201</v>
      </c>
      <c r="BY139" s="6" t="s">
        <v>203</v>
      </c>
      <c r="BZ139" s="6" t="s">
        <v>201</v>
      </c>
      <c r="CA139" s="6" t="s">
        <v>201</v>
      </c>
      <c r="CB139" s="6" t="s">
        <v>203</v>
      </c>
      <c r="CC139" s="6" t="s">
        <v>201</v>
      </c>
      <c r="CD139" s="6" t="s">
        <v>201</v>
      </c>
      <c r="CE139" s="6" t="s">
        <v>203</v>
      </c>
      <c r="CF139" s="6" t="s">
        <v>201</v>
      </c>
      <c r="CG139" s="6"/>
      <c r="CH139" s="6" t="s">
        <v>207</v>
      </c>
      <c r="CI139" s="6" t="s">
        <v>207</v>
      </c>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t="s">
        <v>294</v>
      </c>
      <c r="DV139" s="6"/>
      <c r="DW139" s="6" t="s">
        <v>208</v>
      </c>
      <c r="DX139" s="6"/>
      <c r="DY139" s="6" t="s">
        <v>247</v>
      </c>
      <c r="DZ139" s="6" t="s">
        <v>219</v>
      </c>
      <c r="EA139" s="6"/>
      <c r="EB139" s="6"/>
      <c r="EC139" s="6" t="s">
        <v>205</v>
      </c>
      <c r="ED139" s="6" t="s">
        <v>204</v>
      </c>
      <c r="EE139" s="6" t="s">
        <v>203</v>
      </c>
      <c r="EF139" s="6" t="s">
        <v>205</v>
      </c>
      <c r="EG139" s="6" t="s">
        <v>201</v>
      </c>
      <c r="EH139" s="6" t="s">
        <v>201</v>
      </c>
      <c r="EI139" s="6" t="s">
        <v>203</v>
      </c>
      <c r="EJ139" s="6" t="s">
        <v>201</v>
      </c>
      <c r="EK139" s="6" t="s">
        <v>205</v>
      </c>
      <c r="EL139" s="6" t="s">
        <v>204</v>
      </c>
      <c r="EM139" s="6"/>
      <c r="EN139" s="6"/>
      <c r="EO139" s="6"/>
      <c r="EP139" s="6"/>
      <c r="EQ139" s="6" t="s">
        <v>203</v>
      </c>
      <c r="ER139" s="6" t="s">
        <v>203</v>
      </c>
      <c r="ES139" s="6"/>
      <c r="ET139" s="6" t="s">
        <v>204</v>
      </c>
      <c r="EU139" s="6" t="s">
        <v>204</v>
      </c>
      <c r="EV139" s="6" t="s">
        <v>204</v>
      </c>
      <c r="EW139" s="6" t="s">
        <v>204</v>
      </c>
      <c r="EX139" s="6"/>
      <c r="EY139" s="6" t="s">
        <v>204</v>
      </c>
      <c r="EZ139" s="6" t="s">
        <v>205</v>
      </c>
      <c r="FA139" s="6" t="s">
        <v>204</v>
      </c>
      <c r="FB139" s="6" t="s">
        <v>204</v>
      </c>
      <c r="FC139" s="6" t="s">
        <v>204</v>
      </c>
      <c r="FD139" s="6" t="s">
        <v>204</v>
      </c>
      <c r="FE139" s="6" t="s">
        <v>204</v>
      </c>
      <c r="FF139" s="6" t="s">
        <v>204</v>
      </c>
      <c r="FG139" s="6" t="s">
        <v>204</v>
      </c>
      <c r="FH139" s="6" t="s">
        <v>204</v>
      </c>
      <c r="FI139" s="6" t="s">
        <v>204</v>
      </c>
      <c r="FJ139" s="6" t="s">
        <v>205</v>
      </c>
      <c r="FK139" s="6" t="s">
        <v>204</v>
      </c>
      <c r="FL139" s="6" t="s">
        <v>204</v>
      </c>
      <c r="FM139" s="6" t="s">
        <v>204</v>
      </c>
      <c r="FN139" s="6" t="s">
        <v>204</v>
      </c>
      <c r="FO139" s="6" t="s">
        <v>204</v>
      </c>
      <c r="FP139" s="6" t="s">
        <v>204</v>
      </c>
      <c r="FQ139" s="6" t="s">
        <v>204</v>
      </c>
      <c r="FR139" s="6" t="s">
        <v>204</v>
      </c>
      <c r="FS139" s="6" t="s">
        <v>204</v>
      </c>
      <c r="FT139" s="6" t="s">
        <v>204</v>
      </c>
      <c r="FU139" s="6" t="s">
        <v>204</v>
      </c>
      <c r="FV139" s="6"/>
      <c r="FW139" s="6" t="s">
        <v>210</v>
      </c>
      <c r="FX139" s="6"/>
      <c r="FY139" s="6" t="s">
        <v>201</v>
      </c>
      <c r="FZ139" s="6" t="s">
        <v>201</v>
      </c>
      <c r="GA139" s="6" t="s">
        <v>201</v>
      </c>
      <c r="GB139" s="6" t="s">
        <v>201</v>
      </c>
      <c r="GC139" s="6" t="s">
        <v>204</v>
      </c>
      <c r="GD139" s="6"/>
      <c r="GE139" s="6" t="s">
        <v>202</v>
      </c>
      <c r="GF139" s="6" t="s">
        <v>201</v>
      </c>
      <c r="GG139" s="6" t="s">
        <v>201</v>
      </c>
      <c r="GH139" s="6" t="s">
        <v>201</v>
      </c>
      <c r="GI139" s="6" t="s">
        <v>202</v>
      </c>
      <c r="GJ139" s="6" t="s">
        <v>201</v>
      </c>
      <c r="GK139" s="6" t="s">
        <v>904</v>
      </c>
      <c r="GL139" s="7">
        <f>DATE(2025,5,21)+TIME(11,23,7)</f>
        <v>45798.474386574075</v>
      </c>
    </row>
  </sheetData>
  <dataConsolidate topLabels="1"/>
  <pageMargins left="0.75" right="0.75" top="1" bottom="1" header="0.5" footer="0.5"/>
  <pageSetup orientation="portrait"/>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ORTIZ, GABRIEL ANDRES</dc:creator>
  <cp:lastModifiedBy>SOTO ORTIZ, GABRIEL ANDRES</cp:lastModifiedBy>
  <dcterms:created xsi:type="dcterms:W3CDTF">2026-02-25T23:45:40Z</dcterms:created>
  <dcterms:modified xsi:type="dcterms:W3CDTF">2026-02-26T01:23:24Z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2026-02-25T23:46:08Z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dd12c796-e92b-4d49-af16-4abfe6ff8e80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